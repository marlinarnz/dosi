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ewilson/Desktop/"/>
    </mc:Choice>
  </mc:AlternateContent>
  <xr:revisionPtr revIDLastSave="0" documentId="8_{44539C5A-CF01-F944-B59F-641AAE44EB72}" xr6:coauthVersionLast="47" xr6:coauthVersionMax="47" xr10:uidLastSave="{00000000-0000-0000-0000-000000000000}"/>
  <bookViews>
    <workbookView xWindow="1000" yWindow="500" windowWidth="27320" windowHeight="17500" xr2:uid="{7FC33276-27C0-EC42-B84D-60CF98F8759E}"/>
  </bookViews>
  <sheets>
    <sheet name="CW analysis0_23SIs (2)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7" i="1" s="1"/>
  <c r="D3" i="1"/>
  <c r="E3" i="1"/>
  <c r="C4" i="1"/>
  <c r="D4" i="1"/>
  <c r="E4" i="1"/>
  <c r="C5" i="1"/>
  <c r="D5" i="1"/>
  <c r="D7" i="1" s="1"/>
  <c r="E5" i="1"/>
  <c r="C6" i="1"/>
  <c r="D6" i="1"/>
  <c r="E6" i="1"/>
  <c r="E7" i="1" s="1"/>
  <c r="C10" i="1"/>
  <c r="D10" i="1"/>
  <c r="C11" i="1"/>
  <c r="D11" i="1"/>
  <c r="C12" i="1"/>
  <c r="D12" i="1"/>
  <c r="C13" i="1"/>
  <c r="D13" i="1"/>
  <c r="B17" i="1"/>
  <c r="C17" i="1"/>
  <c r="J17" i="1"/>
  <c r="D17" i="1" s="1"/>
  <c r="K17" i="1"/>
  <c r="L17" i="1"/>
  <c r="M17" i="1"/>
  <c r="D20" i="1" s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B18" i="1"/>
  <c r="C18" i="1"/>
  <c r="J18" i="1"/>
  <c r="K18" i="1"/>
  <c r="L18" i="1"/>
  <c r="M18" i="1"/>
  <c r="N18" i="1"/>
  <c r="O18" i="1"/>
  <c r="D22" i="1" s="1"/>
  <c r="P18" i="1"/>
  <c r="D23" i="1" s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B19" i="1"/>
  <c r="C19" i="1"/>
  <c r="J19" i="1"/>
  <c r="K19" i="1"/>
  <c r="D18" i="1" s="1"/>
  <c r="L19" i="1"/>
  <c r="D19" i="1" s="1"/>
  <c r="M19" i="1"/>
  <c r="N19" i="1"/>
  <c r="O19" i="1"/>
  <c r="P19" i="1"/>
  <c r="Q19" i="1"/>
  <c r="R19" i="1"/>
  <c r="D25" i="1" s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B20" i="1"/>
  <c r="C20" i="1" s="1"/>
  <c r="J20" i="1"/>
  <c r="K20" i="1"/>
  <c r="L20" i="1"/>
  <c r="M20" i="1"/>
  <c r="N20" i="1"/>
  <c r="O20" i="1"/>
  <c r="P20" i="1"/>
  <c r="Q20" i="1"/>
  <c r="R20" i="1"/>
  <c r="S20" i="1"/>
  <c r="T20" i="1"/>
  <c r="U20" i="1"/>
  <c r="D28" i="1" s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B21" i="1"/>
  <c r="C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D33" i="1" s="1"/>
  <c r="AA21" i="1"/>
  <c r="AB21" i="1"/>
  <c r="AC21" i="1"/>
  <c r="AD21" i="1"/>
  <c r="AE21" i="1"/>
  <c r="AF21" i="1"/>
  <c r="AG21" i="1"/>
  <c r="AH21" i="1"/>
  <c r="AI21" i="1"/>
  <c r="B22" i="1"/>
  <c r="C22" i="1" s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B23" i="1"/>
  <c r="C23" i="1" s="1"/>
  <c r="J23" i="1"/>
  <c r="K23" i="1"/>
  <c r="L23" i="1"/>
  <c r="M23" i="1"/>
  <c r="N23" i="1"/>
  <c r="D21" i="1" s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B24" i="1"/>
  <c r="C24" i="1"/>
  <c r="J24" i="1"/>
  <c r="K24" i="1"/>
  <c r="L24" i="1"/>
  <c r="M24" i="1"/>
  <c r="N24" i="1"/>
  <c r="O24" i="1"/>
  <c r="P24" i="1"/>
  <c r="Q24" i="1"/>
  <c r="D24" i="1" s="1"/>
  <c r="R24" i="1"/>
  <c r="S24" i="1"/>
  <c r="T24" i="1"/>
  <c r="U24" i="1"/>
  <c r="V24" i="1"/>
  <c r="W24" i="1"/>
  <c r="X24" i="1"/>
  <c r="D31" i="1" s="1"/>
  <c r="Y24" i="1"/>
  <c r="Z24" i="1"/>
  <c r="AA24" i="1"/>
  <c r="AB24" i="1"/>
  <c r="AC24" i="1"/>
  <c r="AD24" i="1"/>
  <c r="AE24" i="1"/>
  <c r="AF24" i="1"/>
  <c r="AG24" i="1"/>
  <c r="AH24" i="1"/>
  <c r="AI24" i="1"/>
  <c r="B25" i="1"/>
  <c r="C25" i="1" s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B26" i="1"/>
  <c r="C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B27" i="1"/>
  <c r="C27" i="1"/>
  <c r="J27" i="1"/>
  <c r="K27" i="1"/>
  <c r="L27" i="1"/>
  <c r="M27" i="1"/>
  <c r="N27" i="1"/>
  <c r="O27" i="1"/>
  <c r="P27" i="1"/>
  <c r="Q27" i="1"/>
  <c r="R27" i="1"/>
  <c r="S27" i="1"/>
  <c r="D26" i="1" s="1"/>
  <c r="T27" i="1"/>
  <c r="D27" i="1" s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B28" i="1"/>
  <c r="C28" i="1" s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D36" i="1" s="1"/>
  <c r="AD28" i="1"/>
  <c r="AE28" i="1"/>
  <c r="AF28" i="1"/>
  <c r="AG28" i="1"/>
  <c r="AH28" i="1"/>
  <c r="AI28" i="1"/>
  <c r="B29" i="1"/>
  <c r="C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D41" i="1" s="1"/>
  <c r="AI29" i="1"/>
  <c r="B30" i="1"/>
  <c r="C30" i="1" s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B31" i="1"/>
  <c r="C31" i="1" s="1"/>
  <c r="J31" i="1"/>
  <c r="K31" i="1"/>
  <c r="L31" i="1"/>
  <c r="M31" i="1"/>
  <c r="N31" i="1"/>
  <c r="O31" i="1"/>
  <c r="O45" i="1" s="1"/>
  <c r="P31" i="1"/>
  <c r="Q31" i="1"/>
  <c r="R31" i="1"/>
  <c r="S31" i="1"/>
  <c r="T31" i="1"/>
  <c r="U31" i="1"/>
  <c r="V31" i="1"/>
  <c r="D29" i="1" s="1"/>
  <c r="W31" i="1"/>
  <c r="W45" i="1" s="1"/>
  <c r="X31" i="1"/>
  <c r="Y31" i="1"/>
  <c r="Z31" i="1"/>
  <c r="AA31" i="1"/>
  <c r="AB31" i="1"/>
  <c r="AC31" i="1"/>
  <c r="AD31" i="1"/>
  <c r="AE31" i="1"/>
  <c r="AE45" i="1" s="1"/>
  <c r="AF31" i="1"/>
  <c r="D39" i="1" s="1"/>
  <c r="AG31" i="1"/>
  <c r="AH31" i="1"/>
  <c r="AI31" i="1"/>
  <c r="B32" i="1"/>
  <c r="C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D32" i="1" s="1"/>
  <c r="Z32" i="1"/>
  <c r="AA32" i="1"/>
  <c r="AB32" i="1"/>
  <c r="AC32" i="1"/>
  <c r="AD32" i="1"/>
  <c r="AE32" i="1"/>
  <c r="AF32" i="1"/>
  <c r="AG32" i="1"/>
  <c r="AH32" i="1"/>
  <c r="AI32" i="1"/>
  <c r="B33" i="1"/>
  <c r="C33" i="1" s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B34" i="1"/>
  <c r="C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D38" i="1" s="1"/>
  <c r="AF34" i="1"/>
  <c r="AG34" i="1"/>
  <c r="AH34" i="1"/>
  <c r="AI34" i="1"/>
  <c r="B35" i="1"/>
  <c r="C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D34" i="1" s="1"/>
  <c r="AB35" i="1"/>
  <c r="D35" i="1" s="1"/>
  <c r="AC35" i="1"/>
  <c r="AD35" i="1"/>
  <c r="AE35" i="1"/>
  <c r="AF35" i="1"/>
  <c r="AG35" i="1"/>
  <c r="AH35" i="1"/>
  <c r="AI35" i="1"/>
  <c r="B36" i="1"/>
  <c r="C36" i="1" s="1"/>
  <c r="J36" i="1"/>
  <c r="K36" i="1"/>
  <c r="L36" i="1"/>
  <c r="M36" i="1"/>
  <c r="M45" i="1" s="1"/>
  <c r="N36" i="1"/>
  <c r="N45" i="1" s="1"/>
  <c r="O36" i="1"/>
  <c r="P36" i="1"/>
  <c r="Q36" i="1"/>
  <c r="R36" i="1"/>
  <c r="S36" i="1"/>
  <c r="T36" i="1"/>
  <c r="U36" i="1"/>
  <c r="U45" i="1" s="1"/>
  <c r="V36" i="1"/>
  <c r="V45" i="1" s="1"/>
  <c r="W36" i="1"/>
  <c r="X36" i="1"/>
  <c r="Y36" i="1"/>
  <c r="Z36" i="1"/>
  <c r="AA36" i="1"/>
  <c r="AB36" i="1"/>
  <c r="AC36" i="1"/>
  <c r="AC45" i="1" s="1"/>
  <c r="AD36" i="1"/>
  <c r="AD45" i="1" s="1"/>
  <c r="AE36" i="1"/>
  <c r="AF36" i="1"/>
  <c r="AG36" i="1"/>
  <c r="AH36" i="1"/>
  <c r="AI36" i="1"/>
  <c r="B37" i="1"/>
  <c r="C37" i="1"/>
  <c r="J37" i="1"/>
  <c r="K37" i="1"/>
  <c r="L37" i="1"/>
  <c r="M37" i="1"/>
  <c r="N37" i="1"/>
  <c r="O37" i="1"/>
  <c r="P37" i="1"/>
  <c r="P45" i="1" s="1"/>
  <c r="Q37" i="1"/>
  <c r="Q45" i="1" s="1"/>
  <c r="R37" i="1"/>
  <c r="S37" i="1"/>
  <c r="T37" i="1"/>
  <c r="U37" i="1"/>
  <c r="V37" i="1"/>
  <c r="W37" i="1"/>
  <c r="X37" i="1"/>
  <c r="X45" i="1" s="1"/>
  <c r="Y37" i="1"/>
  <c r="Y45" i="1" s="1"/>
  <c r="Z37" i="1"/>
  <c r="AA37" i="1"/>
  <c r="AB37" i="1"/>
  <c r="AC37" i="1"/>
  <c r="AD37" i="1"/>
  <c r="AE37" i="1"/>
  <c r="AF37" i="1"/>
  <c r="AF45" i="1" s="1"/>
  <c r="AG37" i="1"/>
  <c r="AG45" i="1" s="1"/>
  <c r="AH37" i="1"/>
  <c r="AI37" i="1"/>
  <c r="B38" i="1"/>
  <c r="C38" i="1" s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B39" i="1"/>
  <c r="C39" i="1" s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D37" i="1" s="1"/>
  <c r="AE39" i="1"/>
  <c r="AF39" i="1"/>
  <c r="AG39" i="1"/>
  <c r="AH39" i="1"/>
  <c r="AI39" i="1"/>
  <c r="B40" i="1"/>
  <c r="C40" i="1"/>
  <c r="J40" i="1"/>
  <c r="J45" i="1" s="1"/>
  <c r="K40" i="1"/>
  <c r="L40" i="1"/>
  <c r="M40" i="1"/>
  <c r="N40" i="1"/>
  <c r="O40" i="1"/>
  <c r="P40" i="1"/>
  <c r="Q40" i="1"/>
  <c r="R40" i="1"/>
  <c r="R45" i="1" s="1"/>
  <c r="S40" i="1"/>
  <c r="T40" i="1"/>
  <c r="U40" i="1"/>
  <c r="V40" i="1"/>
  <c r="W40" i="1"/>
  <c r="X40" i="1"/>
  <c r="Y40" i="1"/>
  <c r="Z40" i="1"/>
  <c r="Z45" i="1" s="1"/>
  <c r="AA40" i="1"/>
  <c r="AA45" i="1" s="1"/>
  <c r="AB40" i="1"/>
  <c r="AC40" i="1"/>
  <c r="AD40" i="1"/>
  <c r="AE40" i="1"/>
  <c r="AF40" i="1"/>
  <c r="AG40" i="1"/>
  <c r="AH40" i="1"/>
  <c r="AH45" i="1" s="1"/>
  <c r="AI40" i="1"/>
  <c r="AI45" i="1" s="1"/>
  <c r="B41" i="1"/>
  <c r="C41" i="1" s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B42" i="1"/>
  <c r="C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K45" i="1"/>
  <c r="L45" i="1"/>
  <c r="S45" i="1"/>
  <c r="T45" i="1"/>
  <c r="AB45" i="1"/>
  <c r="AJ45" i="1"/>
  <c r="AK45" i="1"/>
  <c r="AL45" i="1"/>
  <c r="AM45" i="1"/>
  <c r="AN45" i="1"/>
  <c r="C43" i="1" l="1"/>
  <c r="D42" i="1"/>
  <c r="D40" i="1"/>
  <c r="D30" i="1"/>
</calcChain>
</file>

<file path=xl/sharedStrings.xml><?xml version="1.0" encoding="utf-8"?>
<sst xmlns="http://schemas.openxmlformats.org/spreadsheetml/2006/main" count="226" uniqueCount="181">
  <si>
    <t>vaccine x1</t>
  </si>
  <si>
    <t>FGD</t>
  </si>
  <si>
    <t>wash machines?</t>
  </si>
  <si>
    <t>TV</t>
  </si>
  <si>
    <t>telephones</t>
  </si>
  <si>
    <t>telegraph traffic</t>
  </si>
  <si>
    <t>H2SO4</t>
  </si>
  <si>
    <t>electric stoves?</t>
  </si>
  <si>
    <t>steamships</t>
  </si>
  <si>
    <t>solid biofuels</t>
  </si>
  <si>
    <t>solar PV</t>
  </si>
  <si>
    <t>Na storage batteries</t>
  </si>
  <si>
    <t>social media usage</t>
  </si>
  <si>
    <t>silver</t>
  </si>
  <si>
    <t>shale production</t>
  </si>
  <si>
    <t>sensible heat production</t>
  </si>
  <si>
    <t>salt production</t>
  </si>
  <si>
    <t>renewable</t>
  </si>
  <si>
    <t>refridgerator?</t>
  </si>
  <si>
    <t>realtime gross settlement</t>
  </si>
  <si>
    <t>steel production</t>
  </si>
  <si>
    <t>railroad</t>
  </si>
  <si>
    <t>radio</t>
  </si>
  <si>
    <t>vaccines x2</t>
  </si>
  <si>
    <t>pumped hydro storage</t>
  </si>
  <si>
    <t>public roads</t>
  </si>
  <si>
    <t>primary Al, Bauxite prod</t>
  </si>
  <si>
    <t>potash fertiliser</t>
  </si>
  <si>
    <t>postal traffic</t>
  </si>
  <si>
    <t>podcasting</t>
  </si>
  <si>
    <t>P fertiliser</t>
  </si>
  <si>
    <t>onshore wind</t>
  </si>
  <si>
    <t>oil prod, pipelines, refining</t>
  </si>
  <si>
    <t>offshore wind</t>
  </si>
  <si>
    <t>objects launched into space</t>
  </si>
  <si>
    <t>nuclear weapons</t>
  </si>
  <si>
    <t>nuclear energy</t>
  </si>
  <si>
    <t>NOx pollution control</t>
  </si>
  <si>
    <t>N fertiliser</t>
  </si>
  <si>
    <t>Nitric acid</t>
  </si>
  <si>
    <t>NG prod, pipeine</t>
  </si>
  <si>
    <t>microwave oven</t>
  </si>
  <si>
    <t>microcomputers</t>
  </si>
  <si>
    <t>marine energy</t>
  </si>
  <si>
    <t>Vaccines x2</t>
  </si>
  <si>
    <t>LNG</t>
  </si>
  <si>
    <t>lead acid battery</t>
  </si>
  <si>
    <t>lead</t>
  </si>
  <si>
    <t>laundry dryers</t>
  </si>
  <si>
    <t>jet aircraft</t>
  </si>
  <si>
    <t>iron ore</t>
  </si>
  <si>
    <t>insecticide corn,</t>
  </si>
  <si>
    <t>hydroelec</t>
  </si>
  <si>
    <t>HCL</t>
  </si>
  <si>
    <t>internet access</t>
  </si>
  <si>
    <t>home computer</t>
  </si>
  <si>
    <t>home AC</t>
  </si>
  <si>
    <t>High speed rail</t>
  </si>
  <si>
    <t>Pesticide tolerant corn, soy, cotton</t>
  </si>
  <si>
    <t>Vaccines x3</t>
  </si>
  <si>
    <t>Geothermal</t>
  </si>
  <si>
    <t>Freezer?</t>
  </si>
  <si>
    <t>Flywheels</t>
  </si>
  <si>
    <t>Flush toilet</t>
  </si>
  <si>
    <t>Ethanol</t>
  </si>
  <si>
    <t>Electricity</t>
  </si>
  <si>
    <t>Ebikes</t>
  </si>
  <si>
    <t>Discbrakea</t>
  </si>
  <si>
    <t>Dishwashers</t>
  </si>
  <si>
    <t>DTP1+3 vaccines</t>
  </si>
  <si>
    <t>Crop harvesters</t>
  </si>
  <si>
    <t>Copper mining</t>
  </si>
  <si>
    <t>Coal prod</t>
  </si>
  <si>
    <t>Cellphones</t>
  </si>
  <si>
    <t>Fisheries</t>
  </si>
  <si>
    <t>Canals</t>
  </si>
  <si>
    <t>Cd refining</t>
  </si>
  <si>
    <t>Cable TV</t>
  </si>
  <si>
    <t>Biogas</t>
  </si>
  <si>
    <t>Beer production</t>
  </si>
  <si>
    <t>BCG vaccine</t>
  </si>
  <si>
    <t>Aquaculture</t>
  </si>
  <si>
    <t>NH3 synthesis</t>
  </si>
  <si>
    <t>ASHP</t>
  </si>
  <si>
    <t>HATCH</t>
  </si>
  <si>
    <t>total</t>
  </si>
  <si>
    <t>(green growth)</t>
  </si>
  <si>
    <t>suff</t>
  </si>
  <si>
    <t>tex</t>
  </si>
  <si>
    <t>textile recycling</t>
  </si>
  <si>
    <t>digi</t>
  </si>
  <si>
    <t>tel</t>
  </si>
  <si>
    <t>teleworking</t>
  </si>
  <si>
    <t>green growth</t>
  </si>
  <si>
    <t>sus</t>
  </si>
  <si>
    <t>sustainable fashion</t>
  </si>
  <si>
    <t>sol</t>
  </si>
  <si>
    <t>solar leasing</t>
  </si>
  <si>
    <t>WEIRD</t>
  </si>
  <si>
    <t>health</t>
  </si>
  <si>
    <t>qui</t>
  </si>
  <si>
    <t>quitting smoking</t>
  </si>
  <si>
    <t>pos</t>
  </si>
  <si>
    <t>postage stamps</t>
  </si>
  <si>
    <t>pas</t>
  </si>
  <si>
    <t>passive buildings</t>
  </si>
  <si>
    <t>org</t>
  </si>
  <si>
    <t>organic food consumption</t>
  </si>
  <si>
    <t>non</t>
  </si>
  <si>
    <t>non-cash transactions</t>
  </si>
  <si>
    <t>consume</t>
  </si>
  <si>
    <t>crz</t>
  </si>
  <si>
    <t>mobesity</t>
  </si>
  <si>
    <t>develop?</t>
  </si>
  <si>
    <t>mic</t>
  </si>
  <si>
    <t>microfinance</t>
  </si>
  <si>
    <t>low</t>
  </si>
  <si>
    <t>low-carbon long distance travel</t>
  </si>
  <si>
    <t>foo</t>
  </si>
  <si>
    <t>food waste reduction</t>
  </si>
  <si>
    <t>fir</t>
  </si>
  <si>
    <t>firm ESG reporting</t>
  </si>
  <si>
    <t>ene</t>
  </si>
  <si>
    <t>energy community</t>
  </si>
  <si>
    <t>eat</t>
  </si>
  <si>
    <t>eating less meat</t>
  </si>
  <si>
    <t>ego</t>
  </si>
  <si>
    <t>e-government</t>
  </si>
  <si>
    <t>eco</t>
  </si>
  <si>
    <t>e-commerce</t>
  </si>
  <si>
    <t>ebi</t>
  </si>
  <si>
    <t>e-bikes</t>
  </si>
  <si>
    <t>dri</t>
  </si>
  <si>
    <t>drivers licence</t>
  </si>
  <si>
    <t>dow</t>
  </si>
  <si>
    <t>downsizing</t>
  </si>
  <si>
    <t>dig</t>
  </si>
  <si>
    <t>digital skills</t>
  </si>
  <si>
    <t>coh</t>
  </si>
  <si>
    <t>co-housing</t>
  </si>
  <si>
    <t>DROPPED</t>
  </si>
  <si>
    <t>cli</t>
  </si>
  <si>
    <t>climate protest</t>
  </si>
  <si>
    <t>crs</t>
  </si>
  <si>
    <t>car sharing</t>
  </si>
  <si>
    <t>(inv). consume</t>
  </si>
  <si>
    <t>cro</t>
  </si>
  <si>
    <t>car ownership</t>
  </si>
  <si>
    <t>(digi)</t>
  </si>
  <si>
    <t>act</t>
  </si>
  <si>
    <t>active mobility</t>
  </si>
  <si>
    <t>cluster5</t>
  </si>
  <si>
    <t>cluster4</t>
  </si>
  <si>
    <t>cluster3</t>
  </si>
  <si>
    <t>cluster2</t>
  </si>
  <si>
    <t>cluster1</t>
  </si>
  <si>
    <t>COUNTS (time series by indicator #)</t>
  </si>
  <si>
    <t># social innovations</t>
  </si>
  <si>
    <t># time series</t>
  </si>
  <si>
    <t>indicator</t>
  </si>
  <si>
    <t>digital</t>
  </si>
  <si>
    <t>sufficiency</t>
  </si>
  <si>
    <t>coding, Cornwall retreat, 21 July</t>
  </si>
  <si>
    <t>non1.1s ALL regions</t>
  </si>
  <si>
    <t>non1.1s EA region</t>
  </si>
  <si>
    <t>1.1 ALL regions</t>
  </si>
  <si>
    <t>1.1 EA region</t>
  </si>
  <si>
    <t>mean slope_lin</t>
  </si>
  <si>
    <t>mean slope_log</t>
  </si>
  <si>
    <t># TIME SERIES</t>
  </si>
  <si>
    <t>all regions</t>
  </si>
  <si>
    <t>all other indicators (not 1.1)</t>
  </si>
  <si>
    <t>early adopting (EA) region only</t>
  </si>
  <si>
    <t>1.1 Adoption over Time</t>
  </si>
  <si>
    <t>spatial scale</t>
  </si>
  <si>
    <t>useable linfits</t>
  </si>
  <si>
    <t>useable logfits</t>
  </si>
  <si>
    <t>total count</t>
  </si>
  <si>
    <t># TIME SERIES (selected for use)</t>
  </si>
  <si>
    <t>THIS TABLE USED IN PAPER (TABLE 5), 23 SIs final sample</t>
  </si>
  <si>
    <t>granularity?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</si>
</sst>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7030A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7030A0"/>
      <name val="Aptos Narrow"/>
      <scheme val="minor"/>
    </font>
    <font>
      <sz val="12"/>
      <color rgb="FFC00000"/>
      <name val="Aptos Narrow"/>
      <scheme val="minor"/>
    </font>
    <font>
      <b/>
      <sz val="12"/>
      <color rgb="FFC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0" borderId="0" xfId="0" quotePrefix="1" applyFont="1"/>
    <xf numFmtId="0" fontId="4" fillId="0" borderId="0" xfId="0" applyFont="1"/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2" fillId="2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charliewilson/Library/CloudStorage/Dropbox/1.1%20Projects%20(Funded)/EDITS%20FT%20DoSI%20(Greg)/Analysis%20_v26%20(IST%20paper)/summary_table_v26_CW_28May_Cornwall.xlsx" TargetMode="External"/><Relationship Id="rId1" Type="http://schemas.openxmlformats.org/officeDocument/2006/relationships/externalLinkPath" Target="/Users/charliewilson/Library/CloudStorage/Dropbox/1.1%20Projects%20(Funded)/EDITS%20FT%20DoSI%20(Greg)/Analysis%20_v26%20(IST%20paper)/summary_table_v26_CW_28May_Cornw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_table_v26_27SIs"/>
      <sheetName val="summary_table_v26_23SIs"/>
      <sheetName val="CW analysis0_27SIs"/>
      <sheetName val="CW analysis0_23SIs"/>
      <sheetName val="CW analysis1_27SIs"/>
      <sheetName val="CW analysis1_23SIs"/>
      <sheetName val="CW analysis2_23SIs"/>
      <sheetName val="Innovation summaries"/>
      <sheetName val="Indicator summaries"/>
      <sheetName val="define EA regions"/>
      <sheetName val="metadata labelling"/>
      <sheetName val="expert coding CZ"/>
      <sheetName val="formative phase NB 29May"/>
      <sheetName val="Priority Indicators (n=23)"/>
      <sheetName val="Full Indicator List"/>
      <sheetName val="exportSPSS 23SIs"/>
    </sheetNames>
    <sheetDataSet>
      <sheetData sheetId="0"/>
      <sheetData sheetId="1">
        <row r="2">
          <cell r="B2" t="str">
            <v>active mobility</v>
          </cell>
          <cell r="D2">
            <v>1.1000000000000001</v>
          </cell>
          <cell r="I2">
            <v>6.1161000000000003</v>
          </cell>
          <cell r="K2">
            <v>3.8501999999999998E-3</v>
          </cell>
          <cell r="CG2">
            <v>0</v>
          </cell>
          <cell r="CH2">
            <v>1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O2" t="str">
            <v>means I've changed 0 to 1 or vice versa</v>
          </cell>
        </row>
        <row r="3">
          <cell r="B3" t="str">
            <v>active mobility</v>
          </cell>
          <cell r="D3">
            <v>1.1000000000000001</v>
          </cell>
          <cell r="I3">
            <v>-2.3617999999999998E-3</v>
          </cell>
          <cell r="K3">
            <v>-5.6291000000000002E-4</v>
          </cell>
          <cell r="CG3">
            <v>1</v>
          </cell>
          <cell r="CH3">
            <v>1</v>
          </cell>
          <cell r="CI3">
            <v>0</v>
          </cell>
          <cell r="CJ3">
            <v>0</v>
          </cell>
          <cell r="CK3">
            <v>0</v>
          </cell>
          <cell r="CL3">
            <v>0</v>
          </cell>
          <cell r="CO3" t="str">
            <v>means problem, dicuss with GN</v>
          </cell>
        </row>
        <row r="4">
          <cell r="B4" t="str">
            <v>active mobility</v>
          </cell>
          <cell r="D4">
            <v>1.1000000000000001</v>
          </cell>
          <cell r="I4">
            <v>-16.742000000000001</v>
          </cell>
          <cell r="K4">
            <v>-1.0874000000000001E-3</v>
          </cell>
          <cell r="CG4">
            <v>0</v>
          </cell>
          <cell r="CH4">
            <v>1</v>
          </cell>
          <cell r="CI4">
            <v>0</v>
          </cell>
          <cell r="CJ4">
            <v>0</v>
          </cell>
          <cell r="CK4">
            <v>0</v>
          </cell>
          <cell r="CL4">
            <v>0</v>
          </cell>
          <cell r="CM4" t="str">
            <v>SdS: fit partial from 1979 (drop 1930 peak year)</v>
          </cell>
          <cell r="CO4" t="str">
            <v>means new coding for changed indicators post Feb</v>
          </cell>
        </row>
        <row r="5">
          <cell r="B5" t="str">
            <v>active mobility</v>
          </cell>
          <cell r="D5">
            <v>1.1000000000000001</v>
          </cell>
          <cell r="I5">
            <v>-8.7910999999999996E-3</v>
          </cell>
          <cell r="K5">
            <v>-1.6502999999999999E-3</v>
          </cell>
          <cell r="CG5">
            <v>1</v>
          </cell>
          <cell r="CH5">
            <v>1</v>
          </cell>
          <cell r="CI5">
            <v>0</v>
          </cell>
          <cell r="CJ5">
            <v>0</v>
          </cell>
          <cell r="CK5">
            <v>0</v>
          </cell>
          <cell r="CL5">
            <v>0</v>
          </cell>
          <cell r="CO5" t="str">
            <v>means didn't survive _v24 to _v25 transfer</v>
          </cell>
        </row>
        <row r="6">
          <cell r="B6" t="str">
            <v>active mobility</v>
          </cell>
          <cell r="D6">
            <v>1.1000000000000001</v>
          </cell>
          <cell r="I6">
            <v>1.9434</v>
          </cell>
          <cell r="K6">
            <v>6.0028000000000002E-4</v>
          </cell>
          <cell r="CG6">
            <v>0</v>
          </cell>
          <cell r="CH6">
            <v>1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</row>
        <row r="7">
          <cell r="B7" t="str">
            <v>active mobility</v>
          </cell>
          <cell r="D7">
            <v>1.1000000000000001</v>
          </cell>
          <cell r="I7">
            <v>1.0857000000000001</v>
          </cell>
          <cell r="K7">
            <v>1.3983000000000001E-3</v>
          </cell>
          <cell r="CG7">
            <v>1</v>
          </cell>
          <cell r="CH7">
            <v>1</v>
          </cell>
          <cell r="CI7">
            <v>0</v>
          </cell>
          <cell r="CJ7">
            <v>1</v>
          </cell>
          <cell r="CK7">
            <v>0</v>
          </cell>
          <cell r="CL7">
            <v>0</v>
          </cell>
        </row>
        <row r="8">
          <cell r="B8" t="str">
            <v>active mobility</v>
          </cell>
          <cell r="D8">
            <v>1.1000000000000001</v>
          </cell>
          <cell r="I8">
            <v>-128.93</v>
          </cell>
          <cell r="K8">
            <v>-1.4250000000000001E-2</v>
          </cell>
          <cell r="CG8">
            <v>0</v>
          </cell>
          <cell r="CH8">
            <v>1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</row>
        <row r="9">
          <cell r="B9" t="str">
            <v>active mobility</v>
          </cell>
          <cell r="D9">
            <v>1.1000000000000001</v>
          </cell>
          <cell r="I9">
            <v>-128.93</v>
          </cell>
          <cell r="K9">
            <v>-1.4250000000000001E-2</v>
          </cell>
          <cell r="CG9">
            <v>0</v>
          </cell>
          <cell r="CH9">
            <v>1</v>
          </cell>
          <cell r="CI9">
            <v>0</v>
          </cell>
          <cell r="CJ9">
            <v>1</v>
          </cell>
          <cell r="CK9">
            <v>0</v>
          </cell>
          <cell r="CL9">
            <v>0</v>
          </cell>
        </row>
        <row r="10">
          <cell r="B10" t="str">
            <v>active mobility</v>
          </cell>
          <cell r="D10">
            <v>1.1000000000000001</v>
          </cell>
          <cell r="I10">
            <v>15.465</v>
          </cell>
          <cell r="K10">
            <v>2.6286</v>
          </cell>
          <cell r="CG10">
            <v>0</v>
          </cell>
          <cell r="CH10">
            <v>1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</row>
        <row r="11">
          <cell r="B11" t="str">
            <v>active mobility</v>
          </cell>
          <cell r="D11">
            <v>3.2</v>
          </cell>
          <cell r="I11">
            <v>-0.25048999999999999</v>
          </cell>
          <cell r="K11">
            <v>-3.0743999999999998</v>
          </cell>
          <cell r="CG11">
            <v>1</v>
          </cell>
          <cell r="CH11">
            <v>1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</row>
        <row r="12">
          <cell r="B12" t="str">
            <v>active mobility</v>
          </cell>
          <cell r="D12">
            <v>3.2</v>
          </cell>
          <cell r="I12">
            <v>-2.6166999999999998</v>
          </cell>
          <cell r="K12">
            <v>-1.3735999999999999</v>
          </cell>
          <cell r="CG12">
            <v>0</v>
          </cell>
          <cell r="CH12">
            <v>1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</row>
        <row r="13">
          <cell r="B13" t="str">
            <v>active mobility</v>
          </cell>
          <cell r="D13">
            <v>3.2</v>
          </cell>
          <cell r="I13">
            <v>-0.35804999999999998</v>
          </cell>
          <cell r="K13">
            <v>-2.4015</v>
          </cell>
          <cell r="CG13">
            <v>1</v>
          </cell>
          <cell r="CH13">
            <v>1</v>
          </cell>
          <cell r="CI13">
            <v>0</v>
          </cell>
          <cell r="CJ13">
            <v>0</v>
          </cell>
          <cell r="CK13">
            <v>0</v>
          </cell>
          <cell r="CL13">
            <v>1</v>
          </cell>
        </row>
        <row r="14">
          <cell r="B14" t="str">
            <v>active mobility</v>
          </cell>
          <cell r="D14">
            <v>4.0999999999999996</v>
          </cell>
          <cell r="I14">
            <v>2.0950000000000002</v>
          </cell>
          <cell r="K14">
            <v>3.6253000000000002</v>
          </cell>
          <cell r="CG14">
            <v>1</v>
          </cell>
          <cell r="CH14">
            <v>1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</row>
        <row r="15">
          <cell r="B15" t="str">
            <v>active mobility</v>
          </cell>
          <cell r="D15">
            <v>4.0999999999999996</v>
          </cell>
          <cell r="I15">
            <v>1.0430999999999999</v>
          </cell>
          <cell r="K15">
            <v>6.5778999999999996</v>
          </cell>
          <cell r="CG15">
            <v>1</v>
          </cell>
          <cell r="CH15">
            <v>1</v>
          </cell>
          <cell r="CI15">
            <v>0</v>
          </cell>
          <cell r="CJ15">
            <v>0</v>
          </cell>
          <cell r="CK15">
            <v>0</v>
          </cell>
          <cell r="CL15">
            <v>1</v>
          </cell>
        </row>
        <row r="16">
          <cell r="B16" t="str">
            <v>active mobility</v>
          </cell>
          <cell r="D16">
            <v>1.1000000000000001</v>
          </cell>
          <cell r="I16">
            <v>1.4241E-2</v>
          </cell>
          <cell r="K16">
            <v>3.3674999999999998E-3</v>
          </cell>
          <cell r="CG16">
            <v>1</v>
          </cell>
          <cell r="CH16">
            <v>1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</row>
        <row r="17">
          <cell r="B17" t="str">
            <v>active mobility</v>
          </cell>
          <cell r="D17">
            <v>1.1000000000000001</v>
          </cell>
          <cell r="I17">
            <v>1.8687E-3</v>
          </cell>
          <cell r="K17">
            <v>3.0769E-4</v>
          </cell>
          <cell r="CG17">
            <v>1</v>
          </cell>
          <cell r="CH17">
            <v>1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</row>
        <row r="18">
          <cell r="B18" t="str">
            <v>active mobility</v>
          </cell>
          <cell r="D18">
            <v>1.1000000000000001</v>
          </cell>
          <cell r="I18">
            <v>1.5233E-2</v>
          </cell>
          <cell r="K18">
            <v>3.6752E-3</v>
          </cell>
          <cell r="CG18">
            <v>1</v>
          </cell>
          <cell r="CH18">
            <v>1</v>
          </cell>
          <cell r="CI18">
            <v>0</v>
          </cell>
          <cell r="CJ18">
            <v>1</v>
          </cell>
          <cell r="CK18">
            <v>0</v>
          </cell>
          <cell r="CL18">
            <v>0</v>
          </cell>
        </row>
        <row r="19">
          <cell r="B19" t="str">
            <v>active mobility</v>
          </cell>
          <cell r="D19">
            <v>4.0999999999999996</v>
          </cell>
          <cell r="I19">
            <v>5.3821000000000003</v>
          </cell>
          <cell r="K19">
            <v>2.6871</v>
          </cell>
          <cell r="CG19">
            <v>1</v>
          </cell>
          <cell r="CH19">
            <v>1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</row>
        <row r="20">
          <cell r="B20" t="str">
            <v>active mobility</v>
          </cell>
          <cell r="D20">
            <v>4.0999999999999996</v>
          </cell>
          <cell r="I20">
            <v>1.43</v>
          </cell>
          <cell r="K20">
            <v>9.5765999999999991</v>
          </cell>
          <cell r="CG20">
            <v>1</v>
          </cell>
          <cell r="CH20">
            <v>1</v>
          </cell>
          <cell r="CI20">
            <v>0</v>
          </cell>
          <cell r="CJ20">
            <v>0</v>
          </cell>
          <cell r="CK20">
            <v>0</v>
          </cell>
          <cell r="CL20">
            <v>1</v>
          </cell>
        </row>
        <row r="21">
          <cell r="B21" t="str">
            <v>active mobility</v>
          </cell>
          <cell r="D21">
            <v>3.3</v>
          </cell>
          <cell r="I21">
            <v>9.8082000000000003E-2</v>
          </cell>
          <cell r="K21">
            <v>339.27</v>
          </cell>
          <cell r="CG21">
            <v>1</v>
          </cell>
          <cell r="CH21">
            <v>1</v>
          </cell>
          <cell r="CI21">
            <v>0</v>
          </cell>
          <cell r="CJ21">
            <v>0</v>
          </cell>
          <cell r="CK21">
            <v>1</v>
          </cell>
          <cell r="CL21">
            <v>1</v>
          </cell>
        </row>
        <row r="22">
          <cell r="B22" t="str">
            <v>active mobility</v>
          </cell>
          <cell r="D22">
            <v>1.1000000000000001</v>
          </cell>
          <cell r="I22">
            <v>0.17813999999999999</v>
          </cell>
          <cell r="K22">
            <v>0.21626000000000001</v>
          </cell>
          <cell r="CG22">
            <v>1</v>
          </cell>
          <cell r="CH22">
            <v>1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</row>
        <row r="23">
          <cell r="B23" t="str">
            <v>active mobility</v>
          </cell>
          <cell r="D23">
            <v>1.1000000000000001</v>
          </cell>
          <cell r="I23">
            <v>4.6231000000000001E-2</v>
          </cell>
          <cell r="K23">
            <v>0.21548</v>
          </cell>
          <cell r="CG23">
            <v>1</v>
          </cell>
          <cell r="CH23">
            <v>1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</row>
        <row r="24">
          <cell r="B24" t="str">
            <v>active mobility</v>
          </cell>
          <cell r="D24">
            <v>1.1000000000000001</v>
          </cell>
          <cell r="I24">
            <v>7.0443000000000006E-2</v>
          </cell>
          <cell r="K24">
            <v>3.5544999999999999E-3</v>
          </cell>
          <cell r="CG24">
            <v>1</v>
          </cell>
          <cell r="CH24">
            <v>1</v>
          </cell>
          <cell r="CI24">
            <v>1</v>
          </cell>
          <cell r="CJ24">
            <v>1</v>
          </cell>
          <cell r="CK24">
            <v>0</v>
          </cell>
          <cell r="CL24">
            <v>0</v>
          </cell>
        </row>
        <row r="25">
          <cell r="B25" t="str">
            <v>active mobility</v>
          </cell>
          <cell r="D25">
            <v>2.9</v>
          </cell>
          <cell r="I25">
            <v>4.9238999999999998E-2</v>
          </cell>
          <cell r="K25">
            <v>0.34781000000000001</v>
          </cell>
          <cell r="CG25">
            <v>1</v>
          </cell>
          <cell r="CH25">
            <v>1</v>
          </cell>
          <cell r="CI25">
            <v>0</v>
          </cell>
          <cell r="CJ25">
            <v>0</v>
          </cell>
          <cell r="CK25">
            <v>1</v>
          </cell>
          <cell r="CL25">
            <v>1</v>
          </cell>
        </row>
        <row r="26">
          <cell r="B26" t="str">
            <v>active mobility</v>
          </cell>
          <cell r="D26">
            <v>4.0999999999999996</v>
          </cell>
          <cell r="I26">
            <v>3.0888</v>
          </cell>
          <cell r="K26">
            <v>1.8942000000000001</v>
          </cell>
          <cell r="CG26">
            <v>1</v>
          </cell>
          <cell r="CH26">
            <v>1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</row>
        <row r="27">
          <cell r="B27" t="str">
            <v>active mobility</v>
          </cell>
          <cell r="D27">
            <v>4.0999999999999996</v>
          </cell>
          <cell r="I27">
            <v>1.1394</v>
          </cell>
          <cell r="K27">
            <v>8.1966999999999999</v>
          </cell>
          <cell r="CG27">
            <v>1</v>
          </cell>
          <cell r="CH27">
            <v>1</v>
          </cell>
          <cell r="CI27">
            <v>0</v>
          </cell>
          <cell r="CJ27">
            <v>0</v>
          </cell>
          <cell r="CK27">
            <v>1</v>
          </cell>
          <cell r="CL27">
            <v>1</v>
          </cell>
        </row>
        <row r="28">
          <cell r="B28" t="str">
            <v>co-housing</v>
          </cell>
          <cell r="D28">
            <v>1.1000000000000001</v>
          </cell>
          <cell r="I28">
            <v>0.22051000000000001</v>
          </cell>
          <cell r="K28">
            <v>2.6225000000000001</v>
          </cell>
          <cell r="CG28">
            <v>1</v>
          </cell>
          <cell r="CH28">
            <v>1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</row>
        <row r="29">
          <cell r="B29" t="str">
            <v>co-housing</v>
          </cell>
          <cell r="D29">
            <v>1.1000000000000001</v>
          </cell>
          <cell r="I29">
            <v>0.21246999999999999</v>
          </cell>
          <cell r="K29">
            <v>58.453000000000003</v>
          </cell>
          <cell r="CG29">
            <v>1</v>
          </cell>
          <cell r="CH29">
            <v>1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</row>
        <row r="30">
          <cell r="B30" t="str">
            <v>co-housing</v>
          </cell>
          <cell r="D30">
            <v>1.1000000000000001</v>
          </cell>
          <cell r="I30">
            <v>0.25973000000000002</v>
          </cell>
          <cell r="K30">
            <v>1.0356E-5</v>
          </cell>
          <cell r="CG30">
            <v>1</v>
          </cell>
          <cell r="CH30">
            <v>1</v>
          </cell>
          <cell r="CI30">
            <v>1</v>
          </cell>
          <cell r="CJ30">
            <v>1</v>
          </cell>
          <cell r="CK30">
            <v>0</v>
          </cell>
          <cell r="CL30">
            <v>0</v>
          </cell>
        </row>
        <row r="31">
          <cell r="B31" t="str">
            <v>co-housing</v>
          </cell>
          <cell r="D31">
            <v>4.0999999999999996</v>
          </cell>
          <cell r="I31">
            <v>6.5072000000000001</v>
          </cell>
          <cell r="K31">
            <v>-1.3766</v>
          </cell>
          <cell r="CG31">
            <v>0</v>
          </cell>
          <cell r="CH31">
            <v>1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</row>
        <row r="32">
          <cell r="B32" t="str">
            <v>co-housing</v>
          </cell>
          <cell r="D32">
            <v>4.0999999999999996</v>
          </cell>
          <cell r="K32">
            <v>100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1</v>
          </cell>
          <cell r="CL32">
            <v>1</v>
          </cell>
        </row>
        <row r="33">
          <cell r="B33" t="str">
            <v>co-housing</v>
          </cell>
          <cell r="D33">
            <v>1.1000000000000001</v>
          </cell>
          <cell r="I33">
            <v>0.20463000000000001</v>
          </cell>
          <cell r="K33">
            <v>9.41</v>
          </cell>
          <cell r="CG33">
            <v>1</v>
          </cell>
          <cell r="CH33">
            <v>1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</row>
        <row r="34">
          <cell r="B34" t="str">
            <v>co-housing</v>
          </cell>
          <cell r="D34">
            <v>1.1000000000000001</v>
          </cell>
          <cell r="I34">
            <v>0.1981</v>
          </cell>
          <cell r="K34">
            <v>2.5150999999999999E-6</v>
          </cell>
          <cell r="CG34">
            <v>1</v>
          </cell>
          <cell r="CH34">
            <v>1</v>
          </cell>
          <cell r="CI34">
            <v>0</v>
          </cell>
          <cell r="CJ34">
            <v>1</v>
          </cell>
          <cell r="CK34">
            <v>0</v>
          </cell>
          <cell r="CL34">
            <v>0</v>
          </cell>
        </row>
        <row r="35">
          <cell r="B35" t="str">
            <v>co-housing</v>
          </cell>
          <cell r="D35">
            <v>4.0999999999999996</v>
          </cell>
          <cell r="I35">
            <v>8.4815000000000005</v>
          </cell>
          <cell r="K35">
            <v>3.1097000000000001</v>
          </cell>
          <cell r="CG35">
            <v>1</v>
          </cell>
          <cell r="CH35">
            <v>1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</row>
        <row r="36">
          <cell r="B36" t="str">
            <v>co-housing</v>
          </cell>
          <cell r="D36">
            <v>4.0999999999999996</v>
          </cell>
          <cell r="I36">
            <v>0.77819000000000005</v>
          </cell>
          <cell r="K36">
            <v>5.2206000000000001</v>
          </cell>
          <cell r="CG36">
            <v>1</v>
          </cell>
          <cell r="CH36">
            <v>1</v>
          </cell>
          <cell r="CI36">
            <v>0</v>
          </cell>
          <cell r="CJ36">
            <v>0</v>
          </cell>
          <cell r="CK36">
            <v>0</v>
          </cell>
          <cell r="CL36">
            <v>1</v>
          </cell>
        </row>
        <row r="37">
          <cell r="B37" t="str">
            <v>co-housing</v>
          </cell>
          <cell r="D37">
            <v>3.3</v>
          </cell>
          <cell r="I37">
            <v>0.27251999999999998</v>
          </cell>
          <cell r="K37">
            <v>1.9577</v>
          </cell>
          <cell r="CG37">
            <v>1</v>
          </cell>
          <cell r="CH37">
            <v>1</v>
          </cell>
          <cell r="CI37">
            <v>0</v>
          </cell>
          <cell r="CJ37">
            <v>0</v>
          </cell>
          <cell r="CK37">
            <v>1</v>
          </cell>
          <cell r="CL37">
            <v>1</v>
          </cell>
        </row>
        <row r="38">
          <cell r="B38" t="str">
            <v>co-housing</v>
          </cell>
          <cell r="D38">
            <v>4.0999999999999996</v>
          </cell>
          <cell r="I38">
            <v>4.1952000000000003E-2</v>
          </cell>
          <cell r="K38">
            <v>0.3</v>
          </cell>
          <cell r="CG38">
            <v>1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</row>
        <row r="39">
          <cell r="B39" t="str">
            <v>co-housing</v>
          </cell>
          <cell r="D39">
            <v>4.0999999999999996</v>
          </cell>
          <cell r="I39">
            <v>22.562999999999999</v>
          </cell>
          <cell r="K39">
            <v>8.3332999999999995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1</v>
          </cell>
        </row>
        <row r="40">
          <cell r="B40" t="str">
            <v>co-housing</v>
          </cell>
          <cell r="D40">
            <v>1.1000000000000001</v>
          </cell>
          <cell r="I40">
            <v>0.47637000000000002</v>
          </cell>
          <cell r="K40">
            <v>213.23</v>
          </cell>
          <cell r="CG40">
            <v>1</v>
          </cell>
          <cell r="CH40">
            <v>1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</row>
        <row r="41">
          <cell r="B41" t="str">
            <v>co-housing</v>
          </cell>
          <cell r="D41">
            <v>1.1000000000000001</v>
          </cell>
          <cell r="I41">
            <v>0.49151</v>
          </cell>
          <cell r="K41">
            <v>7.7059999999999998E-7</v>
          </cell>
          <cell r="CG41">
            <v>1</v>
          </cell>
          <cell r="CH41">
            <v>1</v>
          </cell>
          <cell r="CI41">
            <v>0</v>
          </cell>
          <cell r="CJ41">
            <v>1</v>
          </cell>
          <cell r="CK41">
            <v>0</v>
          </cell>
          <cell r="CL41">
            <v>0</v>
          </cell>
        </row>
        <row r="42">
          <cell r="B42" t="str">
            <v>co-housing</v>
          </cell>
          <cell r="D42">
            <v>4.0999999999999996</v>
          </cell>
          <cell r="I42">
            <v>-0.33501999999999998</v>
          </cell>
          <cell r="K42">
            <v>-4.6870000000000003</v>
          </cell>
          <cell r="CG42">
            <v>1</v>
          </cell>
          <cell r="CH42">
            <v>1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</row>
        <row r="43">
          <cell r="B43" t="str">
            <v>co-housing</v>
          </cell>
          <cell r="D43">
            <v>4.0999999999999996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1</v>
          </cell>
        </row>
        <row r="44">
          <cell r="B44" t="str">
            <v>co-housing</v>
          </cell>
          <cell r="D44">
            <v>1.1000000000000001</v>
          </cell>
          <cell r="I44">
            <v>4.5172999999999998E-2</v>
          </cell>
          <cell r="K44">
            <v>1.2002999999999999</v>
          </cell>
          <cell r="CG44">
            <v>1</v>
          </cell>
          <cell r="CH44">
            <v>1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</row>
        <row r="45">
          <cell r="B45" t="str">
            <v>car ownership</v>
          </cell>
          <cell r="D45">
            <v>1.1000000000000001</v>
          </cell>
          <cell r="I45">
            <v>0.46196999999999999</v>
          </cell>
          <cell r="K45">
            <v>0.65734999999999999</v>
          </cell>
          <cell r="CG45">
            <v>0</v>
          </cell>
          <cell r="CH45">
            <v>1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</row>
        <row r="46">
          <cell r="B46" t="str">
            <v>car ownership</v>
          </cell>
          <cell r="D46">
            <v>1.1000000000000001</v>
          </cell>
          <cell r="I46">
            <v>0.46193000000000001</v>
          </cell>
          <cell r="K46">
            <v>6.5735000000000001E-4</v>
          </cell>
          <cell r="CG46">
            <v>0</v>
          </cell>
          <cell r="CH46">
            <v>1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 t="str">
            <v>SdS to fit partial from 2012 (peak year), then logfit of decline period should be useable</v>
          </cell>
        </row>
        <row r="47">
          <cell r="B47" t="str">
            <v>car ownership</v>
          </cell>
          <cell r="D47">
            <v>1.1000000000000001</v>
          </cell>
          <cell r="I47">
            <v>-1.8436999999999999E-2</v>
          </cell>
          <cell r="K47">
            <v>-6.8570999999999997E-4</v>
          </cell>
          <cell r="CG47">
            <v>1</v>
          </cell>
          <cell r="CH47">
            <v>1</v>
          </cell>
          <cell r="CI47">
            <v>0</v>
          </cell>
          <cell r="CJ47">
            <v>1</v>
          </cell>
          <cell r="CK47">
            <v>0</v>
          </cell>
          <cell r="CL47">
            <v>0</v>
          </cell>
        </row>
        <row r="48">
          <cell r="B48" t="str">
            <v>car ownership</v>
          </cell>
          <cell r="D48">
            <v>4.0999999999999996</v>
          </cell>
          <cell r="I48">
            <v>42.576000000000001</v>
          </cell>
          <cell r="K48">
            <v>1.8826000000000001</v>
          </cell>
          <cell r="CG48">
            <v>1</v>
          </cell>
          <cell r="CH48">
            <v>1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</row>
        <row r="49">
          <cell r="B49" t="str">
            <v>car ownership</v>
          </cell>
          <cell r="D49">
            <v>4.0999999999999996</v>
          </cell>
          <cell r="I49">
            <v>20.85</v>
          </cell>
          <cell r="K49">
            <v>1.8669</v>
          </cell>
          <cell r="CG49">
            <v>0</v>
          </cell>
          <cell r="CH49">
            <v>1</v>
          </cell>
          <cell r="CI49">
            <v>0</v>
          </cell>
          <cell r="CJ49">
            <v>0</v>
          </cell>
          <cell r="CK49">
            <v>0</v>
          </cell>
          <cell r="CL49">
            <v>1</v>
          </cell>
        </row>
        <row r="50">
          <cell r="B50" t="str">
            <v>car ownership</v>
          </cell>
          <cell r="D50">
            <v>3.3</v>
          </cell>
          <cell r="I50">
            <v>0.24765999999999999</v>
          </cell>
          <cell r="K50">
            <v>0.29061999999999999</v>
          </cell>
          <cell r="CG50">
            <v>1</v>
          </cell>
          <cell r="CH50">
            <v>1</v>
          </cell>
          <cell r="CI50">
            <v>0</v>
          </cell>
          <cell r="CJ50">
            <v>0</v>
          </cell>
          <cell r="CK50">
            <v>1</v>
          </cell>
          <cell r="CL50">
            <v>1</v>
          </cell>
        </row>
        <row r="51">
          <cell r="B51" t="str">
            <v>car ownership</v>
          </cell>
          <cell r="D51">
            <v>1.1000000000000001</v>
          </cell>
          <cell r="I51">
            <v>0.21243000000000001</v>
          </cell>
          <cell r="K51">
            <v>1.9702999999999999</v>
          </cell>
          <cell r="CG51">
            <v>1</v>
          </cell>
          <cell r="CH51">
            <v>1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</row>
        <row r="52">
          <cell r="B52" t="str">
            <v>car ownership</v>
          </cell>
          <cell r="D52">
            <v>1.1000000000000001</v>
          </cell>
          <cell r="I52">
            <v>0.21243000000000001</v>
          </cell>
          <cell r="K52">
            <v>1.9702999999999999E-3</v>
          </cell>
          <cell r="CG52">
            <v>1</v>
          </cell>
          <cell r="CH52">
            <v>1</v>
          </cell>
          <cell r="CI52">
            <v>0</v>
          </cell>
          <cell r="CJ52">
            <v>1</v>
          </cell>
          <cell r="CK52">
            <v>0</v>
          </cell>
          <cell r="CL52">
            <v>0</v>
          </cell>
          <cell r="CM52" t="str">
            <v>Trend is in unfavorable direction but fit seems correct</v>
          </cell>
        </row>
        <row r="53">
          <cell r="B53" t="str">
            <v>car ownership</v>
          </cell>
          <cell r="D53">
            <v>4.0999999999999996</v>
          </cell>
          <cell r="I53">
            <v>-11.704000000000001</v>
          </cell>
          <cell r="K53">
            <v>0.29987999999999998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</row>
        <row r="54">
          <cell r="B54" t="str">
            <v>car ownership</v>
          </cell>
          <cell r="D54">
            <v>4.0999999999999996</v>
          </cell>
          <cell r="I54">
            <v>17.664000000000001</v>
          </cell>
          <cell r="K54">
            <v>3.8462000000000001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1</v>
          </cell>
        </row>
        <row r="55">
          <cell r="B55" t="str">
            <v>car ownership</v>
          </cell>
          <cell r="D55">
            <v>1.1000000000000001</v>
          </cell>
          <cell r="I55">
            <v>-6.3911999999999997E-3</v>
          </cell>
          <cell r="K55">
            <v>-2.5196000000000001</v>
          </cell>
          <cell r="CG55">
            <v>1</v>
          </cell>
          <cell r="CH55">
            <v>1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</row>
        <row r="56">
          <cell r="B56" t="str">
            <v>car ownership</v>
          </cell>
          <cell r="D56">
            <v>1.1000000000000001</v>
          </cell>
          <cell r="I56">
            <v>-1.0707E-2</v>
          </cell>
          <cell r="K56">
            <v>-2.5195999999999999E-3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0</v>
          </cell>
          <cell r="CL56">
            <v>0</v>
          </cell>
        </row>
        <row r="57">
          <cell r="B57" t="str">
            <v>car sharing</v>
          </cell>
          <cell r="D57">
            <v>1.1000000000000001</v>
          </cell>
          <cell r="I57">
            <v>0.21557000000000001</v>
          </cell>
          <cell r="K57">
            <v>153360</v>
          </cell>
          <cell r="CG57">
            <v>1</v>
          </cell>
          <cell r="CH57">
            <v>1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</row>
        <row r="58">
          <cell r="B58" t="str">
            <v>car sharing</v>
          </cell>
          <cell r="D58">
            <v>1.1000000000000001</v>
          </cell>
          <cell r="I58">
            <v>0.26440000000000002</v>
          </cell>
          <cell r="K58">
            <v>1.5878000000000001E-3</v>
          </cell>
          <cell r="CG58">
            <v>1</v>
          </cell>
          <cell r="CH58">
            <v>1</v>
          </cell>
          <cell r="CI58">
            <v>1</v>
          </cell>
          <cell r="CJ58">
            <v>1</v>
          </cell>
          <cell r="CK58">
            <v>0</v>
          </cell>
          <cell r="CL58">
            <v>0</v>
          </cell>
        </row>
        <row r="59">
          <cell r="B59" t="str">
            <v>car sharing</v>
          </cell>
          <cell r="D59">
            <v>2.5</v>
          </cell>
          <cell r="I59">
            <v>0.21399000000000001</v>
          </cell>
          <cell r="K59">
            <v>323690</v>
          </cell>
          <cell r="CG59">
            <v>1</v>
          </cell>
          <cell r="CH59">
            <v>1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</row>
        <row r="60">
          <cell r="B60" t="str">
            <v>car sharing</v>
          </cell>
          <cell r="D60">
            <v>2.5</v>
          </cell>
          <cell r="I60">
            <v>0.1774</v>
          </cell>
          <cell r="K60">
            <v>1598.6</v>
          </cell>
          <cell r="CG60">
            <v>1</v>
          </cell>
          <cell r="CH60">
            <v>1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</row>
        <row r="61">
          <cell r="B61" t="str">
            <v>car sharing</v>
          </cell>
          <cell r="D61">
            <v>2.5</v>
          </cell>
          <cell r="I61">
            <v>2.3639000000000001</v>
          </cell>
          <cell r="K61">
            <v>2.5933999999999999E-2</v>
          </cell>
          <cell r="CG61">
            <v>1</v>
          </cell>
          <cell r="CH61">
            <v>1</v>
          </cell>
          <cell r="CI61">
            <v>0</v>
          </cell>
          <cell r="CJ61">
            <v>0</v>
          </cell>
          <cell r="CK61">
            <v>1</v>
          </cell>
          <cell r="CL61">
            <v>1</v>
          </cell>
        </row>
        <row r="62">
          <cell r="B62" t="str">
            <v>car sharing</v>
          </cell>
          <cell r="D62">
            <v>2.5</v>
          </cell>
          <cell r="I62">
            <v>0.1802</v>
          </cell>
          <cell r="K62">
            <v>34099</v>
          </cell>
          <cell r="CG62">
            <v>1</v>
          </cell>
          <cell r="CH62">
            <v>1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</row>
        <row r="63">
          <cell r="B63" t="str">
            <v>car sharing</v>
          </cell>
          <cell r="D63">
            <v>2.5</v>
          </cell>
          <cell r="I63">
            <v>0.13982</v>
          </cell>
          <cell r="K63">
            <v>574.33000000000004</v>
          </cell>
          <cell r="CG63">
            <v>1</v>
          </cell>
          <cell r="CH63">
            <v>1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</row>
        <row r="64">
          <cell r="B64" t="str">
            <v>car sharing</v>
          </cell>
          <cell r="D64">
            <v>2.9</v>
          </cell>
          <cell r="I64">
            <v>0.14721000000000001</v>
          </cell>
          <cell r="K64">
            <v>1286</v>
          </cell>
          <cell r="CG64">
            <v>1</v>
          </cell>
          <cell r="CH64">
            <v>1</v>
          </cell>
          <cell r="CI64">
            <v>0</v>
          </cell>
          <cell r="CJ64">
            <v>0</v>
          </cell>
          <cell r="CK64">
            <v>1</v>
          </cell>
          <cell r="CL64">
            <v>1</v>
          </cell>
        </row>
        <row r="65">
          <cell r="B65" t="str">
            <v>car sharing</v>
          </cell>
          <cell r="D65">
            <v>3.5</v>
          </cell>
          <cell r="I65">
            <v>0.23974999999999999</v>
          </cell>
          <cell r="K65">
            <v>0.51224999999999998</v>
          </cell>
          <cell r="CG65">
            <v>1</v>
          </cell>
          <cell r="CH65">
            <v>1</v>
          </cell>
          <cell r="CI65">
            <v>0</v>
          </cell>
          <cell r="CJ65">
            <v>0</v>
          </cell>
          <cell r="CK65">
            <v>1</v>
          </cell>
          <cell r="CL65">
            <v>1</v>
          </cell>
        </row>
        <row r="66">
          <cell r="B66" t="str">
            <v>car sharing</v>
          </cell>
          <cell r="D66">
            <v>3.5</v>
          </cell>
          <cell r="I66">
            <v>63.155000000000001</v>
          </cell>
          <cell r="K66">
            <v>3.5705000000000001E-2</v>
          </cell>
          <cell r="CG66">
            <v>0</v>
          </cell>
          <cell r="CH66">
            <v>1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</row>
        <row r="67">
          <cell r="B67" t="str">
            <v>car sharing</v>
          </cell>
          <cell r="D67">
            <v>3.5</v>
          </cell>
          <cell r="I67">
            <v>0.62558000000000002</v>
          </cell>
          <cell r="K67">
            <v>7.0223999999999995E-2</v>
          </cell>
          <cell r="CG67">
            <v>1</v>
          </cell>
          <cell r="CH67">
            <v>1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</row>
        <row r="68">
          <cell r="B68" t="str">
            <v>car sharing</v>
          </cell>
          <cell r="D68">
            <v>3.5</v>
          </cell>
          <cell r="I68">
            <v>2.9422999999999999</v>
          </cell>
          <cell r="K68">
            <v>1.4549000000000001</v>
          </cell>
          <cell r="CG68">
            <v>1</v>
          </cell>
          <cell r="CH68">
            <v>1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</row>
        <row r="69">
          <cell r="B69" t="str">
            <v>car sharing</v>
          </cell>
          <cell r="D69">
            <v>3.5</v>
          </cell>
          <cell r="I69">
            <v>22.478999999999999</v>
          </cell>
          <cell r="K69">
            <v>9.2407000000000004</v>
          </cell>
          <cell r="CG69">
            <v>0</v>
          </cell>
          <cell r="CH69">
            <v>1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</row>
        <row r="70">
          <cell r="B70" t="str">
            <v>car sharing</v>
          </cell>
          <cell r="D70">
            <v>3.5</v>
          </cell>
          <cell r="I70">
            <v>0.82347000000000004</v>
          </cell>
          <cell r="K70">
            <v>0.12398000000000001</v>
          </cell>
          <cell r="CG70">
            <v>1</v>
          </cell>
          <cell r="CH70">
            <v>1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</row>
        <row r="71">
          <cell r="B71" t="str">
            <v>car sharing</v>
          </cell>
          <cell r="D71">
            <v>3.5</v>
          </cell>
          <cell r="I71">
            <v>0.18789</v>
          </cell>
          <cell r="K71">
            <v>4.3711000000000002</v>
          </cell>
          <cell r="CG71">
            <v>1</v>
          </cell>
          <cell r="CH71">
            <v>1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</row>
        <row r="72">
          <cell r="B72" t="str">
            <v>car sharing</v>
          </cell>
          <cell r="D72">
            <v>3.5</v>
          </cell>
          <cell r="I72">
            <v>0.21962999999999999</v>
          </cell>
          <cell r="K72">
            <v>0.4698</v>
          </cell>
          <cell r="CG72">
            <v>1</v>
          </cell>
          <cell r="CH72">
            <v>1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</row>
        <row r="73">
          <cell r="B73" t="str">
            <v>car sharing</v>
          </cell>
          <cell r="D73">
            <v>3.5</v>
          </cell>
          <cell r="I73">
            <v>0.23974999999999999</v>
          </cell>
          <cell r="K73">
            <v>0.51224999999999998</v>
          </cell>
          <cell r="CG73">
            <v>1</v>
          </cell>
          <cell r="CH73">
            <v>1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</row>
        <row r="74">
          <cell r="B74" t="str">
            <v>car sharing</v>
          </cell>
          <cell r="D74">
            <v>3.5</v>
          </cell>
          <cell r="I74">
            <v>0.64356999999999998</v>
          </cell>
          <cell r="K74">
            <v>4.9786999999999998E-2</v>
          </cell>
          <cell r="CG74">
            <v>0</v>
          </cell>
          <cell r="CH74">
            <v>1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</row>
        <row r="75">
          <cell r="B75" t="str">
            <v>car sharing</v>
          </cell>
          <cell r="D75">
            <v>3.5</v>
          </cell>
          <cell r="I75">
            <v>0.42254999999999998</v>
          </cell>
          <cell r="K75">
            <v>0.49513000000000001</v>
          </cell>
          <cell r="CG75">
            <v>1</v>
          </cell>
          <cell r="CH75">
            <v>1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</row>
        <row r="76">
          <cell r="B76" t="str">
            <v>car sharing</v>
          </cell>
          <cell r="D76">
            <v>3.5</v>
          </cell>
          <cell r="I76">
            <v>0.33673999999999998</v>
          </cell>
          <cell r="K76">
            <v>7.2765999999999997E-2</v>
          </cell>
          <cell r="CG76">
            <v>1</v>
          </cell>
          <cell r="CH76">
            <v>1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</row>
        <row r="77">
          <cell r="B77" t="str">
            <v>car sharing</v>
          </cell>
          <cell r="D77">
            <v>3.5</v>
          </cell>
          <cell r="I77">
            <v>1.2319</v>
          </cell>
          <cell r="K77">
            <v>5.9957000000000003</v>
          </cell>
          <cell r="CG77">
            <v>1</v>
          </cell>
          <cell r="CH77">
            <v>1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</row>
        <row r="78">
          <cell r="B78" t="str">
            <v>car sharing</v>
          </cell>
          <cell r="D78">
            <v>3.5</v>
          </cell>
          <cell r="I78">
            <v>1.0466</v>
          </cell>
          <cell r="K78">
            <v>1.1129</v>
          </cell>
          <cell r="CG78">
            <v>0</v>
          </cell>
          <cell r="CH78">
            <v>1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</row>
        <row r="79">
          <cell r="B79" t="str">
            <v>car sharing</v>
          </cell>
          <cell r="D79">
            <v>3.5</v>
          </cell>
          <cell r="I79">
            <v>3.3990999999999998</v>
          </cell>
          <cell r="K79">
            <v>34.558999999999997</v>
          </cell>
          <cell r="CG79">
            <v>0</v>
          </cell>
          <cell r="CH79">
            <v>1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</row>
        <row r="80">
          <cell r="B80" t="str">
            <v>car sharing</v>
          </cell>
          <cell r="D80">
            <v>3.5</v>
          </cell>
          <cell r="I80">
            <v>3.3271999999999999</v>
          </cell>
          <cell r="K80">
            <v>8.4007000000000005</v>
          </cell>
          <cell r="CG80">
            <v>0</v>
          </cell>
          <cell r="CH80">
            <v>1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</row>
        <row r="81">
          <cell r="B81" t="str">
            <v>car sharing</v>
          </cell>
          <cell r="D81">
            <v>3.5</v>
          </cell>
          <cell r="I81">
            <v>0.30869999999999997</v>
          </cell>
          <cell r="K81">
            <v>0.89498999999999995</v>
          </cell>
          <cell r="CG81">
            <v>1</v>
          </cell>
          <cell r="CH81">
            <v>1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</row>
        <row r="82">
          <cell r="B82" t="str">
            <v>car sharing</v>
          </cell>
          <cell r="D82">
            <v>3.5</v>
          </cell>
          <cell r="I82">
            <v>0.30712</v>
          </cell>
          <cell r="K82">
            <v>0.11992999999999999</v>
          </cell>
          <cell r="CG82">
            <v>1</v>
          </cell>
          <cell r="CH82">
            <v>1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</row>
        <row r="83">
          <cell r="B83" t="str">
            <v>car sharing</v>
          </cell>
          <cell r="D83">
            <v>4.0999999999999996</v>
          </cell>
          <cell r="I83">
            <v>20.545000000000002</v>
          </cell>
          <cell r="K83">
            <v>3.5116999999999998</v>
          </cell>
          <cell r="CG83">
            <v>0</v>
          </cell>
          <cell r="CH83">
            <v>1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</row>
        <row r="84">
          <cell r="B84" t="str">
            <v>car sharing</v>
          </cell>
          <cell r="D84">
            <v>4.0999999999999996</v>
          </cell>
          <cell r="K84">
            <v>3.4988000000000001</v>
          </cell>
          <cell r="CG84">
            <v>0</v>
          </cell>
          <cell r="CH84">
            <v>1</v>
          </cell>
          <cell r="CI84">
            <v>0</v>
          </cell>
          <cell r="CJ84">
            <v>0</v>
          </cell>
          <cell r="CK84">
            <v>1</v>
          </cell>
          <cell r="CL84">
            <v>1</v>
          </cell>
        </row>
        <row r="85">
          <cell r="B85" t="str">
            <v>car sharing</v>
          </cell>
          <cell r="D85">
            <v>4.2</v>
          </cell>
          <cell r="I85">
            <v>0.20877999999999999</v>
          </cell>
          <cell r="K85">
            <v>4.1051000000000002</v>
          </cell>
          <cell r="CG85">
            <v>1</v>
          </cell>
          <cell r="CH85">
            <v>1</v>
          </cell>
          <cell r="CI85">
            <v>0</v>
          </cell>
          <cell r="CJ85">
            <v>0</v>
          </cell>
          <cell r="CK85">
            <v>1</v>
          </cell>
          <cell r="CL85">
            <v>1</v>
          </cell>
        </row>
        <row r="86">
          <cell r="B86" t="str">
            <v>car sharing</v>
          </cell>
          <cell r="D86">
            <v>4.2</v>
          </cell>
          <cell r="I86">
            <v>0.20877999999999999</v>
          </cell>
          <cell r="K86">
            <v>4.1051000000000002</v>
          </cell>
          <cell r="CG86">
            <v>1</v>
          </cell>
          <cell r="CH86">
            <v>1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</row>
        <row r="87">
          <cell r="B87" t="str">
            <v>car sharing</v>
          </cell>
          <cell r="D87">
            <v>3.3</v>
          </cell>
          <cell r="I87">
            <v>0.76722000000000001</v>
          </cell>
          <cell r="K87">
            <v>7.5509000000000004</v>
          </cell>
          <cell r="CG87">
            <v>1</v>
          </cell>
          <cell r="CH87">
            <v>1</v>
          </cell>
          <cell r="CI87">
            <v>0</v>
          </cell>
          <cell r="CJ87">
            <v>0</v>
          </cell>
          <cell r="CK87">
            <v>1</v>
          </cell>
          <cell r="CL87">
            <v>1</v>
          </cell>
        </row>
        <row r="88">
          <cell r="B88" t="str">
            <v>car sharing</v>
          </cell>
          <cell r="D88">
            <v>3.5</v>
          </cell>
          <cell r="I88">
            <v>0.25922000000000001</v>
          </cell>
          <cell r="K88">
            <v>6.0865999999999998</v>
          </cell>
          <cell r="CG88">
            <v>1</v>
          </cell>
          <cell r="CH88">
            <v>1</v>
          </cell>
          <cell r="CI88">
            <v>0</v>
          </cell>
          <cell r="CJ88">
            <v>0</v>
          </cell>
          <cell r="CK88">
            <v>0</v>
          </cell>
          <cell r="CL88">
            <v>1</v>
          </cell>
        </row>
        <row r="89">
          <cell r="B89" t="str">
            <v>car sharing</v>
          </cell>
          <cell r="D89">
            <v>3.5</v>
          </cell>
          <cell r="I89">
            <v>0.60418000000000005</v>
          </cell>
          <cell r="K89">
            <v>0.42714000000000002</v>
          </cell>
          <cell r="CG89">
            <v>1</v>
          </cell>
          <cell r="CH89">
            <v>1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</row>
        <row r="90">
          <cell r="B90" t="str">
            <v>car sharing</v>
          </cell>
          <cell r="D90">
            <v>3.5</v>
          </cell>
          <cell r="I90">
            <v>0.81264999999999998</v>
          </cell>
          <cell r="K90">
            <v>0.91647000000000001</v>
          </cell>
          <cell r="CG90">
            <v>1</v>
          </cell>
          <cell r="CH90">
            <v>1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</row>
        <row r="91">
          <cell r="B91" t="str">
            <v>car sharing</v>
          </cell>
          <cell r="D91">
            <v>3.5</v>
          </cell>
          <cell r="I91">
            <v>22.634</v>
          </cell>
          <cell r="K91">
            <v>72.165999999999997</v>
          </cell>
          <cell r="CG91">
            <v>0</v>
          </cell>
          <cell r="CH91">
            <v>1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</row>
        <row r="92">
          <cell r="B92" t="str">
            <v>car sharing</v>
          </cell>
          <cell r="D92">
            <v>3.5</v>
          </cell>
          <cell r="I92">
            <v>0.63671</v>
          </cell>
          <cell r="K92">
            <v>154.29</v>
          </cell>
          <cell r="CG92">
            <v>0</v>
          </cell>
          <cell r="CH92">
            <v>1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</row>
        <row r="93">
          <cell r="B93" t="str">
            <v>car sharing</v>
          </cell>
          <cell r="D93">
            <v>3.5</v>
          </cell>
          <cell r="I93">
            <v>0.68113999999999997</v>
          </cell>
          <cell r="K93">
            <v>1.381</v>
          </cell>
          <cell r="CG93">
            <v>1</v>
          </cell>
          <cell r="CH93">
            <v>1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</row>
        <row r="94">
          <cell r="B94" t="str">
            <v>car sharing</v>
          </cell>
          <cell r="D94">
            <v>3.5</v>
          </cell>
          <cell r="I94">
            <v>0.17221</v>
          </cell>
          <cell r="K94">
            <v>51.953000000000003</v>
          </cell>
          <cell r="CG94">
            <v>1</v>
          </cell>
          <cell r="CH94">
            <v>1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</row>
        <row r="95">
          <cell r="B95" t="str">
            <v>car sharing</v>
          </cell>
          <cell r="D95">
            <v>3.5</v>
          </cell>
          <cell r="I95">
            <v>0.25922000000000001</v>
          </cell>
          <cell r="K95">
            <v>6.0865999999999998</v>
          </cell>
          <cell r="CG95">
            <v>1</v>
          </cell>
          <cell r="CH95">
            <v>1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</row>
        <row r="96">
          <cell r="B96" t="str">
            <v>car sharing</v>
          </cell>
          <cell r="D96">
            <v>3.5</v>
          </cell>
          <cell r="I96">
            <v>0.25922000000000001</v>
          </cell>
          <cell r="K96">
            <v>6.0865999999999998</v>
          </cell>
          <cell r="CG96">
            <v>1</v>
          </cell>
          <cell r="CH96">
            <v>1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</row>
        <row r="97">
          <cell r="B97" t="str">
            <v>car sharing</v>
          </cell>
          <cell r="D97">
            <v>3.5</v>
          </cell>
          <cell r="I97">
            <v>0.20047999999999999</v>
          </cell>
          <cell r="K97">
            <v>0.50758999999999999</v>
          </cell>
          <cell r="CG97">
            <v>1</v>
          </cell>
          <cell r="CH97">
            <v>1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</row>
        <row r="98">
          <cell r="B98" t="str">
            <v>car sharing</v>
          </cell>
          <cell r="D98">
            <v>3.5</v>
          </cell>
          <cell r="I98">
            <v>0.38212000000000002</v>
          </cell>
          <cell r="K98">
            <v>6.8368000000000002</v>
          </cell>
          <cell r="CG98">
            <v>1</v>
          </cell>
          <cell r="CH98">
            <v>1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</row>
        <row r="99">
          <cell r="B99" t="str">
            <v>car sharing</v>
          </cell>
          <cell r="D99">
            <v>3.5</v>
          </cell>
          <cell r="I99">
            <v>0.51302000000000003</v>
          </cell>
          <cell r="K99">
            <v>0.90778999999999999</v>
          </cell>
          <cell r="CG99">
            <v>1</v>
          </cell>
          <cell r="CH99">
            <v>1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</row>
        <row r="100">
          <cell r="B100" t="str">
            <v>car sharing</v>
          </cell>
          <cell r="D100">
            <v>3.5</v>
          </cell>
          <cell r="I100">
            <v>0.62880999999999998</v>
          </cell>
          <cell r="K100">
            <v>616.86</v>
          </cell>
          <cell r="CG100">
            <v>1</v>
          </cell>
          <cell r="CH100">
            <v>1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</row>
        <row r="101">
          <cell r="B101" t="str">
            <v>car sharing</v>
          </cell>
          <cell r="D101">
            <v>3.5</v>
          </cell>
          <cell r="I101">
            <v>0.35321000000000002</v>
          </cell>
          <cell r="K101">
            <v>94.89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</row>
        <row r="102">
          <cell r="B102" t="str">
            <v>car sharing</v>
          </cell>
          <cell r="D102">
            <v>3.5</v>
          </cell>
          <cell r="I102">
            <v>0.45707999999999999</v>
          </cell>
          <cell r="K102">
            <v>1440.7</v>
          </cell>
          <cell r="CG102">
            <v>1</v>
          </cell>
          <cell r="CH102">
            <v>1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</row>
        <row r="103">
          <cell r="B103" t="str">
            <v>car sharing</v>
          </cell>
          <cell r="D103">
            <v>3.5</v>
          </cell>
          <cell r="I103">
            <v>0.97709999999999997</v>
          </cell>
          <cell r="K103">
            <v>130.35</v>
          </cell>
          <cell r="CG103">
            <v>0</v>
          </cell>
          <cell r="CH103">
            <v>1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</row>
        <row r="104">
          <cell r="B104" t="str">
            <v>car sharing</v>
          </cell>
          <cell r="D104">
            <v>3.5</v>
          </cell>
          <cell r="I104">
            <v>0.34705000000000003</v>
          </cell>
          <cell r="K104">
            <v>10.458</v>
          </cell>
          <cell r="CG104">
            <v>1</v>
          </cell>
          <cell r="CH104">
            <v>1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</row>
        <row r="105">
          <cell r="B105" t="str">
            <v>car sharing</v>
          </cell>
          <cell r="D105">
            <v>3.5</v>
          </cell>
          <cell r="I105">
            <v>0.45332</v>
          </cell>
          <cell r="K105">
            <v>1.3382000000000001</v>
          </cell>
          <cell r="CG105">
            <v>1</v>
          </cell>
          <cell r="CH105">
            <v>1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</row>
        <row r="106">
          <cell r="B106" t="str">
            <v>digital skills</v>
          </cell>
          <cell r="D106">
            <v>1.1000000000000001</v>
          </cell>
          <cell r="I106">
            <v>0.19850000000000001</v>
          </cell>
          <cell r="K106">
            <v>2.9441999999999999E-2</v>
          </cell>
          <cell r="CG106">
            <v>1</v>
          </cell>
          <cell r="CH106">
            <v>1</v>
          </cell>
          <cell r="CI106">
            <v>0</v>
          </cell>
          <cell r="CJ106">
            <v>1</v>
          </cell>
          <cell r="CK106">
            <v>0</v>
          </cell>
          <cell r="CL106">
            <v>0</v>
          </cell>
          <cell r="CM106" t="str">
            <v>preferred as 1.1, better fits than for bundle of 6 indicators</v>
          </cell>
        </row>
        <row r="107">
          <cell r="B107" t="str">
            <v>digital skills</v>
          </cell>
          <cell r="D107">
            <v>1.1000000000000001</v>
          </cell>
          <cell r="I107">
            <v>0.12112000000000001</v>
          </cell>
          <cell r="K107">
            <v>9.7976000000000001E-3</v>
          </cell>
          <cell r="CG107">
            <v>1</v>
          </cell>
          <cell r="CH107">
            <v>1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</row>
        <row r="108">
          <cell r="B108" t="str">
            <v>digital skills</v>
          </cell>
          <cell r="D108">
            <v>1.1000000000000001</v>
          </cell>
          <cell r="I108">
            <v>0.17680000000000001</v>
          </cell>
          <cell r="K108">
            <v>1.8675000000000001E-2</v>
          </cell>
          <cell r="CG108">
            <v>0</v>
          </cell>
          <cell r="CH108">
            <v>1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</row>
        <row r="109">
          <cell r="B109" t="str">
            <v>digital skills</v>
          </cell>
          <cell r="D109">
            <v>1.1000000000000001</v>
          </cell>
          <cell r="I109">
            <v>0.18564</v>
          </cell>
          <cell r="K109">
            <v>1.6990000000000002E-2</v>
          </cell>
          <cell r="CG109">
            <v>0</v>
          </cell>
          <cell r="CH109">
            <v>1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</row>
        <row r="110">
          <cell r="B110" t="str">
            <v>digital skills</v>
          </cell>
          <cell r="D110">
            <v>1.1000000000000001</v>
          </cell>
          <cell r="I110">
            <v>0.50051999999999996</v>
          </cell>
          <cell r="K110">
            <v>1.4317E-2</v>
          </cell>
          <cell r="CG110">
            <v>1</v>
          </cell>
          <cell r="CH110">
            <v>1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</row>
        <row r="111">
          <cell r="B111" t="str">
            <v>digital skills</v>
          </cell>
          <cell r="D111">
            <v>1.1000000000000001</v>
          </cell>
          <cell r="I111">
            <v>0.15728</v>
          </cell>
          <cell r="K111">
            <v>2.8490000000000001E-2</v>
          </cell>
          <cell r="CG111">
            <v>1</v>
          </cell>
          <cell r="CH111">
            <v>1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</row>
        <row r="112">
          <cell r="B112" t="str">
            <v>digital skills</v>
          </cell>
          <cell r="D112">
            <v>1.1000000000000001</v>
          </cell>
          <cell r="I112">
            <v>8.1920999999999994E-2</v>
          </cell>
          <cell r="K112">
            <v>1.8842000000000001E-2</v>
          </cell>
          <cell r="CG112">
            <v>1</v>
          </cell>
          <cell r="CH112">
            <v>1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</row>
        <row r="113">
          <cell r="B113" t="str">
            <v>digital skills</v>
          </cell>
          <cell r="D113">
            <v>2.9</v>
          </cell>
          <cell r="I113">
            <v>0.26168999999999998</v>
          </cell>
          <cell r="K113">
            <v>1.9515999999999999E-2</v>
          </cell>
          <cell r="CG113">
            <v>1</v>
          </cell>
          <cell r="CH113">
            <v>1</v>
          </cell>
          <cell r="CI113">
            <v>0</v>
          </cell>
          <cell r="CJ113">
            <v>0</v>
          </cell>
          <cell r="CK113">
            <v>1</v>
          </cell>
          <cell r="CL113">
            <v>1</v>
          </cell>
        </row>
        <row r="114">
          <cell r="B114" t="str">
            <v>digital skills</v>
          </cell>
          <cell r="D114">
            <v>3.3</v>
          </cell>
          <cell r="I114">
            <v>0.29752000000000001</v>
          </cell>
          <cell r="K114">
            <v>18.994</v>
          </cell>
          <cell r="CG114">
            <v>1</v>
          </cell>
          <cell r="CH114">
            <v>1</v>
          </cell>
          <cell r="CI114">
            <v>0</v>
          </cell>
          <cell r="CJ114">
            <v>0</v>
          </cell>
          <cell r="CK114">
            <v>1</v>
          </cell>
          <cell r="CL114">
            <v>1</v>
          </cell>
        </row>
        <row r="115">
          <cell r="B115" t="str">
            <v>digital skills</v>
          </cell>
          <cell r="D115">
            <v>1.1000000000000001</v>
          </cell>
          <cell r="I115">
            <v>0.12089999999999999</v>
          </cell>
          <cell r="K115">
            <v>2.2435E-2</v>
          </cell>
          <cell r="CG115">
            <v>1</v>
          </cell>
          <cell r="CH115">
            <v>1</v>
          </cell>
          <cell r="CI115">
            <v>0</v>
          </cell>
          <cell r="CJ115">
            <v>1</v>
          </cell>
          <cell r="CK115">
            <v>0</v>
          </cell>
          <cell r="CL115">
            <v>0</v>
          </cell>
          <cell r="CM115" t="str">
            <v>preferred as 1.1, better fits than for bundle of 6 indicators</v>
          </cell>
        </row>
        <row r="116">
          <cell r="B116" t="str">
            <v>digital skills</v>
          </cell>
          <cell r="D116">
            <v>1.1000000000000001</v>
          </cell>
          <cell r="I116">
            <v>0.20457</v>
          </cell>
          <cell r="K116">
            <v>9.9872999999999993E-3</v>
          </cell>
          <cell r="CG116">
            <v>1</v>
          </cell>
          <cell r="CH116">
            <v>1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</row>
        <row r="117">
          <cell r="B117" t="str">
            <v>digital skills</v>
          </cell>
          <cell r="D117">
            <v>1.1000000000000001</v>
          </cell>
          <cell r="I117">
            <v>0.1394</v>
          </cell>
          <cell r="K117">
            <v>2.3820999999999998E-2</v>
          </cell>
          <cell r="CG117">
            <v>1</v>
          </cell>
          <cell r="CH117">
            <v>1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</row>
        <row r="118">
          <cell r="B118" t="str">
            <v>digital skills</v>
          </cell>
          <cell r="D118">
            <v>1.1000000000000001</v>
          </cell>
          <cell r="I118">
            <v>4.2366000000000001E-2</v>
          </cell>
          <cell r="K118">
            <v>1.5945999999999998E-2</v>
          </cell>
          <cell r="CG118">
            <v>1</v>
          </cell>
          <cell r="CH118">
            <v>1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</row>
        <row r="119">
          <cell r="B119" t="str">
            <v>digital skills</v>
          </cell>
          <cell r="D119">
            <v>1.1000000000000001</v>
          </cell>
          <cell r="I119">
            <v>9.1011999999999996E-2</v>
          </cell>
          <cell r="K119">
            <v>5.8494999999999997E-3</v>
          </cell>
          <cell r="CG119">
            <v>1</v>
          </cell>
          <cell r="CH119">
            <v>1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</row>
        <row r="120">
          <cell r="B120" t="str">
            <v>digital skills</v>
          </cell>
          <cell r="D120">
            <v>1.1000000000000001</v>
          </cell>
          <cell r="I120">
            <v>0.19405</v>
          </cell>
          <cell r="K120">
            <v>2.2662000000000002E-2</v>
          </cell>
          <cell r="CG120">
            <v>1</v>
          </cell>
          <cell r="CH120">
            <v>1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</row>
        <row r="121">
          <cell r="B121" t="str">
            <v>digital skills</v>
          </cell>
          <cell r="D121">
            <v>1.1000000000000001</v>
          </cell>
          <cell r="I121">
            <v>9.8544000000000007E-2</v>
          </cell>
          <cell r="K121">
            <v>1.9021E-2</v>
          </cell>
          <cell r="CG121">
            <v>1</v>
          </cell>
          <cell r="CH121">
            <v>1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</row>
        <row r="122">
          <cell r="B122" t="str">
            <v>digital skills</v>
          </cell>
          <cell r="D122">
            <v>2.9</v>
          </cell>
          <cell r="I122">
            <v>0.26891999999999999</v>
          </cell>
          <cell r="K122">
            <v>1.8967999999999999E-2</v>
          </cell>
          <cell r="CG122">
            <v>1</v>
          </cell>
          <cell r="CH122">
            <v>1</v>
          </cell>
          <cell r="CI122">
            <v>0</v>
          </cell>
          <cell r="CJ122">
            <v>0</v>
          </cell>
          <cell r="CK122">
            <v>0</v>
          </cell>
          <cell r="CL122">
            <v>1</v>
          </cell>
        </row>
        <row r="123">
          <cell r="B123" t="str">
            <v>digital skills</v>
          </cell>
          <cell r="D123">
            <v>1.1000000000000001</v>
          </cell>
          <cell r="I123">
            <v>0.24092</v>
          </cell>
          <cell r="K123">
            <v>2.2571999999999998E-2</v>
          </cell>
          <cell r="CG123">
            <v>1</v>
          </cell>
          <cell r="CH123">
            <v>1</v>
          </cell>
          <cell r="CI123">
            <v>0</v>
          </cell>
          <cell r="CJ123">
            <v>1</v>
          </cell>
          <cell r="CK123">
            <v>0</v>
          </cell>
          <cell r="CL123">
            <v>0</v>
          </cell>
          <cell r="CM123" t="str">
            <v>preferred as 1.1, better fits than for bundle of 6 indicators</v>
          </cell>
        </row>
        <row r="124">
          <cell r="B124" t="str">
            <v>digital skills</v>
          </cell>
          <cell r="D124">
            <v>1.1000000000000001</v>
          </cell>
          <cell r="I124">
            <v>0.12427000000000001</v>
          </cell>
          <cell r="K124">
            <v>1.3285E-2</v>
          </cell>
          <cell r="CG124">
            <v>1</v>
          </cell>
          <cell r="CH124">
            <v>1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</row>
        <row r="125">
          <cell r="B125" t="str">
            <v>digital skills</v>
          </cell>
          <cell r="D125">
            <v>1.1000000000000001</v>
          </cell>
          <cell r="I125">
            <v>0.18703</v>
          </cell>
          <cell r="K125">
            <v>1.6518000000000001E-2</v>
          </cell>
          <cell r="CG125">
            <v>1</v>
          </cell>
          <cell r="CH125">
            <v>1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</row>
        <row r="126">
          <cell r="B126" t="str">
            <v>digital skills</v>
          </cell>
          <cell r="D126">
            <v>1.1000000000000001</v>
          </cell>
          <cell r="I126">
            <v>0.15154999999999999</v>
          </cell>
          <cell r="K126">
            <v>1.4879E-2</v>
          </cell>
          <cell r="CG126">
            <v>1</v>
          </cell>
          <cell r="CH126">
            <v>1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</row>
        <row r="127">
          <cell r="B127" t="str">
            <v>digital skills</v>
          </cell>
          <cell r="D127">
            <v>1.1000000000000001</v>
          </cell>
          <cell r="I127">
            <v>0.32991999999999999</v>
          </cell>
          <cell r="K127">
            <v>1.9703999999999999E-2</v>
          </cell>
          <cell r="CG127">
            <v>1</v>
          </cell>
          <cell r="CH127">
            <v>1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</row>
        <row r="128">
          <cell r="B128" t="str">
            <v>digital skills</v>
          </cell>
          <cell r="D128">
            <v>1.1000000000000001</v>
          </cell>
          <cell r="I128">
            <v>0.18328</v>
          </cell>
          <cell r="K128">
            <v>2.8042000000000001E-2</v>
          </cell>
          <cell r="CG128">
            <v>1</v>
          </cell>
          <cell r="CH128">
            <v>1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</row>
        <row r="129">
          <cell r="B129" t="str">
            <v>digital skills</v>
          </cell>
          <cell r="D129">
            <v>1.1000000000000001</v>
          </cell>
          <cell r="I129">
            <v>7.9711000000000004E-2</v>
          </cell>
          <cell r="K129">
            <v>1.8350000000000002E-2</v>
          </cell>
          <cell r="CG129">
            <v>1</v>
          </cell>
          <cell r="CH129">
            <v>1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</row>
        <row r="130">
          <cell r="B130" t="str">
            <v>digital skills</v>
          </cell>
          <cell r="D130">
            <v>2.9</v>
          </cell>
          <cell r="I130">
            <v>0.13850999999999999</v>
          </cell>
          <cell r="K130">
            <v>2.4041E-2</v>
          </cell>
          <cell r="CG130">
            <v>1</v>
          </cell>
          <cell r="CH130">
            <v>1</v>
          </cell>
          <cell r="CI130">
            <v>0</v>
          </cell>
          <cell r="CJ130">
            <v>0</v>
          </cell>
          <cell r="CK130">
            <v>0</v>
          </cell>
          <cell r="CL130">
            <v>1</v>
          </cell>
        </row>
        <row r="131">
          <cell r="B131" t="str">
            <v>digital skills</v>
          </cell>
          <cell r="D131">
            <v>1.1000000000000001</v>
          </cell>
          <cell r="I131">
            <v>0.21109</v>
          </cell>
          <cell r="K131">
            <v>2.7754999999999998E-2</v>
          </cell>
          <cell r="CG131">
            <v>1</v>
          </cell>
          <cell r="CH131">
            <v>1</v>
          </cell>
          <cell r="CI131">
            <v>0</v>
          </cell>
          <cell r="CJ131">
            <v>1</v>
          </cell>
          <cell r="CK131">
            <v>0</v>
          </cell>
          <cell r="CL131">
            <v>0</v>
          </cell>
          <cell r="CM131" t="str">
            <v>preferred as 1.1, better fits than for bundle of 6 indicators</v>
          </cell>
        </row>
        <row r="132">
          <cell r="B132" t="str">
            <v>digital skills</v>
          </cell>
          <cell r="D132">
            <v>1.1000000000000001</v>
          </cell>
          <cell r="I132">
            <v>0.15611</v>
          </cell>
          <cell r="K132">
            <v>5.5906999999999997E-3</v>
          </cell>
          <cell r="CG132">
            <v>1</v>
          </cell>
          <cell r="CH132">
            <v>1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</row>
        <row r="133">
          <cell r="B133" t="str">
            <v>digital skills</v>
          </cell>
          <cell r="D133">
            <v>1.1000000000000001</v>
          </cell>
          <cell r="I133">
            <v>0.21229000000000001</v>
          </cell>
          <cell r="K133">
            <v>2.6241E-2</v>
          </cell>
          <cell r="CG133">
            <v>1</v>
          </cell>
          <cell r="CH133">
            <v>1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</row>
        <row r="134">
          <cell r="B134" t="str">
            <v>digital skills</v>
          </cell>
          <cell r="D134">
            <v>1.1000000000000001</v>
          </cell>
          <cell r="I134">
            <v>0.1885</v>
          </cell>
          <cell r="K134">
            <v>2.8590999999999998E-2</v>
          </cell>
          <cell r="CG134">
            <v>1</v>
          </cell>
          <cell r="CH134">
            <v>1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</row>
        <row r="135">
          <cell r="B135" t="str">
            <v>digital skills</v>
          </cell>
          <cell r="D135">
            <v>1.1000000000000001</v>
          </cell>
          <cell r="I135">
            <v>0.33427000000000001</v>
          </cell>
          <cell r="K135">
            <v>6.9807000000000003E-3</v>
          </cell>
          <cell r="CG135">
            <v>1</v>
          </cell>
          <cell r="CH135">
            <v>1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</row>
        <row r="136">
          <cell r="B136" t="str">
            <v>digital skills</v>
          </cell>
          <cell r="D136">
            <v>1.1000000000000001</v>
          </cell>
          <cell r="I136">
            <v>6.7990999999999996E-2</v>
          </cell>
          <cell r="K136">
            <v>2.5215999999999999E-2</v>
          </cell>
          <cell r="CG136">
            <v>1</v>
          </cell>
          <cell r="CH136">
            <v>1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</row>
        <row r="137">
          <cell r="B137" t="str">
            <v>digital skills</v>
          </cell>
          <cell r="D137">
            <v>1.1000000000000001</v>
          </cell>
          <cell r="I137">
            <v>0.12124</v>
          </cell>
          <cell r="K137">
            <v>2.2232999999999999E-2</v>
          </cell>
          <cell r="CG137">
            <v>1</v>
          </cell>
          <cell r="CH137">
            <v>1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</row>
        <row r="138">
          <cell r="B138" t="str">
            <v>digital skills</v>
          </cell>
          <cell r="D138">
            <v>2.9</v>
          </cell>
          <cell r="I138">
            <v>0.31137999999999999</v>
          </cell>
          <cell r="K138">
            <v>3.7381999999999999E-2</v>
          </cell>
          <cell r="CG138">
            <v>1</v>
          </cell>
          <cell r="CH138">
            <v>1</v>
          </cell>
          <cell r="CI138">
            <v>0</v>
          </cell>
          <cell r="CJ138">
            <v>0</v>
          </cell>
          <cell r="CK138">
            <v>0</v>
          </cell>
          <cell r="CL138">
            <v>1</v>
          </cell>
        </row>
        <row r="139">
          <cell r="B139" t="str">
            <v>digital skills</v>
          </cell>
          <cell r="D139">
            <v>1.1000000000000001</v>
          </cell>
          <cell r="I139">
            <v>0.10412</v>
          </cell>
          <cell r="K139">
            <v>2.5048000000000001E-2</v>
          </cell>
          <cell r="CG139">
            <v>1</v>
          </cell>
          <cell r="CH139">
            <v>1</v>
          </cell>
          <cell r="CI139">
            <v>0</v>
          </cell>
          <cell r="CJ139">
            <v>1</v>
          </cell>
          <cell r="CK139">
            <v>0</v>
          </cell>
          <cell r="CL139">
            <v>0</v>
          </cell>
          <cell r="CM139" t="str">
            <v>preferred as 1.1, better fits than for bundle of 6 indicators</v>
          </cell>
        </row>
        <row r="140">
          <cell r="B140" t="str">
            <v>digital skills</v>
          </cell>
          <cell r="D140">
            <v>1.1000000000000001</v>
          </cell>
          <cell r="I140">
            <v>0.22439999999999999</v>
          </cell>
          <cell r="K140">
            <v>1.0045999999999999E-2</v>
          </cell>
          <cell r="CG140">
            <v>1</v>
          </cell>
          <cell r="CH140">
            <v>1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</row>
        <row r="141">
          <cell r="B141" t="str">
            <v>digital skills</v>
          </cell>
          <cell r="D141">
            <v>1.1000000000000001</v>
          </cell>
          <cell r="I141">
            <v>0.16064000000000001</v>
          </cell>
          <cell r="K141">
            <v>2.7688000000000001E-2</v>
          </cell>
          <cell r="CG141">
            <v>1</v>
          </cell>
          <cell r="CH141">
            <v>1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</row>
        <row r="142">
          <cell r="B142" t="str">
            <v>digital skills</v>
          </cell>
          <cell r="D142">
            <v>1.1000000000000001</v>
          </cell>
          <cell r="I142">
            <v>0.13952999999999999</v>
          </cell>
          <cell r="K142">
            <v>2.7151000000000002E-2</v>
          </cell>
          <cell r="CG142">
            <v>1</v>
          </cell>
          <cell r="CH142">
            <v>1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</row>
        <row r="143">
          <cell r="B143" t="str">
            <v>digital skills</v>
          </cell>
          <cell r="D143">
            <v>1.1000000000000001</v>
          </cell>
          <cell r="I143">
            <v>0.58331999999999995</v>
          </cell>
          <cell r="K143">
            <v>5.8545999999999997E-3</v>
          </cell>
          <cell r="CG143">
            <v>1</v>
          </cell>
          <cell r="CH143">
            <v>1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</row>
        <row r="144">
          <cell r="B144" t="str">
            <v>digital skills</v>
          </cell>
          <cell r="D144">
            <v>1.1000000000000001</v>
          </cell>
          <cell r="I144">
            <v>0.23754</v>
          </cell>
          <cell r="K144">
            <v>3.0203000000000001E-2</v>
          </cell>
          <cell r="CG144">
            <v>1</v>
          </cell>
          <cell r="CH144">
            <v>1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</row>
        <row r="145">
          <cell r="B145" t="str">
            <v>digital skills</v>
          </cell>
          <cell r="D145">
            <v>1.1000000000000001</v>
          </cell>
          <cell r="I145">
            <v>0.11554</v>
          </cell>
          <cell r="K145">
            <v>2.3129E-2</v>
          </cell>
          <cell r="CG145">
            <v>1</v>
          </cell>
          <cell r="CH145">
            <v>1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</row>
        <row r="146">
          <cell r="B146" t="str">
            <v>digital skills</v>
          </cell>
          <cell r="D146">
            <v>2.9</v>
          </cell>
          <cell r="I146">
            <v>0.20111999999999999</v>
          </cell>
          <cell r="K146">
            <v>3.1109000000000001E-2</v>
          </cell>
          <cell r="CG146">
            <v>1</v>
          </cell>
          <cell r="CH146">
            <v>1</v>
          </cell>
          <cell r="CI146">
            <v>0</v>
          </cell>
          <cell r="CJ146">
            <v>0</v>
          </cell>
          <cell r="CK146">
            <v>0</v>
          </cell>
          <cell r="CL146">
            <v>1</v>
          </cell>
        </row>
        <row r="147">
          <cell r="B147" t="str">
            <v>digital skills</v>
          </cell>
          <cell r="D147">
            <v>1.1000000000000001</v>
          </cell>
          <cell r="I147">
            <v>0.30679000000000001</v>
          </cell>
          <cell r="K147">
            <v>2.317E-2</v>
          </cell>
          <cell r="CG147">
            <v>1</v>
          </cell>
          <cell r="CH147">
            <v>1</v>
          </cell>
          <cell r="CI147">
            <v>1</v>
          </cell>
          <cell r="CJ147">
            <v>1</v>
          </cell>
          <cell r="CK147">
            <v>0</v>
          </cell>
          <cell r="CL147">
            <v>0</v>
          </cell>
          <cell r="CM147" t="str">
            <v>preferred as 1.1, better fits than for bundle of 6 indicators</v>
          </cell>
        </row>
        <row r="148">
          <cell r="B148" t="str">
            <v>digital skills</v>
          </cell>
          <cell r="D148">
            <v>1.1000000000000001</v>
          </cell>
          <cell r="I148">
            <v>0.21357000000000001</v>
          </cell>
          <cell r="K148">
            <v>1.5768999999999998E-2</v>
          </cell>
          <cell r="CG148">
            <v>1</v>
          </cell>
          <cell r="CH148">
            <v>1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</row>
        <row r="149">
          <cell r="B149" t="str">
            <v>digital skills</v>
          </cell>
          <cell r="D149">
            <v>1.1000000000000001</v>
          </cell>
          <cell r="I149">
            <v>0.19635</v>
          </cell>
          <cell r="K149">
            <v>1.4971E-2</v>
          </cell>
          <cell r="CG149">
            <v>1</v>
          </cell>
          <cell r="CH149">
            <v>1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</row>
        <row r="150">
          <cell r="B150" t="str">
            <v>digital skills</v>
          </cell>
          <cell r="D150">
            <v>1.1000000000000001</v>
          </cell>
          <cell r="I150">
            <v>0.1565</v>
          </cell>
          <cell r="K150">
            <v>1.1674E-2</v>
          </cell>
          <cell r="CG150">
            <v>1</v>
          </cell>
          <cell r="CH150">
            <v>1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</row>
        <row r="151">
          <cell r="B151" t="str">
            <v>digital skills</v>
          </cell>
          <cell r="D151">
            <v>1.1000000000000001</v>
          </cell>
          <cell r="I151">
            <v>0.10703</v>
          </cell>
          <cell r="K151">
            <v>1.0663000000000001E-2</v>
          </cell>
          <cell r="CG151">
            <v>1</v>
          </cell>
          <cell r="CH151">
            <v>1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</row>
        <row r="152">
          <cell r="B152" t="str">
            <v>digital skills</v>
          </cell>
          <cell r="D152">
            <v>1.1000000000000001</v>
          </cell>
          <cell r="I152">
            <v>0.29883999999999999</v>
          </cell>
          <cell r="K152">
            <v>1.6792999999999999E-2</v>
          </cell>
          <cell r="CG152">
            <v>1</v>
          </cell>
          <cell r="CH152">
            <v>1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</row>
        <row r="153">
          <cell r="B153" t="str">
            <v>digital skills</v>
          </cell>
          <cell r="D153">
            <v>1.1000000000000001</v>
          </cell>
          <cell r="I153">
            <v>6.3190999999999997E-2</v>
          </cell>
          <cell r="K153">
            <v>1.5247E-2</v>
          </cell>
          <cell r="CG153">
            <v>1</v>
          </cell>
          <cell r="CH153">
            <v>1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</row>
        <row r="154">
          <cell r="B154" t="str">
            <v>digital skills</v>
          </cell>
          <cell r="D154">
            <v>2.9</v>
          </cell>
          <cell r="I154">
            <v>0.28728999999999999</v>
          </cell>
          <cell r="K154">
            <v>2.4657999999999999E-2</v>
          </cell>
          <cell r="CG154">
            <v>1</v>
          </cell>
          <cell r="CH154">
            <v>1</v>
          </cell>
          <cell r="CI154">
            <v>0</v>
          </cell>
          <cell r="CJ154">
            <v>0</v>
          </cell>
          <cell r="CK154">
            <v>0</v>
          </cell>
          <cell r="CL154">
            <v>1</v>
          </cell>
        </row>
        <row r="155">
          <cell r="B155" t="str">
            <v>downsizing</v>
          </cell>
          <cell r="D155">
            <v>3.3</v>
          </cell>
          <cell r="I155">
            <v>0.14444000000000001</v>
          </cell>
          <cell r="K155">
            <v>105.15</v>
          </cell>
          <cell r="CG155">
            <v>1</v>
          </cell>
          <cell r="CH155">
            <v>1</v>
          </cell>
          <cell r="CI155">
            <v>0</v>
          </cell>
          <cell r="CJ155">
            <v>0</v>
          </cell>
          <cell r="CK155">
            <v>1</v>
          </cell>
          <cell r="CL155">
            <v>1</v>
          </cell>
        </row>
        <row r="156">
          <cell r="B156" t="str">
            <v>downsizing</v>
          </cell>
          <cell r="D156">
            <v>1.1000000000000001</v>
          </cell>
          <cell r="I156">
            <v>0.20988999999999999</v>
          </cell>
          <cell r="K156">
            <v>2.66E-3</v>
          </cell>
          <cell r="CG156">
            <v>1</v>
          </cell>
          <cell r="CH156">
            <v>1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</row>
        <row r="157">
          <cell r="B157" t="str">
            <v>downsizing</v>
          </cell>
          <cell r="D157">
            <v>1.1000000000000001</v>
          </cell>
          <cell r="I157">
            <v>0.20988999999999999</v>
          </cell>
          <cell r="K157">
            <v>2.66E-3</v>
          </cell>
          <cell r="CG157">
            <v>1</v>
          </cell>
          <cell r="CH157">
            <v>1</v>
          </cell>
          <cell r="CI157">
            <v>1</v>
          </cell>
          <cell r="CJ157">
            <v>1</v>
          </cell>
          <cell r="CK157">
            <v>0</v>
          </cell>
          <cell r="CL157">
            <v>0</v>
          </cell>
        </row>
        <row r="158">
          <cell r="B158" t="str">
            <v>downsizing</v>
          </cell>
          <cell r="D158">
            <v>4.0999999999999996</v>
          </cell>
          <cell r="I158">
            <v>0.81799999999999995</v>
          </cell>
          <cell r="K158">
            <v>5.452</v>
          </cell>
          <cell r="CG158">
            <v>1</v>
          </cell>
          <cell r="CH158">
            <v>1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</row>
        <row r="159">
          <cell r="B159" t="str">
            <v>downsizing</v>
          </cell>
          <cell r="D159">
            <v>4.0999999999999996</v>
          </cell>
          <cell r="I159">
            <v>0.57093000000000005</v>
          </cell>
          <cell r="K159">
            <v>5.0674000000000001</v>
          </cell>
          <cell r="CG159">
            <v>1</v>
          </cell>
          <cell r="CH159">
            <v>1</v>
          </cell>
          <cell r="CI159">
            <v>0</v>
          </cell>
          <cell r="CJ159">
            <v>0</v>
          </cell>
          <cell r="CK159">
            <v>1</v>
          </cell>
          <cell r="CL159">
            <v>1</v>
          </cell>
        </row>
        <row r="160">
          <cell r="B160" t="str">
            <v>drivers licence</v>
          </cell>
          <cell r="D160">
            <v>3.3</v>
          </cell>
          <cell r="I160">
            <v>0.52210000000000001</v>
          </cell>
          <cell r="K160">
            <v>3.8416000000000001</v>
          </cell>
          <cell r="CG160">
            <v>1</v>
          </cell>
          <cell r="CH160">
            <v>1</v>
          </cell>
          <cell r="CI160">
            <v>0</v>
          </cell>
          <cell r="CJ160">
            <v>0</v>
          </cell>
          <cell r="CK160">
            <v>1</v>
          </cell>
          <cell r="CL160">
            <v>1</v>
          </cell>
        </row>
        <row r="161">
          <cell r="B161" t="str">
            <v>drivers licence</v>
          </cell>
          <cell r="D161">
            <v>1.1000000000000001</v>
          </cell>
          <cell r="I161">
            <v>1.8263999999999999E-2</v>
          </cell>
          <cell r="K161">
            <v>4.4990000000000004E-3</v>
          </cell>
          <cell r="CG161">
            <v>1</v>
          </cell>
          <cell r="CH161">
            <v>1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</row>
        <row r="162">
          <cell r="B162" t="str">
            <v>drivers licence</v>
          </cell>
          <cell r="D162">
            <v>1.1000000000000001</v>
          </cell>
          <cell r="I162">
            <v>2.4471E-2</v>
          </cell>
          <cell r="K162">
            <v>4.4990000000000004E-3</v>
          </cell>
          <cell r="CG162">
            <v>1</v>
          </cell>
          <cell r="CH162">
            <v>1</v>
          </cell>
          <cell r="CI162">
            <v>0</v>
          </cell>
          <cell r="CJ162">
            <v>1</v>
          </cell>
          <cell r="CK162">
            <v>0</v>
          </cell>
          <cell r="CL162">
            <v>0</v>
          </cell>
          <cell r="CM162" t="str">
            <v>trend in wrong direction - rising not declining</v>
          </cell>
        </row>
        <row r="163">
          <cell r="B163" t="str">
            <v>drivers licence</v>
          </cell>
          <cell r="D163">
            <v>3.2</v>
          </cell>
          <cell r="I163">
            <v>-15.068</v>
          </cell>
          <cell r="K163">
            <v>-6.8741000000000002E-3</v>
          </cell>
          <cell r="CG163">
            <v>0</v>
          </cell>
          <cell r="CH163">
            <v>1</v>
          </cell>
          <cell r="CI163">
            <v>0</v>
          </cell>
          <cell r="CJ163">
            <v>0</v>
          </cell>
          <cell r="CK163">
            <v>0</v>
          </cell>
          <cell r="CL163">
            <v>1</v>
          </cell>
          <cell r="CM163" t="str">
            <v>only 1 data point, check underlying time series</v>
          </cell>
        </row>
        <row r="164">
          <cell r="B164" t="str">
            <v>drivers licence</v>
          </cell>
          <cell r="D164">
            <v>3.2</v>
          </cell>
          <cell r="I164">
            <v>-10.949</v>
          </cell>
          <cell r="K164">
            <v>-1.1887E-2</v>
          </cell>
          <cell r="CG164">
            <v>0</v>
          </cell>
          <cell r="CH164">
            <v>1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 t="str">
            <v>only 1 data point, check underlying time series</v>
          </cell>
        </row>
        <row r="165">
          <cell r="B165" t="str">
            <v>drivers licence</v>
          </cell>
          <cell r="D165">
            <v>3.2</v>
          </cell>
          <cell r="I165">
            <v>3.8660000000000001</v>
          </cell>
          <cell r="K165">
            <v>1.1816E-2</v>
          </cell>
          <cell r="CG165">
            <v>0</v>
          </cell>
          <cell r="CH165">
            <v>1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</row>
        <row r="166">
          <cell r="B166" t="str">
            <v>drivers licence</v>
          </cell>
          <cell r="D166">
            <v>4.5</v>
          </cell>
          <cell r="I166">
            <v>-1.3261999999999999E-4</v>
          </cell>
          <cell r="K166">
            <v>-5.3361E-5</v>
          </cell>
          <cell r="CG166">
            <v>1</v>
          </cell>
          <cell r="CH166">
            <v>1</v>
          </cell>
          <cell r="CI166">
            <v>0</v>
          </cell>
          <cell r="CJ166">
            <v>0</v>
          </cell>
          <cell r="CK166">
            <v>0</v>
          </cell>
          <cell r="CL166">
            <v>1</v>
          </cell>
        </row>
        <row r="167">
          <cell r="B167" t="str">
            <v>drivers licence</v>
          </cell>
          <cell r="D167">
            <v>1.1000000000000001</v>
          </cell>
          <cell r="I167">
            <v>-2.2395999999999999E-2</v>
          </cell>
          <cell r="K167">
            <v>-9.2403999999999993E-3</v>
          </cell>
          <cell r="CG167">
            <v>1</v>
          </cell>
          <cell r="CH167">
            <v>1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</row>
        <row r="168">
          <cell r="B168" t="str">
            <v>drivers licence</v>
          </cell>
          <cell r="D168">
            <v>1.1000000000000001</v>
          </cell>
          <cell r="I168">
            <v>-3.8283999999999999E-2</v>
          </cell>
          <cell r="K168">
            <v>-9.2403999999999993E-3</v>
          </cell>
          <cell r="CG168">
            <v>1</v>
          </cell>
          <cell r="CH168">
            <v>1</v>
          </cell>
          <cell r="CI168">
            <v>1</v>
          </cell>
          <cell r="CJ168">
            <v>1</v>
          </cell>
          <cell r="CK168">
            <v>0</v>
          </cell>
          <cell r="CL168">
            <v>0</v>
          </cell>
        </row>
        <row r="169">
          <cell r="B169" t="str">
            <v>drivers licence</v>
          </cell>
          <cell r="D169">
            <v>4.5</v>
          </cell>
          <cell r="K169">
            <v>9.6677000000000004E-4</v>
          </cell>
          <cell r="CG169">
            <v>1</v>
          </cell>
          <cell r="CH169">
            <v>1</v>
          </cell>
          <cell r="CI169">
            <v>0</v>
          </cell>
          <cell r="CJ169">
            <v>0</v>
          </cell>
          <cell r="CK169">
            <v>0</v>
          </cell>
          <cell r="CL169">
            <v>1</v>
          </cell>
        </row>
        <row r="170">
          <cell r="B170" t="str">
            <v>drivers licence</v>
          </cell>
          <cell r="D170">
            <v>1.1000000000000001</v>
          </cell>
          <cell r="I170">
            <v>-7.5902999999999998E-2</v>
          </cell>
          <cell r="K170">
            <v>-6.3917000000000002E-3</v>
          </cell>
          <cell r="CG170">
            <v>1</v>
          </cell>
          <cell r="CH170">
            <v>1</v>
          </cell>
          <cell r="CI170">
            <v>0</v>
          </cell>
          <cell r="CJ170">
            <v>1</v>
          </cell>
          <cell r="CK170">
            <v>0</v>
          </cell>
          <cell r="CL170">
            <v>0</v>
          </cell>
          <cell r="CO170" t="str">
            <v>dri_usa_2.2Rel_d056_m026</v>
          </cell>
          <cell r="CP170" t="e">
            <v>#N/A</v>
          </cell>
          <cell r="CQ170">
            <v>1</v>
          </cell>
          <cell r="CS170">
            <v>-1</v>
          </cell>
          <cell r="CT170">
            <v>7.5902999999999998E-2</v>
          </cell>
          <cell r="CU170">
            <v>6.3917000000000002E-3</v>
          </cell>
        </row>
        <row r="171">
          <cell r="B171" t="str">
            <v>drivers licence</v>
          </cell>
          <cell r="D171">
            <v>1.1000000000000001</v>
          </cell>
          <cell r="I171">
            <v>-7.5902999999999998E-2</v>
          </cell>
          <cell r="K171">
            <v>-6.3917000000000002E-3</v>
          </cell>
          <cell r="CG171">
            <v>1</v>
          </cell>
          <cell r="CH171">
            <v>1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</row>
        <row r="172">
          <cell r="B172" t="str">
            <v>drivers licence</v>
          </cell>
          <cell r="D172">
            <v>2.2000000000000002</v>
          </cell>
          <cell r="I172">
            <v>0.22464999999999999</v>
          </cell>
          <cell r="K172">
            <v>7.5205999999999997E-3</v>
          </cell>
          <cell r="CG172">
            <v>1</v>
          </cell>
          <cell r="CH172">
            <v>1</v>
          </cell>
          <cell r="CI172">
            <v>0</v>
          </cell>
          <cell r="CJ172">
            <v>0</v>
          </cell>
          <cell r="CK172">
            <v>0</v>
          </cell>
          <cell r="CL172">
            <v>1</v>
          </cell>
        </row>
        <row r="173">
          <cell r="B173" t="str">
            <v>drivers licence</v>
          </cell>
          <cell r="D173">
            <v>2.2000000000000002</v>
          </cell>
          <cell r="I173">
            <v>0.10122</v>
          </cell>
          <cell r="K173">
            <v>1.2760000000000001E-2</v>
          </cell>
          <cell r="CG173">
            <v>1</v>
          </cell>
          <cell r="CH173">
            <v>1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</row>
        <row r="174">
          <cell r="B174" t="str">
            <v>drivers licence</v>
          </cell>
          <cell r="D174">
            <v>2.2000000000000002</v>
          </cell>
          <cell r="I174">
            <v>3.3058999999999998E-2</v>
          </cell>
          <cell r="K174">
            <v>1.4741000000000001E-2</v>
          </cell>
          <cell r="CG174">
            <v>1</v>
          </cell>
          <cell r="CH174">
            <v>1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</row>
        <row r="175">
          <cell r="B175" t="str">
            <v>drivers licence</v>
          </cell>
          <cell r="D175">
            <v>2.2000000000000002</v>
          </cell>
          <cell r="I175">
            <v>2.8011999999999999E-2</v>
          </cell>
          <cell r="K175">
            <v>7.6289000000000001E-3</v>
          </cell>
          <cell r="CG175">
            <v>1</v>
          </cell>
          <cell r="CH175">
            <v>1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</row>
        <row r="176">
          <cell r="B176" t="str">
            <v>drivers licence</v>
          </cell>
          <cell r="D176">
            <v>2.2999999999999998</v>
          </cell>
          <cell r="I176">
            <v>-1.9186000000000002E-2</v>
          </cell>
          <cell r="K176">
            <v>-4.6623999999999996E-6</v>
          </cell>
          <cell r="CG176">
            <v>1</v>
          </cell>
          <cell r="CH176">
            <v>1</v>
          </cell>
          <cell r="CI176">
            <v>0</v>
          </cell>
          <cell r="CJ176">
            <v>0</v>
          </cell>
          <cell r="CK176">
            <v>0</v>
          </cell>
          <cell r="CL176">
            <v>1</v>
          </cell>
        </row>
        <row r="177">
          <cell r="B177" t="str">
            <v>drivers licence</v>
          </cell>
          <cell r="D177">
            <v>2.9</v>
          </cell>
          <cell r="I177">
            <v>5.8448E-2</v>
          </cell>
          <cell r="K177">
            <v>1.4716999999999999E-2</v>
          </cell>
          <cell r="CG177">
            <v>1</v>
          </cell>
          <cell r="CH177">
            <v>1</v>
          </cell>
          <cell r="CI177">
            <v>0</v>
          </cell>
          <cell r="CJ177">
            <v>0</v>
          </cell>
          <cell r="CK177">
            <v>0</v>
          </cell>
          <cell r="CL177">
            <v>1</v>
          </cell>
        </row>
        <row r="178">
          <cell r="B178" t="str">
            <v>drivers licence</v>
          </cell>
          <cell r="D178">
            <v>2.9</v>
          </cell>
          <cell r="I178">
            <v>5.0865E-2</v>
          </cell>
          <cell r="K178">
            <v>3.3895</v>
          </cell>
          <cell r="CG178">
            <v>1</v>
          </cell>
          <cell r="CH178">
            <v>1</v>
          </cell>
          <cell r="CI178">
            <v>0</v>
          </cell>
          <cell r="CJ178">
            <v>0</v>
          </cell>
          <cell r="CK178">
            <v>0</v>
          </cell>
          <cell r="CL178">
            <v>1</v>
          </cell>
        </row>
        <row r="179">
          <cell r="B179" t="str">
            <v>drivers licence</v>
          </cell>
          <cell r="D179">
            <v>3.2</v>
          </cell>
          <cell r="I179">
            <v>0.41219</v>
          </cell>
          <cell r="K179">
            <v>2.1156E-3</v>
          </cell>
          <cell r="CG179">
            <v>0</v>
          </cell>
          <cell r="CH179">
            <v>1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</row>
        <row r="180">
          <cell r="B180" t="str">
            <v>drivers licence</v>
          </cell>
          <cell r="D180">
            <v>3.2</v>
          </cell>
          <cell r="I180">
            <v>1.9015</v>
          </cell>
          <cell r="K180">
            <v>6.2562E-3</v>
          </cell>
          <cell r="CG180">
            <v>0</v>
          </cell>
          <cell r="CH180">
            <v>1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</row>
        <row r="181">
          <cell r="B181" t="str">
            <v>drivers licence</v>
          </cell>
          <cell r="D181">
            <v>3.2</v>
          </cell>
          <cell r="I181">
            <v>8.5347999999999993E-2</v>
          </cell>
          <cell r="K181">
            <v>1.8763999999999999E-2</v>
          </cell>
          <cell r="CG181">
            <v>0</v>
          </cell>
          <cell r="CH181">
            <v>1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</row>
        <row r="182">
          <cell r="B182" t="str">
            <v>drivers licence</v>
          </cell>
          <cell r="D182">
            <v>3.2</v>
          </cell>
          <cell r="I182">
            <v>0.33682000000000001</v>
          </cell>
          <cell r="K182">
            <v>5.0772999999999999E-2</v>
          </cell>
          <cell r="CG182">
            <v>1</v>
          </cell>
          <cell r="CH182">
            <v>1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</row>
        <row r="183">
          <cell r="B183" t="str">
            <v>drivers licence</v>
          </cell>
          <cell r="D183">
            <v>3.2</v>
          </cell>
          <cell r="I183">
            <v>-6.4250000000000002E-2</v>
          </cell>
          <cell r="K183">
            <v>-5.4538E-3</v>
          </cell>
          <cell r="CG183">
            <v>1</v>
          </cell>
          <cell r="CH183">
            <v>1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</row>
        <row r="184">
          <cell r="B184" t="str">
            <v>drivers licence</v>
          </cell>
          <cell r="D184">
            <v>3.2</v>
          </cell>
          <cell r="I184">
            <v>15.79</v>
          </cell>
          <cell r="K184">
            <v>-4.8884000000000002E-3</v>
          </cell>
          <cell r="CG184">
            <v>0</v>
          </cell>
          <cell r="CH184">
            <v>1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</row>
        <row r="185">
          <cell r="B185" t="str">
            <v>drivers licence</v>
          </cell>
          <cell r="D185">
            <v>3.2</v>
          </cell>
          <cell r="I185">
            <v>-6.3175999999999996E-3</v>
          </cell>
          <cell r="K185">
            <v>-4.2910999999999999E-3</v>
          </cell>
          <cell r="CG185">
            <v>1</v>
          </cell>
          <cell r="CH185">
            <v>1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</row>
        <row r="186">
          <cell r="B186" t="str">
            <v>drivers licence</v>
          </cell>
          <cell r="D186">
            <v>3.2</v>
          </cell>
          <cell r="I186">
            <v>-3.2359</v>
          </cell>
          <cell r="K186">
            <v>-3.8449000000000001E-3</v>
          </cell>
          <cell r="CG186">
            <v>0</v>
          </cell>
          <cell r="CH186">
            <v>1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</row>
        <row r="187">
          <cell r="B187" t="str">
            <v>drivers licence</v>
          </cell>
          <cell r="D187">
            <v>3.2</v>
          </cell>
          <cell r="I187">
            <v>-8.3770000000000008E-3</v>
          </cell>
          <cell r="K187">
            <v>-3.2878E-3</v>
          </cell>
          <cell r="CG187">
            <v>1</v>
          </cell>
          <cell r="CH187">
            <v>1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</row>
        <row r="188">
          <cell r="B188" t="str">
            <v>drivers licence</v>
          </cell>
          <cell r="D188">
            <v>3.2</v>
          </cell>
          <cell r="I188">
            <v>-3.3616000000000002E-3</v>
          </cell>
          <cell r="K188">
            <v>-3.0565000000000003E-5</v>
          </cell>
          <cell r="CG188">
            <v>1</v>
          </cell>
          <cell r="CH188">
            <v>1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</row>
        <row r="189">
          <cell r="B189" t="str">
            <v>drivers licence</v>
          </cell>
          <cell r="D189">
            <v>3.2</v>
          </cell>
          <cell r="I189">
            <v>8.8025999999999993E-2</v>
          </cell>
          <cell r="K189">
            <v>4.3525999999999999E-3</v>
          </cell>
          <cell r="CG189">
            <v>1</v>
          </cell>
          <cell r="CH189">
            <v>1</v>
          </cell>
          <cell r="CI189">
            <v>0</v>
          </cell>
          <cell r="CJ189">
            <v>0</v>
          </cell>
          <cell r="CK189">
            <v>0</v>
          </cell>
          <cell r="CL189">
            <v>1</v>
          </cell>
          <cell r="CM189" t="str">
            <v>moved from 1.1</v>
          </cell>
        </row>
        <row r="190">
          <cell r="B190" t="str">
            <v>drivers licence</v>
          </cell>
          <cell r="D190">
            <v>3.2</v>
          </cell>
          <cell r="I190">
            <v>-1.8260999999999999E-2</v>
          </cell>
          <cell r="K190">
            <v>-1.779E-3</v>
          </cell>
          <cell r="CG190">
            <v>1</v>
          </cell>
          <cell r="CH190">
            <v>1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 t="str">
            <v>moved from 1.1</v>
          </cell>
        </row>
        <row r="191">
          <cell r="B191" t="str">
            <v>drivers licence</v>
          </cell>
          <cell r="D191">
            <v>4.0999999999999996</v>
          </cell>
          <cell r="I191">
            <v>0.26976</v>
          </cell>
          <cell r="K191">
            <v>4.9335000000000004</v>
          </cell>
          <cell r="CG191">
            <v>1</v>
          </cell>
          <cell r="CH191">
            <v>1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</row>
        <row r="192">
          <cell r="B192" t="str">
            <v>drivers licence</v>
          </cell>
          <cell r="D192">
            <v>4.0999999999999996</v>
          </cell>
          <cell r="I192">
            <v>0.26976</v>
          </cell>
          <cell r="K192">
            <v>4.9335000000000004</v>
          </cell>
          <cell r="CG192">
            <v>1</v>
          </cell>
          <cell r="CH192">
            <v>1</v>
          </cell>
          <cell r="CI192">
            <v>0</v>
          </cell>
          <cell r="CJ192">
            <v>0</v>
          </cell>
          <cell r="CK192">
            <v>0</v>
          </cell>
          <cell r="CL192">
            <v>1</v>
          </cell>
        </row>
        <row r="193">
          <cell r="B193" t="str">
            <v>drivers licence</v>
          </cell>
          <cell r="D193">
            <v>4.2</v>
          </cell>
          <cell r="I193">
            <v>2.0915E-2</v>
          </cell>
          <cell r="K193">
            <v>1.1530000000000001E-10</v>
          </cell>
          <cell r="CG193">
            <v>1</v>
          </cell>
          <cell r="CH193">
            <v>1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</row>
        <row r="194">
          <cell r="B194" t="str">
            <v>drivers licence</v>
          </cell>
          <cell r="D194">
            <v>4.2</v>
          </cell>
          <cell r="I194">
            <v>1.6426E-2</v>
          </cell>
          <cell r="K194">
            <v>8.5342999999999999E-11</v>
          </cell>
          <cell r="CG194">
            <v>1</v>
          </cell>
          <cell r="CH194">
            <v>1</v>
          </cell>
          <cell r="CI194">
            <v>0</v>
          </cell>
          <cell r="CJ194">
            <v>0</v>
          </cell>
          <cell r="CK194">
            <v>0</v>
          </cell>
          <cell r="CL194">
            <v>1</v>
          </cell>
        </row>
        <row r="195">
          <cell r="B195" t="str">
            <v>drivers licence</v>
          </cell>
          <cell r="D195">
            <v>4.3</v>
          </cell>
          <cell r="I195">
            <v>8.0086000000000004E-2</v>
          </cell>
          <cell r="K195">
            <v>3.1067E-3</v>
          </cell>
          <cell r="CG195">
            <v>0</v>
          </cell>
          <cell r="CH195">
            <v>1</v>
          </cell>
          <cell r="CI195">
            <v>0</v>
          </cell>
          <cell r="CJ195">
            <v>0</v>
          </cell>
          <cell r="CK195">
            <v>0</v>
          </cell>
          <cell r="CL195">
            <v>1</v>
          </cell>
        </row>
        <row r="196">
          <cell r="B196" t="str">
            <v>drivers licence</v>
          </cell>
          <cell r="D196">
            <v>4.3</v>
          </cell>
          <cell r="I196">
            <v>6.1538000000000002E-2</v>
          </cell>
          <cell r="K196">
            <v>43977</v>
          </cell>
          <cell r="CG196">
            <v>1</v>
          </cell>
          <cell r="CH196">
            <v>1</v>
          </cell>
          <cell r="CI196">
            <v>0</v>
          </cell>
          <cell r="CJ196">
            <v>0</v>
          </cell>
          <cell r="CK196">
            <v>0</v>
          </cell>
          <cell r="CL196">
            <v>1</v>
          </cell>
        </row>
        <row r="197">
          <cell r="B197" t="str">
            <v>drivers licence</v>
          </cell>
          <cell r="D197">
            <v>4.5</v>
          </cell>
          <cell r="I197">
            <v>2.8896999999999999E-2</v>
          </cell>
          <cell r="K197">
            <v>10974</v>
          </cell>
          <cell r="CG197">
            <v>1</v>
          </cell>
          <cell r="CH197">
            <v>1</v>
          </cell>
          <cell r="CI197">
            <v>0</v>
          </cell>
          <cell r="CJ197">
            <v>0</v>
          </cell>
          <cell r="CK197">
            <v>0</v>
          </cell>
          <cell r="CL197">
            <v>1</v>
          </cell>
        </row>
        <row r="198">
          <cell r="B198" t="str">
            <v>drivers licence</v>
          </cell>
          <cell r="D198">
            <v>1.1000000000000001</v>
          </cell>
          <cell r="I198">
            <v>-0.17174</v>
          </cell>
          <cell r="K198">
            <v>-1.2033E-2</v>
          </cell>
          <cell r="CG198">
            <v>1</v>
          </cell>
          <cell r="CH198">
            <v>1</v>
          </cell>
          <cell r="CI198">
            <v>0</v>
          </cell>
          <cell r="CJ198">
            <v>1</v>
          </cell>
          <cell r="CK198">
            <v>0</v>
          </cell>
          <cell r="CL198">
            <v>0</v>
          </cell>
          <cell r="CO198" t="str">
            <v>dri_was_3.2Adc_d351_m070</v>
          </cell>
          <cell r="CP198" t="e">
            <v>#N/A</v>
          </cell>
          <cell r="CQ198">
            <v>1</v>
          </cell>
          <cell r="CS198">
            <v>-1</v>
          </cell>
          <cell r="CT198">
            <v>0.17174</v>
          </cell>
          <cell r="CU198">
            <v>1.2033E-2</v>
          </cell>
        </row>
        <row r="199">
          <cell r="B199" t="str">
            <v>drivers licence</v>
          </cell>
          <cell r="D199">
            <v>1.1000000000000001</v>
          </cell>
          <cell r="I199">
            <v>-0.14227000000000001</v>
          </cell>
          <cell r="K199">
            <v>-1.2033E-2</v>
          </cell>
          <cell r="CG199">
            <v>1</v>
          </cell>
          <cell r="CH199">
            <v>1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 t="str">
            <v>moved from 3.2, use as mkt share</v>
          </cell>
        </row>
        <row r="200">
          <cell r="B200" t="str">
            <v>drivers licence</v>
          </cell>
          <cell r="D200">
            <v>3.2</v>
          </cell>
          <cell r="I200">
            <v>1.1993E-2</v>
          </cell>
          <cell r="K200">
            <v>9.2806999999999994E-3</v>
          </cell>
          <cell r="CG200">
            <v>1</v>
          </cell>
          <cell r="CH200">
            <v>1</v>
          </cell>
          <cell r="CI200">
            <v>0</v>
          </cell>
          <cell r="CJ200">
            <v>0</v>
          </cell>
          <cell r="CK200">
            <v>0</v>
          </cell>
          <cell r="CL200">
            <v>1</v>
          </cell>
          <cell r="CM200" t="str">
            <v>moved from 1.1</v>
          </cell>
        </row>
        <row r="201">
          <cell r="B201" t="str">
            <v>drivers licence</v>
          </cell>
          <cell r="D201">
            <v>3.2</v>
          </cell>
          <cell r="I201">
            <v>3.6754999999999999E-3</v>
          </cell>
          <cell r="K201">
            <v>3.2036E-3</v>
          </cell>
          <cell r="CG201">
            <v>1</v>
          </cell>
          <cell r="CH201">
            <v>1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 t="str">
            <v>moved from 1.1</v>
          </cell>
        </row>
        <row r="202">
          <cell r="B202" t="str">
            <v>drivers licence</v>
          </cell>
          <cell r="D202">
            <v>3.2</v>
          </cell>
          <cell r="I202">
            <v>-5.1166999999999997E-2</v>
          </cell>
          <cell r="K202">
            <v>-2.3009000000000002E-2</v>
          </cell>
          <cell r="CG202">
            <v>1</v>
          </cell>
          <cell r="CH202">
            <v>1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 t="str">
            <v>moved from 1.1</v>
          </cell>
        </row>
        <row r="203">
          <cell r="B203" t="str">
            <v>drivers licence</v>
          </cell>
          <cell r="D203">
            <v>4.3</v>
          </cell>
          <cell r="I203">
            <v>2.1510999999999999E-2</v>
          </cell>
          <cell r="K203">
            <v>4.7707000000000001E-3</v>
          </cell>
          <cell r="CG203">
            <v>1</v>
          </cell>
          <cell r="CH203">
            <v>1</v>
          </cell>
          <cell r="CI203">
            <v>0</v>
          </cell>
          <cell r="CJ203">
            <v>0</v>
          </cell>
          <cell r="CK203">
            <v>0</v>
          </cell>
          <cell r="CL203">
            <v>1</v>
          </cell>
          <cell r="CM203" t="str">
            <v>moved from 1.1</v>
          </cell>
        </row>
        <row r="204">
          <cell r="B204" t="str">
            <v>eating less meat</v>
          </cell>
          <cell r="D204">
            <v>1.1000000000000001</v>
          </cell>
          <cell r="I204">
            <v>-1.0721E-2</v>
          </cell>
          <cell r="K204">
            <v>-2.3733000000000001E-3</v>
          </cell>
          <cell r="CG204">
            <v>1</v>
          </cell>
          <cell r="CH204">
            <v>1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</row>
        <row r="205">
          <cell r="B205" t="str">
            <v>eating less meat</v>
          </cell>
          <cell r="D205">
            <v>1.1000000000000001</v>
          </cell>
          <cell r="I205">
            <v>-9.7444000000000003E-2</v>
          </cell>
          <cell r="K205">
            <v>-0.16672999999999999</v>
          </cell>
          <cell r="CG205">
            <v>1</v>
          </cell>
          <cell r="CH205">
            <v>1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</row>
        <row r="206">
          <cell r="B206" t="str">
            <v>eating less meat</v>
          </cell>
          <cell r="D206">
            <v>1.1000000000000001</v>
          </cell>
          <cell r="CG206">
            <v>1</v>
          </cell>
          <cell r="CH206">
            <v>1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</row>
        <row r="207">
          <cell r="B207" t="str">
            <v>eating less meat</v>
          </cell>
          <cell r="D207">
            <v>1.1000000000000001</v>
          </cell>
          <cell r="I207">
            <v>-1.0721E-2</v>
          </cell>
          <cell r="K207">
            <v>-2.3733000000000001E-3</v>
          </cell>
          <cell r="CG207">
            <v>1</v>
          </cell>
          <cell r="CH207">
            <v>1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</row>
        <row r="208">
          <cell r="B208" t="str">
            <v>eating less meat</v>
          </cell>
          <cell r="D208">
            <v>1.1000000000000001</v>
          </cell>
          <cell r="I208">
            <v>0.11609999999999999</v>
          </cell>
          <cell r="K208">
            <v>1.1969000000000001</v>
          </cell>
          <cell r="CG208">
            <v>1</v>
          </cell>
          <cell r="CH208">
            <v>1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</row>
        <row r="209">
          <cell r="B209" t="str">
            <v>eating less meat</v>
          </cell>
          <cell r="D209">
            <v>1.1000000000000001</v>
          </cell>
          <cell r="I209">
            <v>-4.0153999999999997E-3</v>
          </cell>
          <cell r="K209">
            <v>-0.34381</v>
          </cell>
          <cell r="CG209">
            <v>1</v>
          </cell>
          <cell r="CH209">
            <v>1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</row>
        <row r="210">
          <cell r="B210" t="str">
            <v>eating less meat</v>
          </cell>
          <cell r="D210">
            <v>1.1000000000000001</v>
          </cell>
          <cell r="I210">
            <v>-1.3897E-2</v>
          </cell>
          <cell r="K210">
            <v>-2.3733000000000001E-3</v>
          </cell>
          <cell r="CG210">
            <v>1</v>
          </cell>
          <cell r="CH210">
            <v>1</v>
          </cell>
          <cell r="CI210">
            <v>1</v>
          </cell>
          <cell r="CJ210">
            <v>1</v>
          </cell>
          <cell r="CK210">
            <v>0</v>
          </cell>
          <cell r="CL210">
            <v>0</v>
          </cell>
        </row>
        <row r="211">
          <cell r="B211" t="str">
            <v>eating less meat</v>
          </cell>
          <cell r="D211">
            <v>2.4</v>
          </cell>
          <cell r="I211">
            <v>2.0219000000000001E-2</v>
          </cell>
          <cell r="K211">
            <v>1.7020999999999999</v>
          </cell>
          <cell r="CG211">
            <v>1</v>
          </cell>
          <cell r="CH211">
            <v>1</v>
          </cell>
          <cell r="CI211">
            <v>0</v>
          </cell>
          <cell r="CJ211">
            <v>0</v>
          </cell>
          <cell r="CK211">
            <v>1</v>
          </cell>
          <cell r="CL211">
            <v>1</v>
          </cell>
        </row>
        <row r="212">
          <cell r="B212" t="str">
            <v>eating less meat</v>
          </cell>
          <cell r="D212">
            <v>2.5</v>
          </cell>
          <cell r="I212">
            <v>5.3939000000000001E-2</v>
          </cell>
          <cell r="K212">
            <v>2.3733000000000001E-3</v>
          </cell>
          <cell r="CG212">
            <v>1</v>
          </cell>
          <cell r="CH212">
            <v>1</v>
          </cell>
          <cell r="CI212">
            <v>0</v>
          </cell>
          <cell r="CJ212">
            <v>0</v>
          </cell>
          <cell r="CK212">
            <v>1</v>
          </cell>
          <cell r="CL212">
            <v>1</v>
          </cell>
          <cell r="CM212" t="str">
            <v>moved from 1.1</v>
          </cell>
        </row>
        <row r="213">
          <cell r="B213" t="str">
            <v>eating less meat</v>
          </cell>
          <cell r="D213">
            <v>2.5</v>
          </cell>
          <cell r="I213">
            <v>-1.6670999999999998E-2</v>
          </cell>
          <cell r="K213">
            <v>-0.27021000000000001</v>
          </cell>
          <cell r="CG213">
            <v>1</v>
          </cell>
          <cell r="CH213">
            <v>1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</row>
        <row r="214">
          <cell r="B214" t="str">
            <v>eating less meat</v>
          </cell>
          <cell r="D214">
            <v>2.5</v>
          </cell>
          <cell r="I214">
            <v>7.6648999999999995E-2</v>
          </cell>
          <cell r="K214">
            <v>2.3740000000000001E-2</v>
          </cell>
          <cell r="CG214">
            <v>1</v>
          </cell>
          <cell r="CH214">
            <v>1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</row>
        <row r="215">
          <cell r="B215" t="str">
            <v>eating less meat</v>
          </cell>
          <cell r="D215">
            <v>2.5</v>
          </cell>
          <cell r="I215">
            <v>-0.15753</v>
          </cell>
          <cell r="K215">
            <v>-0.15112</v>
          </cell>
          <cell r="CG215">
            <v>1</v>
          </cell>
          <cell r="CH215">
            <v>1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</row>
        <row r="216">
          <cell r="B216" t="str">
            <v>eating less meat</v>
          </cell>
          <cell r="D216">
            <v>2.5</v>
          </cell>
          <cell r="I216">
            <v>2.9422E-2</v>
          </cell>
          <cell r="K216">
            <v>0.22725000000000001</v>
          </cell>
          <cell r="CG216">
            <v>1</v>
          </cell>
          <cell r="CH216">
            <v>1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</row>
        <row r="217">
          <cell r="B217" t="str">
            <v>eating less meat</v>
          </cell>
          <cell r="D217">
            <v>2.5</v>
          </cell>
          <cell r="I217">
            <v>0.34938000000000002</v>
          </cell>
          <cell r="K217">
            <v>3.6170999999999998E-3</v>
          </cell>
          <cell r="CG217">
            <v>1</v>
          </cell>
          <cell r="CH217">
            <v>1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</row>
        <row r="218">
          <cell r="B218" t="str">
            <v>eating less meat</v>
          </cell>
          <cell r="D218">
            <v>3.5</v>
          </cell>
          <cell r="I218">
            <v>0.57913999999999999</v>
          </cell>
          <cell r="K218">
            <v>0.26929999999999998</v>
          </cell>
          <cell r="CG218">
            <v>1</v>
          </cell>
          <cell r="CH218">
            <v>1</v>
          </cell>
          <cell r="CI218">
            <v>0</v>
          </cell>
          <cell r="CJ218">
            <v>0</v>
          </cell>
          <cell r="CK218">
            <v>1</v>
          </cell>
          <cell r="CL218">
            <v>1</v>
          </cell>
        </row>
        <row r="219">
          <cell r="B219" t="str">
            <v>eating less meat</v>
          </cell>
          <cell r="D219">
            <v>3.5</v>
          </cell>
          <cell r="I219">
            <v>1.1628000000000001</v>
          </cell>
          <cell r="K219">
            <v>3.0567E-2</v>
          </cell>
          <cell r="CG219">
            <v>1</v>
          </cell>
          <cell r="CH219">
            <v>1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</row>
        <row r="220">
          <cell r="B220" t="str">
            <v>eating less meat</v>
          </cell>
          <cell r="D220">
            <v>3.5</v>
          </cell>
          <cell r="I220">
            <v>16.719000000000001</v>
          </cell>
          <cell r="K220">
            <v>3.6759E-2</v>
          </cell>
          <cell r="CG220">
            <v>0</v>
          </cell>
          <cell r="CH220">
            <v>1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</row>
        <row r="221">
          <cell r="B221" t="str">
            <v>eating less meat</v>
          </cell>
          <cell r="D221">
            <v>3.5</v>
          </cell>
          <cell r="I221">
            <v>1.2811999999999999</v>
          </cell>
          <cell r="K221">
            <v>9.3165999999999999E-2</v>
          </cell>
          <cell r="CG221">
            <v>0</v>
          </cell>
          <cell r="CH221">
            <v>1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</row>
        <row r="222">
          <cell r="B222" t="str">
            <v>eating less meat</v>
          </cell>
          <cell r="D222">
            <v>3.5</v>
          </cell>
          <cell r="I222">
            <v>1.1308</v>
          </cell>
          <cell r="K222">
            <v>0.13778000000000001</v>
          </cell>
          <cell r="CG222">
            <v>0</v>
          </cell>
          <cell r="CH222">
            <v>1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</row>
        <row r="223">
          <cell r="B223" t="str">
            <v>eating less meat</v>
          </cell>
          <cell r="D223">
            <v>3.5</v>
          </cell>
          <cell r="I223">
            <v>22.178000000000001</v>
          </cell>
          <cell r="K223">
            <v>6.2318999999999999E-2</v>
          </cell>
          <cell r="CG223">
            <v>0</v>
          </cell>
          <cell r="CH223">
            <v>1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</row>
        <row r="224">
          <cell r="B224" t="str">
            <v>eating less meat</v>
          </cell>
          <cell r="D224">
            <v>3.5</v>
          </cell>
          <cell r="I224">
            <v>0.38590999999999998</v>
          </cell>
          <cell r="K224">
            <v>1.3855</v>
          </cell>
          <cell r="CG224">
            <v>1</v>
          </cell>
          <cell r="CH224">
            <v>1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</row>
        <row r="225">
          <cell r="B225" t="str">
            <v>eating less meat</v>
          </cell>
          <cell r="D225">
            <v>3.5</v>
          </cell>
          <cell r="I225">
            <v>0.50951999999999997</v>
          </cell>
          <cell r="K225">
            <v>0.2238</v>
          </cell>
          <cell r="CG225">
            <v>1</v>
          </cell>
          <cell r="CH225">
            <v>1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</row>
        <row r="226">
          <cell r="B226" t="str">
            <v>eating less meat</v>
          </cell>
          <cell r="D226">
            <v>3.5</v>
          </cell>
          <cell r="I226">
            <v>0.57913999999999999</v>
          </cell>
          <cell r="K226">
            <v>0.26929999999999998</v>
          </cell>
          <cell r="CG226">
            <v>1</v>
          </cell>
          <cell r="CH226">
            <v>1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</row>
        <row r="227">
          <cell r="B227" t="str">
            <v>eating less meat</v>
          </cell>
          <cell r="D227">
            <v>3.5</v>
          </cell>
          <cell r="I227">
            <v>0.58743000000000001</v>
          </cell>
          <cell r="K227">
            <v>3.8649000000000003E-2</v>
          </cell>
          <cell r="CG227">
            <v>0</v>
          </cell>
          <cell r="CH227">
            <v>1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</row>
        <row r="228">
          <cell r="B228" t="str">
            <v>eating less meat</v>
          </cell>
          <cell r="D228">
            <v>3.5</v>
          </cell>
          <cell r="I228">
            <v>0.65161999999999998</v>
          </cell>
          <cell r="K228">
            <v>0.11476</v>
          </cell>
          <cell r="CG228">
            <v>1</v>
          </cell>
          <cell r="CH228">
            <v>1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</row>
        <row r="229">
          <cell r="B229" t="str">
            <v>eating less meat</v>
          </cell>
          <cell r="D229">
            <v>3.5</v>
          </cell>
          <cell r="I229">
            <v>16.719000000000001</v>
          </cell>
          <cell r="K229">
            <v>3.6759E-2</v>
          </cell>
          <cell r="CG229">
            <v>0</v>
          </cell>
          <cell r="CH229">
            <v>1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</row>
        <row r="230">
          <cell r="B230" t="str">
            <v>eating less meat</v>
          </cell>
          <cell r="D230">
            <v>3.5</v>
          </cell>
          <cell r="I230">
            <v>0.93164000000000002</v>
          </cell>
          <cell r="K230">
            <v>0.153</v>
          </cell>
          <cell r="CG230">
            <v>0</v>
          </cell>
          <cell r="CH230">
            <v>1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</row>
        <row r="231">
          <cell r="B231" t="str">
            <v>eating less meat</v>
          </cell>
          <cell r="D231">
            <v>3.5</v>
          </cell>
          <cell r="I231">
            <v>1.2811999999999999</v>
          </cell>
          <cell r="K231">
            <v>9.3165999999999999E-2</v>
          </cell>
          <cell r="CG231">
            <v>0</v>
          </cell>
          <cell r="CH231">
            <v>1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</row>
        <row r="232">
          <cell r="B232" t="str">
            <v>eating less meat</v>
          </cell>
          <cell r="D232">
            <v>3.5</v>
          </cell>
          <cell r="I232">
            <v>0.31929999999999997</v>
          </cell>
          <cell r="K232">
            <v>0.51348000000000005</v>
          </cell>
          <cell r="CG232">
            <v>1</v>
          </cell>
          <cell r="CH232">
            <v>1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</row>
        <row r="233">
          <cell r="B233" t="str">
            <v>eating less meat</v>
          </cell>
          <cell r="D233">
            <v>3.5</v>
          </cell>
          <cell r="I233">
            <v>1.1308</v>
          </cell>
          <cell r="K233">
            <v>0.13778000000000001</v>
          </cell>
          <cell r="CG233">
            <v>1</v>
          </cell>
          <cell r="CH233">
            <v>1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</row>
        <row r="234">
          <cell r="B234" t="str">
            <v>eating less meat</v>
          </cell>
          <cell r="D234">
            <v>3.5</v>
          </cell>
          <cell r="I234">
            <v>0.48492000000000002</v>
          </cell>
          <cell r="K234">
            <v>0.26429999999999998</v>
          </cell>
          <cell r="CG234">
            <v>1</v>
          </cell>
          <cell r="CH234">
            <v>1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</row>
        <row r="235">
          <cell r="B235" t="str">
            <v>eating less meat</v>
          </cell>
          <cell r="D235">
            <v>3.5</v>
          </cell>
          <cell r="I235">
            <v>0.67074</v>
          </cell>
          <cell r="K235">
            <v>4.2459999999999998E-2</v>
          </cell>
          <cell r="CG235">
            <v>1</v>
          </cell>
          <cell r="CH235">
            <v>1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</row>
        <row r="236">
          <cell r="B236" t="str">
            <v>eating less meat</v>
          </cell>
          <cell r="D236">
            <v>4.0999999999999996</v>
          </cell>
          <cell r="I236">
            <v>0.30284</v>
          </cell>
          <cell r="K236">
            <v>5.3234000000000004</v>
          </cell>
          <cell r="CG236">
            <v>1</v>
          </cell>
          <cell r="CH236">
            <v>1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</row>
        <row r="237">
          <cell r="B237" t="str">
            <v>eating less meat</v>
          </cell>
          <cell r="D237">
            <v>4.0999999999999996</v>
          </cell>
          <cell r="I237">
            <v>0.31147000000000002</v>
          </cell>
          <cell r="K237">
            <v>5.2343999999999999</v>
          </cell>
          <cell r="CG237">
            <v>1</v>
          </cell>
          <cell r="CH237">
            <v>1</v>
          </cell>
          <cell r="CI237">
            <v>0</v>
          </cell>
          <cell r="CJ237">
            <v>0</v>
          </cell>
          <cell r="CK237">
            <v>1</v>
          </cell>
          <cell r="CL237">
            <v>1</v>
          </cell>
        </row>
        <row r="238">
          <cell r="B238" t="str">
            <v>eating less meat</v>
          </cell>
          <cell r="D238">
            <v>4.5</v>
          </cell>
          <cell r="I238">
            <v>-9.7436999999999996E-2</v>
          </cell>
          <cell r="K238">
            <v>-0.16671</v>
          </cell>
          <cell r="CG238">
            <v>1</v>
          </cell>
          <cell r="CH238">
            <v>1</v>
          </cell>
          <cell r="CI238">
            <v>0</v>
          </cell>
          <cell r="CJ238">
            <v>0</v>
          </cell>
          <cell r="CK238">
            <v>1</v>
          </cell>
          <cell r="CL238">
            <v>1</v>
          </cell>
        </row>
        <row r="239">
          <cell r="B239" t="str">
            <v>eating less meat</v>
          </cell>
          <cell r="D239">
            <v>3.3</v>
          </cell>
          <cell r="I239">
            <v>9.3658000000000005E-2</v>
          </cell>
          <cell r="K239">
            <v>756.3</v>
          </cell>
          <cell r="CG239">
            <v>1</v>
          </cell>
          <cell r="CH239">
            <v>1</v>
          </cell>
          <cell r="CI239">
            <v>0</v>
          </cell>
          <cell r="CJ239">
            <v>0</v>
          </cell>
          <cell r="CK239">
            <v>1</v>
          </cell>
          <cell r="CL239">
            <v>1</v>
          </cell>
        </row>
        <row r="240">
          <cell r="B240" t="str">
            <v>eating less meat</v>
          </cell>
          <cell r="D240">
            <v>3.5</v>
          </cell>
          <cell r="I240">
            <v>0.32242999999999999</v>
          </cell>
          <cell r="K240">
            <v>5.4667000000000003</v>
          </cell>
          <cell r="CG240">
            <v>1</v>
          </cell>
          <cell r="CH240">
            <v>1</v>
          </cell>
          <cell r="CI240">
            <v>0</v>
          </cell>
          <cell r="CJ240">
            <v>0</v>
          </cell>
          <cell r="CK240">
            <v>0</v>
          </cell>
          <cell r="CL240">
            <v>1</v>
          </cell>
        </row>
        <row r="241">
          <cell r="B241" t="str">
            <v>eating less meat</v>
          </cell>
          <cell r="D241">
            <v>3.5</v>
          </cell>
          <cell r="I241">
            <v>1.2906</v>
          </cell>
          <cell r="K241">
            <v>0.62543000000000004</v>
          </cell>
          <cell r="CG241">
            <v>1</v>
          </cell>
          <cell r="CH241">
            <v>1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</row>
        <row r="242">
          <cell r="B242" t="str">
            <v>eating less meat</v>
          </cell>
          <cell r="D242">
            <v>3.5</v>
          </cell>
          <cell r="I242">
            <v>1.343</v>
          </cell>
          <cell r="K242">
            <v>1.2393000000000001</v>
          </cell>
          <cell r="CG242">
            <v>0</v>
          </cell>
          <cell r="CH242">
            <v>1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</row>
        <row r="243">
          <cell r="B243" t="str">
            <v>eating less meat</v>
          </cell>
          <cell r="D243">
            <v>3.5</v>
          </cell>
          <cell r="I243">
            <v>2.3485</v>
          </cell>
          <cell r="K243">
            <v>16.609000000000002</v>
          </cell>
          <cell r="CG243">
            <v>0</v>
          </cell>
          <cell r="CH243">
            <v>1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</row>
        <row r="244">
          <cell r="B244" t="str">
            <v>eating less meat</v>
          </cell>
          <cell r="D244">
            <v>3.5</v>
          </cell>
          <cell r="I244">
            <v>0.43554999999999999</v>
          </cell>
          <cell r="K244">
            <v>27.56</v>
          </cell>
          <cell r="CG244">
            <v>0</v>
          </cell>
          <cell r="CH244">
            <v>1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</row>
        <row r="245">
          <cell r="B245" t="str">
            <v>eating less meat</v>
          </cell>
          <cell r="D245">
            <v>3.5</v>
          </cell>
          <cell r="I245">
            <v>1.2659</v>
          </cell>
          <cell r="K245">
            <v>1.6888000000000001</v>
          </cell>
          <cell r="CG245">
            <v>1</v>
          </cell>
          <cell r="CH245">
            <v>1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</row>
        <row r="246">
          <cell r="B246" t="str">
            <v>eating less meat</v>
          </cell>
          <cell r="D246">
            <v>3.5</v>
          </cell>
          <cell r="I246">
            <v>0.14373</v>
          </cell>
          <cell r="K246">
            <v>40.164000000000001</v>
          </cell>
          <cell r="CG246">
            <v>1</v>
          </cell>
          <cell r="CH246">
            <v>1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</row>
        <row r="247">
          <cell r="B247" t="str">
            <v>eating less meat</v>
          </cell>
          <cell r="D247">
            <v>3.5</v>
          </cell>
          <cell r="I247">
            <v>0.25942999999999999</v>
          </cell>
          <cell r="K247">
            <v>5.0111999999999997</v>
          </cell>
          <cell r="CG247">
            <v>1</v>
          </cell>
          <cell r="CH247">
            <v>1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</row>
        <row r="248">
          <cell r="B248" t="str">
            <v>eating less meat</v>
          </cell>
          <cell r="D248">
            <v>3.5</v>
          </cell>
          <cell r="I248">
            <v>0.32242999999999999</v>
          </cell>
          <cell r="K248">
            <v>5.4667000000000003</v>
          </cell>
          <cell r="CG248">
            <v>1</v>
          </cell>
          <cell r="CH248">
            <v>1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</row>
        <row r="249">
          <cell r="B249" t="str">
            <v>eating less meat</v>
          </cell>
          <cell r="D249">
            <v>3.5</v>
          </cell>
          <cell r="I249">
            <v>0.38967000000000002</v>
          </cell>
          <cell r="K249">
            <v>0.55196999999999996</v>
          </cell>
          <cell r="CG249">
            <v>1</v>
          </cell>
          <cell r="CH249">
            <v>1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</row>
        <row r="250">
          <cell r="B250" t="str">
            <v>eating less meat</v>
          </cell>
          <cell r="D250">
            <v>3.5</v>
          </cell>
          <cell r="I250">
            <v>0.68811999999999995</v>
          </cell>
          <cell r="K250">
            <v>5.7809999999999997</v>
          </cell>
          <cell r="CG250">
            <v>1</v>
          </cell>
          <cell r="CH250">
            <v>1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</row>
        <row r="251">
          <cell r="B251" t="str">
            <v>eating less meat</v>
          </cell>
          <cell r="D251">
            <v>3.5</v>
          </cell>
          <cell r="I251">
            <v>0.51043000000000005</v>
          </cell>
          <cell r="K251">
            <v>0.9385</v>
          </cell>
          <cell r="CG251">
            <v>1</v>
          </cell>
          <cell r="CH251">
            <v>1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</row>
        <row r="252">
          <cell r="B252" t="str">
            <v>eating less meat</v>
          </cell>
          <cell r="D252">
            <v>3.5</v>
          </cell>
          <cell r="I252">
            <v>1.1357999999999999</v>
          </cell>
          <cell r="K252">
            <v>78.950999999999993</v>
          </cell>
          <cell r="CG252">
            <v>1</v>
          </cell>
          <cell r="CH252">
            <v>1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</row>
        <row r="253">
          <cell r="B253" t="str">
            <v>eating less meat</v>
          </cell>
          <cell r="D253">
            <v>3.5</v>
          </cell>
          <cell r="I253">
            <v>1.0096000000000001</v>
          </cell>
          <cell r="K253">
            <v>15.539</v>
          </cell>
          <cell r="CG253">
            <v>1</v>
          </cell>
          <cell r="CH253">
            <v>1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</row>
        <row r="254">
          <cell r="B254" t="str">
            <v>eating less meat</v>
          </cell>
          <cell r="D254">
            <v>3.5</v>
          </cell>
          <cell r="I254">
            <v>0.3574</v>
          </cell>
          <cell r="K254">
            <v>198.69</v>
          </cell>
          <cell r="CG254">
            <v>1</v>
          </cell>
          <cell r="CH254">
            <v>1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</row>
        <row r="255">
          <cell r="B255" t="str">
            <v>eating less meat</v>
          </cell>
          <cell r="D255">
            <v>3.5</v>
          </cell>
          <cell r="I255">
            <v>0.28506999999999999</v>
          </cell>
          <cell r="K255">
            <v>29.436</v>
          </cell>
          <cell r="CG255">
            <v>1</v>
          </cell>
          <cell r="CH255">
            <v>1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</row>
        <row r="256">
          <cell r="B256" t="str">
            <v>eating less meat</v>
          </cell>
          <cell r="D256">
            <v>3.5</v>
          </cell>
          <cell r="I256">
            <v>0.61658000000000002</v>
          </cell>
          <cell r="K256">
            <v>8.4158000000000008</v>
          </cell>
          <cell r="CG256">
            <v>1</v>
          </cell>
          <cell r="CH256">
            <v>1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</row>
        <row r="257">
          <cell r="B257" t="str">
            <v>eating less meat</v>
          </cell>
          <cell r="D257">
            <v>3.5</v>
          </cell>
          <cell r="I257">
            <v>0.45134999999999997</v>
          </cell>
          <cell r="K257">
            <v>1.3290999999999999</v>
          </cell>
          <cell r="CG257">
            <v>1</v>
          </cell>
          <cell r="CH257">
            <v>1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</row>
        <row r="258">
          <cell r="B258" t="str">
            <v>eating less meat</v>
          </cell>
          <cell r="D258">
            <v>1.1000000000000001</v>
          </cell>
          <cell r="I258">
            <v>-7.7646999999999994E-2</v>
          </cell>
          <cell r="K258">
            <v>-1.1395000000000001E-2</v>
          </cell>
          <cell r="CG258">
            <v>1</v>
          </cell>
          <cell r="CH258">
            <v>1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</row>
        <row r="259">
          <cell r="B259" t="str">
            <v>eating less meat</v>
          </cell>
          <cell r="D259">
            <v>1.1000000000000001</v>
          </cell>
          <cell r="I259">
            <v>5.5924E-3</v>
          </cell>
          <cell r="K259">
            <v>2.2242000000000001E-2</v>
          </cell>
          <cell r="CG259">
            <v>1</v>
          </cell>
          <cell r="CH259">
            <v>1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</row>
        <row r="260">
          <cell r="B260" t="str">
            <v>eating less meat</v>
          </cell>
          <cell r="D260">
            <v>1.1000000000000001</v>
          </cell>
          <cell r="CG260">
            <v>0</v>
          </cell>
          <cell r="CH260">
            <v>1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 t="str">
            <v>only 1 data point, check underlying time series</v>
          </cell>
        </row>
        <row r="261">
          <cell r="B261" t="str">
            <v>eating less meat</v>
          </cell>
          <cell r="D261">
            <v>1.1000000000000001</v>
          </cell>
          <cell r="I261">
            <v>-7.7646999999999994E-2</v>
          </cell>
          <cell r="K261">
            <v>-1.1395000000000001E-2</v>
          </cell>
          <cell r="CG261">
            <v>1</v>
          </cell>
          <cell r="CH261">
            <v>1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</row>
        <row r="262">
          <cell r="B262" t="str">
            <v>eating less meat</v>
          </cell>
          <cell r="D262">
            <v>1.1000000000000001</v>
          </cell>
          <cell r="I262">
            <v>4.9652000000000003E-3</v>
          </cell>
          <cell r="K262">
            <v>1.9776999999999999E-2</v>
          </cell>
          <cell r="CG262">
            <v>1</v>
          </cell>
          <cell r="CH262">
            <v>1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</row>
        <row r="263">
          <cell r="B263" t="str">
            <v>eating less meat</v>
          </cell>
          <cell r="D263">
            <v>1.1000000000000001</v>
          </cell>
          <cell r="K263">
            <v>-0.38</v>
          </cell>
          <cell r="CG263">
            <v>1</v>
          </cell>
          <cell r="CH263">
            <v>1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</row>
        <row r="264">
          <cell r="B264" t="str">
            <v>eating less meat</v>
          </cell>
          <cell r="D264">
            <v>1.1000000000000001</v>
          </cell>
          <cell r="I264">
            <v>-7.7646999999999994E-2</v>
          </cell>
          <cell r="K264">
            <v>-1.1395000000000001E-2</v>
          </cell>
          <cell r="CG264">
            <v>1</v>
          </cell>
          <cell r="CH264">
            <v>1</v>
          </cell>
          <cell r="CI264">
            <v>0</v>
          </cell>
          <cell r="CJ264">
            <v>1</v>
          </cell>
          <cell r="CK264">
            <v>0</v>
          </cell>
          <cell r="CL264">
            <v>0</v>
          </cell>
        </row>
        <row r="265">
          <cell r="B265" t="str">
            <v>eating less meat</v>
          </cell>
          <cell r="D265">
            <v>2.4</v>
          </cell>
          <cell r="I265">
            <v>1.6108999999999998E-2</v>
          </cell>
          <cell r="K265">
            <v>0.92101999999999995</v>
          </cell>
          <cell r="CG265">
            <v>1</v>
          </cell>
          <cell r="CH265">
            <v>1</v>
          </cell>
          <cell r="CI265">
            <v>0</v>
          </cell>
          <cell r="CJ265">
            <v>0</v>
          </cell>
          <cell r="CK265">
            <v>0</v>
          </cell>
          <cell r="CL265">
            <v>1</v>
          </cell>
        </row>
        <row r="266">
          <cell r="B266" t="str">
            <v>eating less meat</v>
          </cell>
          <cell r="D266">
            <v>2.5</v>
          </cell>
          <cell r="I266">
            <v>5.2471999999999998E-2</v>
          </cell>
          <cell r="K266">
            <v>1.1395000000000001E-2</v>
          </cell>
          <cell r="CG266">
            <v>1</v>
          </cell>
          <cell r="CH266">
            <v>1</v>
          </cell>
          <cell r="CI266">
            <v>0</v>
          </cell>
          <cell r="CJ266">
            <v>0</v>
          </cell>
          <cell r="CK266">
            <v>0</v>
          </cell>
          <cell r="CL266">
            <v>1</v>
          </cell>
          <cell r="CM266" t="str">
            <v>moved from 1.1</v>
          </cell>
        </row>
        <row r="267">
          <cell r="B267" t="str">
            <v>eating less meat</v>
          </cell>
          <cell r="D267">
            <v>2.5</v>
          </cell>
          <cell r="I267">
            <v>-6.8570000000000006E-2</v>
          </cell>
          <cell r="K267">
            <v>-2.8146000000000001E-2</v>
          </cell>
          <cell r="CG267">
            <v>1</v>
          </cell>
          <cell r="CH267">
            <v>1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</row>
        <row r="268">
          <cell r="B268" t="str">
            <v>eating less meat</v>
          </cell>
          <cell r="D268">
            <v>2.5</v>
          </cell>
          <cell r="I268">
            <v>-10.224</v>
          </cell>
          <cell r="K268">
            <v>-2.7626E-3</v>
          </cell>
          <cell r="CG268">
            <v>0</v>
          </cell>
          <cell r="CH268">
            <v>1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</row>
        <row r="269">
          <cell r="B269" t="str">
            <v>eating less meat</v>
          </cell>
          <cell r="D269">
            <v>2.5</v>
          </cell>
          <cell r="I269">
            <v>-0.14971999999999999</v>
          </cell>
          <cell r="K269">
            <v>-2.2499E-3</v>
          </cell>
          <cell r="CG269">
            <v>0</v>
          </cell>
          <cell r="CH269">
            <v>1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</row>
        <row r="270">
          <cell r="B270" t="str">
            <v>eating less meat</v>
          </cell>
          <cell r="D270">
            <v>2.5</v>
          </cell>
          <cell r="I270">
            <v>8.6579000000000003E-2</v>
          </cell>
          <cell r="K270">
            <v>5.7362999999999997E-2</v>
          </cell>
          <cell r="CG270">
            <v>1</v>
          </cell>
          <cell r="CH270">
            <v>1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</row>
        <row r="271">
          <cell r="B271" t="str">
            <v>eating less meat</v>
          </cell>
          <cell r="D271">
            <v>2.5</v>
          </cell>
          <cell r="I271">
            <v>-7.9870999999999998E-2</v>
          </cell>
          <cell r="K271">
            <v>-1.9615000000000001E-3</v>
          </cell>
          <cell r="CG271">
            <v>1</v>
          </cell>
          <cell r="CH271">
            <v>1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</row>
        <row r="272">
          <cell r="B272" t="str">
            <v>eating less meat</v>
          </cell>
          <cell r="D272">
            <v>3.5</v>
          </cell>
          <cell r="I272">
            <v>0.61794000000000004</v>
          </cell>
          <cell r="K272">
            <v>0.19183</v>
          </cell>
          <cell r="CG272">
            <v>1</v>
          </cell>
          <cell r="CH272">
            <v>1</v>
          </cell>
          <cell r="CI272">
            <v>0</v>
          </cell>
          <cell r="CJ272">
            <v>0</v>
          </cell>
          <cell r="CK272">
            <v>0</v>
          </cell>
          <cell r="CL272">
            <v>1</v>
          </cell>
        </row>
        <row r="273">
          <cell r="B273" t="str">
            <v>eating less meat</v>
          </cell>
          <cell r="D273">
            <v>3.5</v>
          </cell>
          <cell r="I273">
            <v>5.7401</v>
          </cell>
          <cell r="K273">
            <v>2.5954999999999999E-2</v>
          </cell>
          <cell r="CG273">
            <v>0</v>
          </cell>
          <cell r="CH273">
            <v>1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</row>
        <row r="274">
          <cell r="B274" t="str">
            <v>eating less meat</v>
          </cell>
          <cell r="D274">
            <v>3.5</v>
          </cell>
          <cell r="I274">
            <v>1.6796</v>
          </cell>
          <cell r="K274">
            <v>2.8458000000000001E-2</v>
          </cell>
          <cell r="CG274">
            <v>0</v>
          </cell>
          <cell r="CH274">
            <v>1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</row>
        <row r="275">
          <cell r="B275" t="str">
            <v>eating less meat</v>
          </cell>
          <cell r="D275">
            <v>3.5</v>
          </cell>
          <cell r="I275">
            <v>21.187000000000001</v>
          </cell>
          <cell r="K275">
            <v>2.4204E-2</v>
          </cell>
          <cell r="CG275">
            <v>0</v>
          </cell>
          <cell r="CH275">
            <v>1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</row>
        <row r="276">
          <cell r="B276" t="str">
            <v>eating less meat</v>
          </cell>
          <cell r="D276">
            <v>3.5</v>
          </cell>
          <cell r="I276">
            <v>34.762999999999998</v>
          </cell>
          <cell r="K276">
            <v>3.5617000000000003E-2</v>
          </cell>
          <cell r="CG276">
            <v>0</v>
          </cell>
          <cell r="CH276">
            <v>1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</row>
        <row r="277">
          <cell r="B277" t="str">
            <v>eating less meat</v>
          </cell>
          <cell r="D277">
            <v>3.5</v>
          </cell>
          <cell r="I277">
            <v>49.847000000000001</v>
          </cell>
          <cell r="K277">
            <v>3.8602999999999998E-2</v>
          </cell>
          <cell r="CG277">
            <v>0</v>
          </cell>
          <cell r="CH277">
            <v>1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</row>
        <row r="278">
          <cell r="B278" t="str">
            <v>eating less meat</v>
          </cell>
          <cell r="D278">
            <v>3.5</v>
          </cell>
          <cell r="I278">
            <v>0.39765</v>
          </cell>
          <cell r="K278">
            <v>0.90974999999999995</v>
          </cell>
          <cell r="CG278">
            <v>1</v>
          </cell>
          <cell r="CH278">
            <v>1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</row>
        <row r="279">
          <cell r="B279" t="str">
            <v>eating less meat</v>
          </cell>
          <cell r="D279">
            <v>3.5</v>
          </cell>
          <cell r="I279">
            <v>0.61673</v>
          </cell>
          <cell r="K279">
            <v>0.17272999999999999</v>
          </cell>
          <cell r="CG279">
            <v>1</v>
          </cell>
          <cell r="CH279">
            <v>1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</row>
        <row r="280">
          <cell r="B280" t="str">
            <v>eating less meat</v>
          </cell>
          <cell r="D280">
            <v>3.5</v>
          </cell>
          <cell r="I280">
            <v>0.61794000000000004</v>
          </cell>
          <cell r="K280">
            <v>0.19183</v>
          </cell>
          <cell r="CG280">
            <v>1</v>
          </cell>
          <cell r="CH280">
            <v>1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</row>
        <row r="281">
          <cell r="B281" t="str">
            <v>eating less meat</v>
          </cell>
          <cell r="D281">
            <v>3.5</v>
          </cell>
          <cell r="I281">
            <v>0.85602</v>
          </cell>
          <cell r="K281">
            <v>2.085E-2</v>
          </cell>
          <cell r="CG281">
            <v>0</v>
          </cell>
          <cell r="CH281">
            <v>1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</row>
        <row r="282">
          <cell r="B282" t="str">
            <v>eating less meat</v>
          </cell>
          <cell r="D282">
            <v>3.5</v>
          </cell>
          <cell r="I282">
            <v>0.63271999999999995</v>
          </cell>
          <cell r="K282">
            <v>0.15468000000000001</v>
          </cell>
          <cell r="CG282">
            <v>1</v>
          </cell>
          <cell r="CH282">
            <v>1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</row>
        <row r="283">
          <cell r="B283" t="str">
            <v>eating less meat</v>
          </cell>
          <cell r="D283">
            <v>3.5</v>
          </cell>
          <cell r="I283">
            <v>8.9474999999999998</v>
          </cell>
          <cell r="K283">
            <v>1.498E-2</v>
          </cell>
          <cell r="CG283">
            <v>0</v>
          </cell>
          <cell r="CH283">
            <v>1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</row>
        <row r="284">
          <cell r="B284" t="str">
            <v>eating less meat</v>
          </cell>
          <cell r="D284">
            <v>3.5</v>
          </cell>
          <cell r="I284">
            <v>1.8312999999999999</v>
          </cell>
          <cell r="K284">
            <v>9.0415999999999996E-2</v>
          </cell>
          <cell r="CG284">
            <v>0</v>
          </cell>
          <cell r="CH284">
            <v>1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</row>
        <row r="285">
          <cell r="B285" t="str">
            <v>eating less meat</v>
          </cell>
          <cell r="D285">
            <v>3.5</v>
          </cell>
          <cell r="I285">
            <v>2.4150999999999998</v>
          </cell>
          <cell r="K285">
            <v>1.7850999999999999E-2</v>
          </cell>
          <cell r="CG285">
            <v>0</v>
          </cell>
          <cell r="CH285">
            <v>1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</row>
        <row r="286">
          <cell r="B286" t="str">
            <v>eating less meat</v>
          </cell>
          <cell r="D286">
            <v>3.5</v>
          </cell>
          <cell r="I286">
            <v>2.7271999999999998</v>
          </cell>
          <cell r="K286">
            <v>0.13571</v>
          </cell>
          <cell r="CG286">
            <v>0</v>
          </cell>
          <cell r="CH286">
            <v>1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</row>
        <row r="287">
          <cell r="B287" t="str">
            <v>eating less meat</v>
          </cell>
          <cell r="D287">
            <v>3.5</v>
          </cell>
          <cell r="I287">
            <v>2.9443000000000001</v>
          </cell>
          <cell r="K287">
            <v>2.8486000000000001E-2</v>
          </cell>
          <cell r="CG287">
            <v>0</v>
          </cell>
          <cell r="CH287">
            <v>1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</row>
        <row r="288">
          <cell r="B288" t="str">
            <v>eating less meat</v>
          </cell>
          <cell r="D288">
            <v>3.5</v>
          </cell>
          <cell r="I288">
            <v>0.74568999999999996</v>
          </cell>
          <cell r="K288">
            <v>0.19539000000000001</v>
          </cell>
          <cell r="CG288">
            <v>1</v>
          </cell>
          <cell r="CH288">
            <v>1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</row>
        <row r="289">
          <cell r="B289" t="str">
            <v>eating less meat</v>
          </cell>
          <cell r="D289">
            <v>3.5</v>
          </cell>
          <cell r="I289">
            <v>0.54207000000000005</v>
          </cell>
          <cell r="K289">
            <v>3.3790000000000001E-2</v>
          </cell>
          <cell r="CG289">
            <v>0</v>
          </cell>
          <cell r="CH289">
            <v>1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</row>
        <row r="290">
          <cell r="B290" t="str">
            <v>eating less meat</v>
          </cell>
          <cell r="D290">
            <v>4.0999999999999996</v>
          </cell>
          <cell r="I290">
            <v>-0.32571</v>
          </cell>
          <cell r="K290">
            <v>-3.0034000000000001</v>
          </cell>
          <cell r="CG290">
            <v>1</v>
          </cell>
          <cell r="CH290">
            <v>1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</row>
        <row r="291">
          <cell r="B291" t="str">
            <v>eating less meat</v>
          </cell>
          <cell r="D291">
            <v>4.0999999999999996</v>
          </cell>
          <cell r="I291">
            <v>5.0070999999999997E-2</v>
          </cell>
          <cell r="K291">
            <v>2.1141000000000001</v>
          </cell>
          <cell r="CG291">
            <v>0</v>
          </cell>
          <cell r="CH291">
            <v>1</v>
          </cell>
          <cell r="CI291">
            <v>0</v>
          </cell>
          <cell r="CJ291">
            <v>0</v>
          </cell>
          <cell r="CK291">
            <v>0</v>
          </cell>
          <cell r="CL291">
            <v>1</v>
          </cell>
        </row>
        <row r="292">
          <cell r="B292" t="str">
            <v>eating less meat</v>
          </cell>
          <cell r="D292">
            <v>4.5</v>
          </cell>
          <cell r="I292">
            <v>5.5861000000000001E-3</v>
          </cell>
          <cell r="K292">
            <v>2.2213E-2</v>
          </cell>
          <cell r="CG292">
            <v>1</v>
          </cell>
          <cell r="CH292">
            <v>1</v>
          </cell>
          <cell r="CI292">
            <v>0</v>
          </cell>
          <cell r="CJ292">
            <v>0</v>
          </cell>
          <cell r="CK292">
            <v>0</v>
          </cell>
          <cell r="CL292">
            <v>1</v>
          </cell>
        </row>
        <row r="293">
          <cell r="B293" t="str">
            <v>eating less meat</v>
          </cell>
          <cell r="D293">
            <v>1.1000000000000001</v>
          </cell>
          <cell r="I293">
            <v>-1.9384999999999999E-2</v>
          </cell>
          <cell r="K293">
            <v>-1.9323999999999999E-3</v>
          </cell>
          <cell r="CG293">
            <v>1</v>
          </cell>
          <cell r="CH293">
            <v>1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</row>
        <row r="294">
          <cell r="B294" t="str">
            <v>eating less meat</v>
          </cell>
          <cell r="D294">
            <v>1.1000000000000001</v>
          </cell>
          <cell r="I294">
            <v>7.1994000000000002E-2</v>
          </cell>
          <cell r="K294">
            <v>0.63307999999999998</v>
          </cell>
          <cell r="CG294">
            <v>1</v>
          </cell>
          <cell r="CH294">
            <v>1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</row>
        <row r="295">
          <cell r="B295" t="str">
            <v>eating less meat</v>
          </cell>
          <cell r="D295">
            <v>1.1000000000000001</v>
          </cell>
          <cell r="CG295">
            <v>0</v>
          </cell>
          <cell r="CH295">
            <v>1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</row>
        <row r="296">
          <cell r="B296" t="str">
            <v>eating less meat</v>
          </cell>
          <cell r="D296">
            <v>1.1000000000000001</v>
          </cell>
          <cell r="I296">
            <v>-1.9384999999999999E-2</v>
          </cell>
          <cell r="K296">
            <v>-1.9323999999999999E-3</v>
          </cell>
          <cell r="CG296">
            <v>1</v>
          </cell>
          <cell r="CH296">
            <v>1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</row>
        <row r="297">
          <cell r="B297" t="str">
            <v>eating less meat</v>
          </cell>
          <cell r="D297">
            <v>1.1000000000000001</v>
          </cell>
          <cell r="I297">
            <v>7.1994000000000002E-2</v>
          </cell>
          <cell r="K297">
            <v>0.63307999999999998</v>
          </cell>
          <cell r="CG297">
            <v>1</v>
          </cell>
          <cell r="CH297">
            <v>1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</row>
        <row r="298">
          <cell r="B298" t="str">
            <v>eating less meat</v>
          </cell>
          <cell r="D298">
            <v>1.1000000000000001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</row>
        <row r="299">
          <cell r="B299" t="str">
            <v>eating less meat</v>
          </cell>
          <cell r="D299">
            <v>1.1000000000000001</v>
          </cell>
          <cell r="I299">
            <v>-1.9384999999999999E-2</v>
          </cell>
          <cell r="K299">
            <v>-1.9323999999999999E-3</v>
          </cell>
          <cell r="CG299">
            <v>1</v>
          </cell>
          <cell r="CH299">
            <v>1</v>
          </cell>
          <cell r="CI299">
            <v>0</v>
          </cell>
          <cell r="CJ299">
            <v>1</v>
          </cell>
          <cell r="CK299">
            <v>0</v>
          </cell>
          <cell r="CL299">
            <v>0</v>
          </cell>
        </row>
        <row r="300">
          <cell r="B300" t="str">
            <v>eating less meat</v>
          </cell>
          <cell r="D300">
            <v>2.4</v>
          </cell>
          <cell r="I300">
            <v>-2.3219E-3</v>
          </cell>
          <cell r="K300">
            <v>-0.26280999999999999</v>
          </cell>
          <cell r="CG300">
            <v>1</v>
          </cell>
          <cell r="CH300">
            <v>1</v>
          </cell>
          <cell r="CI300">
            <v>0</v>
          </cell>
          <cell r="CJ300">
            <v>0</v>
          </cell>
          <cell r="CK300">
            <v>0</v>
          </cell>
          <cell r="CL300">
            <v>1</v>
          </cell>
        </row>
        <row r="301">
          <cell r="B301" t="str">
            <v>eating less meat</v>
          </cell>
          <cell r="D301">
            <v>2.5</v>
          </cell>
          <cell r="I301">
            <v>2.5333999999999999E-3</v>
          </cell>
          <cell r="K301">
            <v>1.9323999999999999E-3</v>
          </cell>
          <cell r="CG301">
            <v>1</v>
          </cell>
          <cell r="CH301">
            <v>1</v>
          </cell>
          <cell r="CI301">
            <v>0</v>
          </cell>
          <cell r="CJ301">
            <v>0</v>
          </cell>
          <cell r="CK301">
            <v>0</v>
          </cell>
          <cell r="CL301">
            <v>1</v>
          </cell>
          <cell r="CM301" t="str">
            <v>moved from 1.1</v>
          </cell>
        </row>
        <row r="302">
          <cell r="B302" t="str">
            <v>eating less meat</v>
          </cell>
          <cell r="D302">
            <v>2.5</v>
          </cell>
          <cell r="I302">
            <v>0.15640000000000001</v>
          </cell>
          <cell r="K302">
            <v>0.12886</v>
          </cell>
          <cell r="CG302">
            <v>1</v>
          </cell>
          <cell r="CH302">
            <v>1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</row>
        <row r="303">
          <cell r="B303" t="str">
            <v>eating less meat</v>
          </cell>
          <cell r="D303">
            <v>2.5</v>
          </cell>
          <cell r="I303">
            <v>-9.3813999999999995E-2</v>
          </cell>
          <cell r="K303">
            <v>-3.1119000000000001E-2</v>
          </cell>
          <cell r="CG303">
            <v>1</v>
          </cell>
          <cell r="CH303">
            <v>1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</row>
        <row r="304">
          <cell r="B304" t="str">
            <v>eating less meat</v>
          </cell>
          <cell r="D304">
            <v>2.5</v>
          </cell>
          <cell r="I304">
            <v>5.8756000000000003E-2</v>
          </cell>
          <cell r="K304">
            <v>0.26497999999999999</v>
          </cell>
          <cell r="CG304">
            <v>1</v>
          </cell>
          <cell r="CH304">
            <v>1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</row>
        <row r="305">
          <cell r="B305" t="str">
            <v>eating less meat</v>
          </cell>
          <cell r="D305">
            <v>2.5</v>
          </cell>
          <cell r="I305">
            <v>5.8180000000000003E-2</v>
          </cell>
          <cell r="K305">
            <v>0.29304000000000002</v>
          </cell>
          <cell r="CG305">
            <v>1</v>
          </cell>
          <cell r="CH305">
            <v>1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</row>
        <row r="306">
          <cell r="B306" t="str">
            <v>eating less meat</v>
          </cell>
          <cell r="D306">
            <v>2.5</v>
          </cell>
          <cell r="I306">
            <v>-7.1998999999999994E-2</v>
          </cell>
          <cell r="K306">
            <v>-2.2682999999999998E-2</v>
          </cell>
          <cell r="CG306">
            <v>1</v>
          </cell>
          <cell r="CH306">
            <v>1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</row>
        <row r="307">
          <cell r="B307" t="str">
            <v>eating less meat</v>
          </cell>
          <cell r="D307">
            <v>3.5</v>
          </cell>
          <cell r="I307">
            <v>0.84614</v>
          </cell>
          <cell r="K307">
            <v>5.2041999999999998E-2</v>
          </cell>
          <cell r="CG307">
            <v>1</v>
          </cell>
          <cell r="CH307">
            <v>1</v>
          </cell>
          <cell r="CI307">
            <v>0</v>
          </cell>
          <cell r="CJ307">
            <v>0</v>
          </cell>
          <cell r="CK307">
            <v>0</v>
          </cell>
          <cell r="CL307">
            <v>1</v>
          </cell>
        </row>
        <row r="308">
          <cell r="B308" t="str">
            <v>eating less meat</v>
          </cell>
          <cell r="D308">
            <v>3.5</v>
          </cell>
          <cell r="I308">
            <v>51.933999999999997</v>
          </cell>
          <cell r="K308">
            <v>9.4862000000000002E-3</v>
          </cell>
          <cell r="CG308">
            <v>0</v>
          </cell>
          <cell r="CH308">
            <v>1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</row>
        <row r="309">
          <cell r="B309" t="str">
            <v>eating less meat</v>
          </cell>
          <cell r="D309">
            <v>3.5</v>
          </cell>
          <cell r="I309">
            <v>48.698</v>
          </cell>
          <cell r="K309">
            <v>5.4018E-3</v>
          </cell>
          <cell r="CG309">
            <v>0</v>
          </cell>
          <cell r="CH309">
            <v>1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</row>
        <row r="310">
          <cell r="B310" t="str">
            <v>eating less meat</v>
          </cell>
          <cell r="D310">
            <v>3.5</v>
          </cell>
          <cell r="I310">
            <v>27.335000000000001</v>
          </cell>
          <cell r="K310">
            <v>6.1954000000000002E-3</v>
          </cell>
          <cell r="CG310">
            <v>0</v>
          </cell>
          <cell r="CH310">
            <v>1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</row>
        <row r="311">
          <cell r="B311" t="str">
            <v>eating less meat</v>
          </cell>
          <cell r="D311">
            <v>3.5</v>
          </cell>
          <cell r="I311">
            <v>27.335000000000001</v>
          </cell>
          <cell r="K311">
            <v>6.1954000000000002E-3</v>
          </cell>
          <cell r="CG311">
            <v>0</v>
          </cell>
          <cell r="CH311">
            <v>1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</row>
        <row r="312">
          <cell r="B312" t="str">
            <v>eating less meat</v>
          </cell>
          <cell r="D312">
            <v>3.5</v>
          </cell>
          <cell r="I312">
            <v>63.756999999999998</v>
          </cell>
          <cell r="K312">
            <v>8.3003999999999994E-3</v>
          </cell>
          <cell r="CG312">
            <v>0</v>
          </cell>
          <cell r="CH312">
            <v>1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</row>
        <row r="313">
          <cell r="B313" t="str">
            <v>eating less meat</v>
          </cell>
          <cell r="D313">
            <v>3.5</v>
          </cell>
          <cell r="I313">
            <v>0.69105000000000005</v>
          </cell>
          <cell r="K313">
            <v>0.17457</v>
          </cell>
          <cell r="CG313">
            <v>1</v>
          </cell>
          <cell r="CH313">
            <v>1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</row>
        <row r="314">
          <cell r="B314" t="str">
            <v>eating less meat</v>
          </cell>
          <cell r="D314">
            <v>3.5</v>
          </cell>
          <cell r="I314">
            <v>0.74941999999999998</v>
          </cell>
          <cell r="K314">
            <v>3.5487999999999999E-2</v>
          </cell>
          <cell r="CG314">
            <v>1</v>
          </cell>
          <cell r="CH314">
            <v>1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</row>
        <row r="315">
          <cell r="B315" t="str">
            <v>eating less meat</v>
          </cell>
          <cell r="D315">
            <v>3.5</v>
          </cell>
          <cell r="I315">
            <v>0.84614</v>
          </cell>
          <cell r="K315">
            <v>5.2041999999999998E-2</v>
          </cell>
          <cell r="CG315">
            <v>1</v>
          </cell>
          <cell r="CH315">
            <v>1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</row>
        <row r="316">
          <cell r="B316" t="str">
            <v>eating less meat</v>
          </cell>
          <cell r="D316">
            <v>3.5</v>
          </cell>
          <cell r="I316">
            <v>16.510999999999999</v>
          </cell>
          <cell r="K316">
            <v>3.8462000000000001E-3</v>
          </cell>
          <cell r="CG316">
            <v>0</v>
          </cell>
          <cell r="CH316">
            <v>1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</row>
        <row r="317">
          <cell r="B317" t="str">
            <v>eating less meat</v>
          </cell>
          <cell r="D317">
            <v>3.5</v>
          </cell>
          <cell r="I317">
            <v>710.31</v>
          </cell>
          <cell r="K317">
            <v>1.3965999999999999E-2</v>
          </cell>
          <cell r="CG317">
            <v>1</v>
          </cell>
          <cell r="CH317">
            <v>1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</row>
        <row r="318">
          <cell r="B318" t="str">
            <v>eating less meat</v>
          </cell>
          <cell r="D318">
            <v>3.5</v>
          </cell>
          <cell r="I318">
            <v>17.936</v>
          </cell>
          <cell r="K318">
            <v>3.1711999999999999E-3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</row>
        <row r="319">
          <cell r="B319" t="str">
            <v>eating less meat</v>
          </cell>
          <cell r="D319">
            <v>3.5</v>
          </cell>
          <cell r="K319">
            <v>1.3957000000000001E-2</v>
          </cell>
          <cell r="CG319">
            <v>1</v>
          </cell>
          <cell r="CH319">
            <v>1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</row>
        <row r="320">
          <cell r="B320" t="str">
            <v>eating less meat</v>
          </cell>
          <cell r="D320">
            <v>3.5</v>
          </cell>
          <cell r="K320">
            <v>6.7869000000000002E-3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</row>
        <row r="321">
          <cell r="B321" t="str">
            <v>eating less meat</v>
          </cell>
          <cell r="D321">
            <v>3.5</v>
          </cell>
          <cell r="K321">
            <v>1.3957000000000001E-2</v>
          </cell>
          <cell r="CG321">
            <v>1</v>
          </cell>
          <cell r="CH321">
            <v>1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</row>
        <row r="322">
          <cell r="B322" t="str">
            <v>eating less meat</v>
          </cell>
          <cell r="D322">
            <v>3.5</v>
          </cell>
          <cell r="K322">
            <v>6.7869000000000002E-3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</row>
        <row r="323">
          <cell r="B323" t="str">
            <v>eating less meat</v>
          </cell>
          <cell r="D323">
            <v>3.5</v>
          </cell>
          <cell r="I323">
            <v>1.6011</v>
          </cell>
          <cell r="K323">
            <v>1.6864000000000001E-2</v>
          </cell>
          <cell r="CG323">
            <v>1</v>
          </cell>
          <cell r="CH323">
            <v>1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</row>
        <row r="324">
          <cell r="B324" t="str">
            <v>eating less meat</v>
          </cell>
          <cell r="D324">
            <v>3.5</v>
          </cell>
          <cell r="I324">
            <v>17.936</v>
          </cell>
          <cell r="K324">
            <v>3.1711999999999999E-3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</row>
        <row r="325">
          <cell r="B325" t="str">
            <v>eating less meat</v>
          </cell>
          <cell r="D325">
            <v>4.0999999999999996</v>
          </cell>
          <cell r="I325">
            <v>2.3746E-2</v>
          </cell>
          <cell r="K325">
            <v>1.0299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</row>
        <row r="326">
          <cell r="B326" t="str">
            <v>eating less meat</v>
          </cell>
          <cell r="D326">
            <v>4.0999999999999996</v>
          </cell>
          <cell r="I326">
            <v>7.1083999999999994E-2</v>
          </cell>
          <cell r="K326">
            <v>2.6011000000000002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1</v>
          </cell>
        </row>
        <row r="327">
          <cell r="B327" t="str">
            <v>eating less meat</v>
          </cell>
          <cell r="D327">
            <v>4.5</v>
          </cell>
          <cell r="I327">
            <v>7.1994000000000002E-2</v>
          </cell>
          <cell r="K327">
            <v>0.63312999999999997</v>
          </cell>
          <cell r="CG327">
            <v>1</v>
          </cell>
          <cell r="CH327">
            <v>1</v>
          </cell>
          <cell r="CI327">
            <v>0</v>
          </cell>
          <cell r="CJ327">
            <v>0</v>
          </cell>
          <cell r="CK327">
            <v>0</v>
          </cell>
          <cell r="CL327">
            <v>1</v>
          </cell>
        </row>
        <row r="328">
          <cell r="B328" t="str">
            <v>eating less meat</v>
          </cell>
          <cell r="D328">
            <v>1.1000000000000001</v>
          </cell>
          <cell r="I328">
            <v>-1.1039999999999999E-2</v>
          </cell>
          <cell r="K328">
            <v>-3.9166000000000001E-3</v>
          </cell>
          <cell r="CG328">
            <v>1</v>
          </cell>
          <cell r="CH328">
            <v>1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</row>
        <row r="329">
          <cell r="B329" t="str">
            <v>eating less meat</v>
          </cell>
          <cell r="D329">
            <v>1.1000000000000001</v>
          </cell>
          <cell r="I329">
            <v>4.1352999999999997E-3</v>
          </cell>
          <cell r="K329">
            <v>0.31308000000000002</v>
          </cell>
          <cell r="CG329">
            <v>1</v>
          </cell>
          <cell r="CH329">
            <v>1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</row>
        <row r="330">
          <cell r="B330" t="str">
            <v>eating less meat</v>
          </cell>
          <cell r="D330">
            <v>1.1000000000000001</v>
          </cell>
          <cell r="I330">
            <v>1.7122999999999999E-3</v>
          </cell>
          <cell r="K330">
            <v>7.3866000000000003E-4</v>
          </cell>
          <cell r="CG330">
            <v>1</v>
          </cell>
          <cell r="CH330">
            <v>1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</row>
        <row r="331">
          <cell r="B331" t="str">
            <v>eating less meat</v>
          </cell>
          <cell r="D331">
            <v>1.1000000000000001</v>
          </cell>
          <cell r="I331">
            <v>-1.1357000000000001E-2</v>
          </cell>
          <cell r="K331">
            <v>-3.8739E-3</v>
          </cell>
          <cell r="CG331">
            <v>1</v>
          </cell>
          <cell r="CH331">
            <v>1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</row>
        <row r="332">
          <cell r="B332" t="str">
            <v>eating less meat</v>
          </cell>
          <cell r="D332">
            <v>1.1000000000000001</v>
          </cell>
          <cell r="I332">
            <v>4.7657999999999997E-3</v>
          </cell>
          <cell r="K332">
            <v>0.34176000000000001</v>
          </cell>
          <cell r="CG332">
            <v>1</v>
          </cell>
          <cell r="CH332">
            <v>1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</row>
        <row r="333">
          <cell r="B333" t="str">
            <v>eating less meat</v>
          </cell>
          <cell r="D333">
            <v>1.1000000000000001</v>
          </cell>
          <cell r="I333">
            <v>7.8175E-4</v>
          </cell>
          <cell r="K333">
            <v>6.0649000000000002E-2</v>
          </cell>
          <cell r="CG333">
            <v>1</v>
          </cell>
          <cell r="CH333">
            <v>1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</row>
        <row r="334">
          <cell r="B334" t="str">
            <v>eating less meat</v>
          </cell>
          <cell r="D334">
            <v>1.1000000000000001</v>
          </cell>
          <cell r="I334">
            <v>-1.7267999999999999E-2</v>
          </cell>
          <cell r="K334">
            <v>-3.9166000000000001E-3</v>
          </cell>
          <cell r="CG334">
            <v>1</v>
          </cell>
          <cell r="CH334">
            <v>1</v>
          </cell>
          <cell r="CI334">
            <v>0</v>
          </cell>
          <cell r="CJ334">
            <v>1</v>
          </cell>
          <cell r="CK334">
            <v>0</v>
          </cell>
          <cell r="CL334">
            <v>0</v>
          </cell>
        </row>
        <row r="335">
          <cell r="B335" t="str">
            <v>eating less meat</v>
          </cell>
          <cell r="D335">
            <v>2.4</v>
          </cell>
          <cell r="I335">
            <v>1.4385999999999999E-2</v>
          </cell>
          <cell r="K335">
            <v>1.2725</v>
          </cell>
          <cell r="CG335">
            <v>1</v>
          </cell>
          <cell r="CH335">
            <v>1</v>
          </cell>
          <cell r="CI335">
            <v>0</v>
          </cell>
          <cell r="CJ335">
            <v>0</v>
          </cell>
          <cell r="CK335">
            <v>0</v>
          </cell>
          <cell r="CL335">
            <v>1</v>
          </cell>
        </row>
        <row r="336">
          <cell r="B336" t="str">
            <v>eating less meat</v>
          </cell>
          <cell r="D336">
            <v>2.5</v>
          </cell>
          <cell r="I336">
            <v>4.1585999999999998E-2</v>
          </cell>
          <cell r="K336">
            <v>3.9166000000000001E-3</v>
          </cell>
          <cell r="CG336">
            <v>1</v>
          </cell>
          <cell r="CH336">
            <v>1</v>
          </cell>
          <cell r="CI336">
            <v>0</v>
          </cell>
          <cell r="CJ336">
            <v>0</v>
          </cell>
          <cell r="CK336">
            <v>0</v>
          </cell>
          <cell r="CL336">
            <v>1</v>
          </cell>
          <cell r="CM336" t="str">
            <v>moved from 1.1</v>
          </cell>
        </row>
        <row r="337">
          <cell r="B337" t="str">
            <v>eating less meat</v>
          </cell>
          <cell r="D337">
            <v>2.5</v>
          </cell>
          <cell r="I337">
            <v>-5.6965000000000002E-3</v>
          </cell>
          <cell r="K337">
            <v>-0.11265</v>
          </cell>
          <cell r="CG337">
            <v>1</v>
          </cell>
          <cell r="CH337">
            <v>1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</row>
        <row r="338">
          <cell r="B338" t="str">
            <v>eating less meat</v>
          </cell>
          <cell r="D338">
            <v>2.5</v>
          </cell>
          <cell r="I338">
            <v>5.3531000000000002E-2</v>
          </cell>
          <cell r="K338">
            <v>2.0178999999999999E-2</v>
          </cell>
          <cell r="CG338">
            <v>1</v>
          </cell>
          <cell r="CH338">
            <v>1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</row>
        <row r="339">
          <cell r="B339" t="str">
            <v>eating less meat</v>
          </cell>
          <cell r="D339">
            <v>2.5</v>
          </cell>
          <cell r="I339">
            <v>-8.0623000000000001E-4</v>
          </cell>
          <cell r="K339">
            <v>-2.0233000000000001E-2</v>
          </cell>
          <cell r="CG339">
            <v>1</v>
          </cell>
          <cell r="CH339">
            <v>1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</row>
        <row r="340">
          <cell r="B340" t="str">
            <v>eating less meat</v>
          </cell>
          <cell r="D340">
            <v>2.5</v>
          </cell>
          <cell r="I340">
            <v>7.4039999999999995E-2</v>
          </cell>
          <cell r="K340">
            <v>0.51646999999999998</v>
          </cell>
          <cell r="CG340">
            <v>1</v>
          </cell>
          <cell r="CH340">
            <v>1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</row>
        <row r="341">
          <cell r="B341" t="str">
            <v>eating less meat</v>
          </cell>
          <cell r="D341">
            <v>2.5</v>
          </cell>
          <cell r="I341">
            <v>-3.0537999999999999E-2</v>
          </cell>
          <cell r="K341">
            <v>-9.0677999999999995E-2</v>
          </cell>
          <cell r="CG341">
            <v>1</v>
          </cell>
          <cell r="CH341">
            <v>1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</row>
        <row r="342">
          <cell r="B342" t="str">
            <v>eating less meat</v>
          </cell>
          <cell r="D342">
            <v>3.5</v>
          </cell>
          <cell r="I342">
            <v>0.5323</v>
          </cell>
          <cell r="K342">
            <v>0.40777000000000002</v>
          </cell>
          <cell r="CG342">
            <v>1</v>
          </cell>
          <cell r="CH342">
            <v>1</v>
          </cell>
          <cell r="CI342">
            <v>0</v>
          </cell>
          <cell r="CJ342">
            <v>0</v>
          </cell>
          <cell r="CK342">
            <v>0</v>
          </cell>
          <cell r="CL342">
            <v>1</v>
          </cell>
        </row>
        <row r="343">
          <cell r="B343" t="str">
            <v>eating less meat</v>
          </cell>
          <cell r="D343">
            <v>3.5</v>
          </cell>
          <cell r="I343">
            <v>19.353000000000002</v>
          </cell>
          <cell r="K343">
            <v>5.2700999999999998E-2</v>
          </cell>
          <cell r="CG343">
            <v>0</v>
          </cell>
          <cell r="CH343">
            <v>1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</row>
        <row r="344">
          <cell r="B344" t="str">
            <v>eating less meat</v>
          </cell>
          <cell r="D344">
            <v>3.5</v>
          </cell>
          <cell r="I344">
            <v>0.72877999999999998</v>
          </cell>
          <cell r="K344">
            <v>0.11594</v>
          </cell>
          <cell r="CG344">
            <v>1</v>
          </cell>
          <cell r="CH344">
            <v>1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</row>
        <row r="345">
          <cell r="B345" t="str">
            <v>eating less meat</v>
          </cell>
          <cell r="D345">
            <v>3.5</v>
          </cell>
          <cell r="I345">
            <v>21.655999999999999</v>
          </cell>
          <cell r="K345">
            <v>0.80620000000000003</v>
          </cell>
          <cell r="CG345">
            <v>0</v>
          </cell>
          <cell r="CH345">
            <v>1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</row>
        <row r="346">
          <cell r="B346" t="str">
            <v>eating less meat</v>
          </cell>
          <cell r="D346">
            <v>3.5</v>
          </cell>
          <cell r="I346">
            <v>21.675999999999998</v>
          </cell>
          <cell r="K346">
            <v>0.84658999999999995</v>
          </cell>
          <cell r="CG346">
            <v>0</v>
          </cell>
          <cell r="CH346">
            <v>1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</row>
        <row r="347">
          <cell r="B347" t="str">
            <v>eating less meat</v>
          </cell>
          <cell r="D347">
            <v>3.5</v>
          </cell>
          <cell r="I347">
            <v>0.85475999999999996</v>
          </cell>
          <cell r="K347">
            <v>0.16061</v>
          </cell>
          <cell r="CG347">
            <v>1</v>
          </cell>
          <cell r="CH347">
            <v>1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</row>
        <row r="348">
          <cell r="B348" t="str">
            <v>eating less meat</v>
          </cell>
          <cell r="D348">
            <v>3.5</v>
          </cell>
          <cell r="I348">
            <v>0.27156999999999998</v>
          </cell>
          <cell r="K348">
            <v>2.1762999999999999</v>
          </cell>
          <cell r="CG348">
            <v>1</v>
          </cell>
          <cell r="CH348">
            <v>1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</row>
        <row r="349">
          <cell r="B349" t="str">
            <v>eating less meat</v>
          </cell>
          <cell r="D349">
            <v>3.5</v>
          </cell>
          <cell r="I349">
            <v>0.45889999999999997</v>
          </cell>
          <cell r="K349">
            <v>0.32391999999999999</v>
          </cell>
          <cell r="CG349">
            <v>1</v>
          </cell>
          <cell r="CH349">
            <v>1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</row>
        <row r="350">
          <cell r="B350" t="str">
            <v>eating less meat</v>
          </cell>
          <cell r="D350">
            <v>3.5</v>
          </cell>
          <cell r="I350">
            <v>0.5323</v>
          </cell>
          <cell r="K350">
            <v>0.40777000000000002</v>
          </cell>
          <cell r="CG350">
            <v>1</v>
          </cell>
          <cell r="CH350">
            <v>1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</row>
        <row r="351">
          <cell r="B351" t="str">
            <v>eating less meat</v>
          </cell>
          <cell r="D351">
            <v>3.5</v>
          </cell>
          <cell r="I351">
            <v>12.422000000000001</v>
          </cell>
          <cell r="K351">
            <v>2.5604999999999999E-2</v>
          </cell>
          <cell r="CG351">
            <v>0</v>
          </cell>
          <cell r="CH351">
            <v>1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</row>
        <row r="352">
          <cell r="B352" t="str">
            <v>eating less meat</v>
          </cell>
          <cell r="D352">
            <v>3.5</v>
          </cell>
          <cell r="I352">
            <v>0.60050000000000003</v>
          </cell>
          <cell r="K352">
            <v>0.46890999999999999</v>
          </cell>
          <cell r="CG352">
            <v>1</v>
          </cell>
          <cell r="CH352">
            <v>1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</row>
        <row r="353">
          <cell r="B353" t="str">
            <v>eating less meat</v>
          </cell>
          <cell r="D353">
            <v>3.5</v>
          </cell>
          <cell r="I353">
            <v>0.46916999999999998</v>
          </cell>
          <cell r="K353">
            <v>9.6043000000000003E-2</v>
          </cell>
          <cell r="CG353">
            <v>1</v>
          </cell>
          <cell r="CH353">
            <v>1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</row>
        <row r="354">
          <cell r="B354" t="str">
            <v>eating less meat</v>
          </cell>
          <cell r="D354">
            <v>3.5</v>
          </cell>
          <cell r="I354">
            <v>3.1255999999999999</v>
          </cell>
          <cell r="K354">
            <v>2.4971999999999999</v>
          </cell>
          <cell r="CG354">
            <v>1</v>
          </cell>
          <cell r="CH354">
            <v>1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</row>
        <row r="355">
          <cell r="B355" t="str">
            <v>eating less meat</v>
          </cell>
          <cell r="D355">
            <v>3.5</v>
          </cell>
          <cell r="I355">
            <v>1.5898000000000001</v>
          </cell>
          <cell r="K355">
            <v>0.78137999999999996</v>
          </cell>
          <cell r="CG355">
            <v>1</v>
          </cell>
          <cell r="CH355">
            <v>1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</row>
        <row r="356">
          <cell r="B356" t="str">
            <v>eating less meat</v>
          </cell>
          <cell r="D356">
            <v>3.5</v>
          </cell>
          <cell r="I356">
            <v>2.8519000000000001</v>
          </cell>
          <cell r="K356">
            <v>2.6934999999999998</v>
          </cell>
          <cell r="CG356">
            <v>1</v>
          </cell>
          <cell r="CH356">
            <v>1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</row>
        <row r="357">
          <cell r="B357" t="str">
            <v>eating less meat</v>
          </cell>
          <cell r="D357">
            <v>3.5</v>
          </cell>
          <cell r="I357">
            <v>1.4991000000000001</v>
          </cell>
          <cell r="K357">
            <v>0.82760999999999996</v>
          </cell>
          <cell r="CG357">
            <v>0</v>
          </cell>
          <cell r="CH357">
            <v>1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</row>
        <row r="358">
          <cell r="B358" t="str">
            <v>eating less meat</v>
          </cell>
          <cell r="D358">
            <v>3.5</v>
          </cell>
          <cell r="I358">
            <v>0.65893999999999997</v>
          </cell>
          <cell r="K358">
            <v>0.66718999999999995</v>
          </cell>
          <cell r="CG358">
            <v>1</v>
          </cell>
          <cell r="CH358">
            <v>1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</row>
        <row r="359">
          <cell r="B359" t="str">
            <v>eating less meat</v>
          </cell>
          <cell r="D359">
            <v>3.5</v>
          </cell>
          <cell r="I359">
            <v>0.42881000000000002</v>
          </cell>
          <cell r="K359">
            <v>0.13999</v>
          </cell>
          <cell r="CG359">
            <v>1</v>
          </cell>
          <cell r="CH359">
            <v>1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</row>
        <row r="360">
          <cell r="B360" t="str">
            <v>eating less meat</v>
          </cell>
          <cell r="D360">
            <v>4.0999999999999996</v>
          </cell>
          <cell r="I360">
            <v>0.75883</v>
          </cell>
          <cell r="K360">
            <v>3.8873000000000002</v>
          </cell>
          <cell r="CG360">
            <v>1</v>
          </cell>
          <cell r="CH360">
            <v>1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</row>
        <row r="361">
          <cell r="B361" t="str">
            <v>eating less meat</v>
          </cell>
          <cell r="D361">
            <v>4.0999999999999996</v>
          </cell>
          <cell r="I361">
            <v>0.23022000000000001</v>
          </cell>
          <cell r="K361">
            <v>5.3640999999999996</v>
          </cell>
          <cell r="CG361">
            <v>1</v>
          </cell>
          <cell r="CH361">
            <v>1</v>
          </cell>
          <cell r="CI361">
            <v>0</v>
          </cell>
          <cell r="CJ361">
            <v>0</v>
          </cell>
          <cell r="CK361">
            <v>0</v>
          </cell>
          <cell r="CL361">
            <v>1</v>
          </cell>
        </row>
        <row r="362">
          <cell r="B362" t="str">
            <v>eating less meat</v>
          </cell>
          <cell r="D362">
            <v>4.5</v>
          </cell>
          <cell r="I362">
            <v>4.1343999999999999E-3</v>
          </cell>
          <cell r="K362">
            <v>0.31301000000000001</v>
          </cell>
          <cell r="CG362">
            <v>1</v>
          </cell>
          <cell r="CH362">
            <v>1</v>
          </cell>
          <cell r="CI362">
            <v>0</v>
          </cell>
          <cell r="CJ362">
            <v>0</v>
          </cell>
          <cell r="CK362">
            <v>0</v>
          </cell>
          <cell r="CL362">
            <v>1</v>
          </cell>
        </row>
        <row r="363">
          <cell r="B363" t="str">
            <v>eating less meat</v>
          </cell>
          <cell r="D363">
            <v>1.1000000000000001</v>
          </cell>
          <cell r="I363">
            <v>-1.2099E-2</v>
          </cell>
          <cell r="K363">
            <v>-4.7321999999999998E-3</v>
          </cell>
          <cell r="CG363">
            <v>1</v>
          </cell>
          <cell r="CH363">
            <v>1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</row>
        <row r="364">
          <cell r="B364" t="str">
            <v>eating less meat</v>
          </cell>
          <cell r="D364">
            <v>1.1000000000000001</v>
          </cell>
          <cell r="I364">
            <v>4.0985000000000001E-2</v>
          </cell>
          <cell r="K364">
            <v>0.28675</v>
          </cell>
          <cell r="CG364">
            <v>1</v>
          </cell>
          <cell r="CH364">
            <v>1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</row>
        <row r="365">
          <cell r="B365" t="str">
            <v>eating less meat</v>
          </cell>
          <cell r="D365">
            <v>1.1000000000000001</v>
          </cell>
          <cell r="I365">
            <v>1.3937E-2</v>
          </cell>
          <cell r="K365">
            <v>7.1095999999999998E-3</v>
          </cell>
          <cell r="CG365">
            <v>1</v>
          </cell>
          <cell r="CH365">
            <v>1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</row>
        <row r="366">
          <cell r="B366" t="str">
            <v>eating less meat</v>
          </cell>
          <cell r="D366">
            <v>1.1000000000000001</v>
          </cell>
          <cell r="I366">
            <v>-1.2648E-2</v>
          </cell>
          <cell r="K366">
            <v>-4.7260999999999996E-3</v>
          </cell>
          <cell r="CG366">
            <v>1</v>
          </cell>
          <cell r="CH366">
            <v>1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</row>
        <row r="367">
          <cell r="B367" t="str">
            <v>eating less meat</v>
          </cell>
          <cell r="D367">
            <v>1.1000000000000001</v>
          </cell>
          <cell r="I367">
            <v>4.4511000000000002E-2</v>
          </cell>
          <cell r="K367">
            <v>0.28184999999999999</v>
          </cell>
          <cell r="CG367">
            <v>1</v>
          </cell>
          <cell r="CH367">
            <v>1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</row>
        <row r="368">
          <cell r="B368" t="str">
            <v>eating less meat</v>
          </cell>
          <cell r="D368">
            <v>1.1000000000000001</v>
          </cell>
          <cell r="K368">
            <v>-0.11999</v>
          </cell>
          <cell r="CG368">
            <v>0</v>
          </cell>
          <cell r="CH368">
            <v>1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</row>
        <row r="369">
          <cell r="B369" t="str">
            <v>eating less meat</v>
          </cell>
          <cell r="D369">
            <v>1.1000000000000001</v>
          </cell>
          <cell r="I369">
            <v>-2.0220999999999999E-2</v>
          </cell>
          <cell r="K369">
            <v>-4.7321999999999998E-3</v>
          </cell>
          <cell r="CG369">
            <v>1</v>
          </cell>
          <cell r="CH369">
            <v>1</v>
          </cell>
          <cell r="CI369">
            <v>0</v>
          </cell>
          <cell r="CJ369">
            <v>1</v>
          </cell>
          <cell r="CK369">
            <v>0</v>
          </cell>
          <cell r="CL369">
            <v>0</v>
          </cell>
        </row>
        <row r="370">
          <cell r="B370" t="str">
            <v>eating less meat</v>
          </cell>
          <cell r="D370">
            <v>2.4</v>
          </cell>
          <cell r="I370">
            <v>6.7310999999999996E-2</v>
          </cell>
          <cell r="K370">
            <v>0.47888999999999998</v>
          </cell>
          <cell r="CG370">
            <v>1</v>
          </cell>
          <cell r="CH370">
            <v>1</v>
          </cell>
          <cell r="CI370">
            <v>0</v>
          </cell>
          <cell r="CJ370">
            <v>0</v>
          </cell>
          <cell r="CK370">
            <v>0</v>
          </cell>
          <cell r="CL370">
            <v>1</v>
          </cell>
        </row>
        <row r="371">
          <cell r="B371" t="str">
            <v>eating less meat</v>
          </cell>
          <cell r="D371">
            <v>2.5</v>
          </cell>
          <cell r="I371">
            <v>4.5039000000000003E-2</v>
          </cell>
          <cell r="K371">
            <v>4.7321999999999998E-3</v>
          </cell>
          <cell r="CG371">
            <v>1</v>
          </cell>
          <cell r="CH371">
            <v>1</v>
          </cell>
          <cell r="CI371">
            <v>0</v>
          </cell>
          <cell r="CJ371">
            <v>0</v>
          </cell>
          <cell r="CK371">
            <v>0</v>
          </cell>
          <cell r="CL371">
            <v>1</v>
          </cell>
          <cell r="CM371" t="str">
            <v>moved from 1.1</v>
          </cell>
        </row>
        <row r="372">
          <cell r="B372" t="str">
            <v>eating less meat</v>
          </cell>
          <cell r="D372">
            <v>2.5</v>
          </cell>
          <cell r="I372">
            <v>-9.2294000000000005E-3</v>
          </cell>
          <cell r="K372">
            <v>-0.41287000000000001</v>
          </cell>
          <cell r="CG372">
            <v>1</v>
          </cell>
          <cell r="CH372">
            <v>1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</row>
        <row r="373">
          <cell r="B373" t="str">
            <v>eating less meat</v>
          </cell>
          <cell r="D373">
            <v>2.5</v>
          </cell>
          <cell r="I373">
            <v>-8.5030999999999995E-3</v>
          </cell>
          <cell r="K373">
            <v>-6.7266000000000001E-3</v>
          </cell>
          <cell r="CG373">
            <v>1</v>
          </cell>
          <cell r="CH373">
            <v>1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</row>
        <row r="374">
          <cell r="B374" t="str">
            <v>eating less meat</v>
          </cell>
          <cell r="D374">
            <v>2.5</v>
          </cell>
          <cell r="I374">
            <v>-3.1669999999999997E-2</v>
          </cell>
          <cell r="K374">
            <v>-4.3028999999999998E-2</v>
          </cell>
          <cell r="CG374">
            <v>1</v>
          </cell>
          <cell r="CH374">
            <v>1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</row>
        <row r="375">
          <cell r="B375" t="str">
            <v>eating less meat</v>
          </cell>
          <cell r="D375">
            <v>2.5</v>
          </cell>
          <cell r="I375">
            <v>7.1970999999999993E-2</v>
          </cell>
          <cell r="K375">
            <v>0.76178999999999997</v>
          </cell>
          <cell r="CG375">
            <v>1</v>
          </cell>
          <cell r="CH375">
            <v>1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</row>
        <row r="376">
          <cell r="B376" t="str">
            <v>eating less meat</v>
          </cell>
          <cell r="D376">
            <v>2.5</v>
          </cell>
          <cell r="I376">
            <v>-2.1271000000000002E-2</v>
          </cell>
          <cell r="K376">
            <v>-1.2409999999999999E-2</v>
          </cell>
          <cell r="CG376">
            <v>1</v>
          </cell>
          <cell r="CH376">
            <v>1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</row>
        <row r="377">
          <cell r="B377" t="str">
            <v>eating less meat</v>
          </cell>
          <cell r="D377">
            <v>3.5</v>
          </cell>
          <cell r="I377">
            <v>0.15201000000000001</v>
          </cell>
          <cell r="K377">
            <v>1.6223000000000001</v>
          </cell>
          <cell r="CG377">
            <v>1</v>
          </cell>
          <cell r="CH377">
            <v>1</v>
          </cell>
          <cell r="CI377">
            <v>0</v>
          </cell>
          <cell r="CJ377">
            <v>0</v>
          </cell>
          <cell r="CK377">
            <v>0</v>
          </cell>
          <cell r="CL377">
            <v>1</v>
          </cell>
        </row>
        <row r="378">
          <cell r="B378" t="str">
            <v>eating less meat</v>
          </cell>
          <cell r="D378">
            <v>3.5</v>
          </cell>
          <cell r="I378">
            <v>1.5859000000000001</v>
          </cell>
          <cell r="K378">
            <v>0.14480000000000001</v>
          </cell>
          <cell r="CG378">
            <v>1</v>
          </cell>
          <cell r="CH378">
            <v>1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</row>
        <row r="379">
          <cell r="B379" t="str">
            <v>eating less meat</v>
          </cell>
          <cell r="D379">
            <v>3.5</v>
          </cell>
          <cell r="I379">
            <v>0.91788000000000003</v>
          </cell>
          <cell r="K379">
            <v>0.36548000000000003</v>
          </cell>
          <cell r="CG379">
            <v>1</v>
          </cell>
          <cell r="CH379">
            <v>1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</row>
        <row r="380">
          <cell r="B380" t="str">
            <v>eating less meat</v>
          </cell>
          <cell r="D380">
            <v>3.5</v>
          </cell>
          <cell r="I380">
            <v>3.5127999999999999</v>
          </cell>
          <cell r="K380">
            <v>7.1649000000000003</v>
          </cell>
          <cell r="CG380">
            <v>1</v>
          </cell>
          <cell r="CH380">
            <v>1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</row>
        <row r="381">
          <cell r="B381" t="str">
            <v>eating less meat</v>
          </cell>
          <cell r="D381">
            <v>3.5</v>
          </cell>
          <cell r="I381">
            <v>37.478000000000002</v>
          </cell>
          <cell r="K381">
            <v>11.792</v>
          </cell>
          <cell r="CG381">
            <v>1</v>
          </cell>
          <cell r="CH381">
            <v>1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</row>
        <row r="382">
          <cell r="B382" t="str">
            <v>eating less meat</v>
          </cell>
          <cell r="D382">
            <v>3.5</v>
          </cell>
          <cell r="I382">
            <v>0.87480000000000002</v>
          </cell>
          <cell r="K382">
            <v>0.49854999999999999</v>
          </cell>
          <cell r="CG382">
            <v>1</v>
          </cell>
          <cell r="CH382">
            <v>1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</row>
        <row r="383">
          <cell r="B383" t="str">
            <v>eating less meat</v>
          </cell>
          <cell r="D383">
            <v>3.5</v>
          </cell>
          <cell r="I383">
            <v>0.11719</v>
          </cell>
          <cell r="K383">
            <v>14.731</v>
          </cell>
          <cell r="CG383">
            <v>1</v>
          </cell>
          <cell r="CH383">
            <v>1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</row>
        <row r="384">
          <cell r="B384" t="str">
            <v>eating less meat</v>
          </cell>
          <cell r="D384">
            <v>3.5</v>
          </cell>
          <cell r="I384">
            <v>0.13089000000000001</v>
          </cell>
          <cell r="K384">
            <v>1.5246999999999999</v>
          </cell>
          <cell r="CG384">
            <v>1</v>
          </cell>
          <cell r="CH384">
            <v>1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</row>
        <row r="385">
          <cell r="B385" t="str">
            <v>eating less meat</v>
          </cell>
          <cell r="D385">
            <v>3.5</v>
          </cell>
          <cell r="I385">
            <v>0.15201000000000001</v>
          </cell>
          <cell r="K385">
            <v>1.6223000000000001</v>
          </cell>
          <cell r="CG385">
            <v>1</v>
          </cell>
          <cell r="CH385">
            <v>1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</row>
        <row r="386">
          <cell r="B386" t="str">
            <v>eating less meat</v>
          </cell>
          <cell r="D386">
            <v>3.5</v>
          </cell>
          <cell r="I386">
            <v>0.37759999999999999</v>
          </cell>
          <cell r="K386">
            <v>0.15816</v>
          </cell>
          <cell r="CG386">
            <v>1</v>
          </cell>
          <cell r="CH386">
            <v>1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</row>
        <row r="387">
          <cell r="B387" t="str">
            <v>eating less meat</v>
          </cell>
          <cell r="D387">
            <v>3.5</v>
          </cell>
          <cell r="I387">
            <v>0.51354999999999995</v>
          </cell>
          <cell r="K387">
            <v>1.9996</v>
          </cell>
          <cell r="CG387">
            <v>1</v>
          </cell>
          <cell r="CH387">
            <v>1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</row>
        <row r="388">
          <cell r="B388" t="str">
            <v>eating less meat</v>
          </cell>
          <cell r="D388">
            <v>3.5</v>
          </cell>
          <cell r="I388">
            <v>0.43103999999999998</v>
          </cell>
          <cell r="K388">
            <v>0.31941999999999998</v>
          </cell>
          <cell r="CG388">
            <v>1</v>
          </cell>
          <cell r="CH388">
            <v>1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</row>
        <row r="389">
          <cell r="B389" t="str">
            <v>eating less meat</v>
          </cell>
          <cell r="D389">
            <v>3.5</v>
          </cell>
          <cell r="I389">
            <v>0.91217000000000004</v>
          </cell>
          <cell r="K389">
            <v>41.5</v>
          </cell>
          <cell r="CG389">
            <v>1</v>
          </cell>
          <cell r="CH389">
            <v>1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</row>
        <row r="390">
          <cell r="B390" t="str">
            <v>eating less meat</v>
          </cell>
          <cell r="D390">
            <v>3.5</v>
          </cell>
          <cell r="I390">
            <v>0.71260999999999997</v>
          </cell>
          <cell r="K390">
            <v>8.3223000000000003</v>
          </cell>
          <cell r="CG390">
            <v>1</v>
          </cell>
          <cell r="CH390">
            <v>1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</row>
        <row r="391">
          <cell r="B391" t="str">
            <v>eating less meat</v>
          </cell>
          <cell r="D391">
            <v>3.5</v>
          </cell>
          <cell r="I391">
            <v>0.46221000000000001</v>
          </cell>
          <cell r="K391">
            <v>93.495000000000005</v>
          </cell>
          <cell r="CG391">
            <v>1</v>
          </cell>
          <cell r="CH391">
            <v>1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</row>
        <row r="392">
          <cell r="B392" t="str">
            <v>eating less meat</v>
          </cell>
          <cell r="D392">
            <v>3.5</v>
          </cell>
          <cell r="I392">
            <v>0.34073999999999999</v>
          </cell>
          <cell r="K392">
            <v>10.997</v>
          </cell>
          <cell r="CG392">
            <v>1</v>
          </cell>
          <cell r="CH392">
            <v>1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</row>
        <row r="393">
          <cell r="B393" t="str">
            <v>eating less meat</v>
          </cell>
          <cell r="D393">
            <v>3.5</v>
          </cell>
          <cell r="I393">
            <v>0.41237000000000001</v>
          </cell>
          <cell r="K393">
            <v>2.9622000000000002</v>
          </cell>
          <cell r="CG393">
            <v>1</v>
          </cell>
          <cell r="CH393">
            <v>1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</row>
        <row r="394">
          <cell r="B394" t="str">
            <v>eating less meat</v>
          </cell>
          <cell r="D394">
            <v>3.5</v>
          </cell>
          <cell r="I394">
            <v>0.34627999999999998</v>
          </cell>
          <cell r="K394">
            <v>0.42443999999999998</v>
          </cell>
          <cell r="CG394">
            <v>1</v>
          </cell>
          <cell r="CH394">
            <v>1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</row>
        <row r="395">
          <cell r="B395" t="str">
            <v>eating less meat</v>
          </cell>
          <cell r="D395">
            <v>4.0999999999999996</v>
          </cell>
          <cell r="I395">
            <v>0.56169000000000002</v>
          </cell>
          <cell r="K395">
            <v>0.98119999999999996</v>
          </cell>
          <cell r="CG395">
            <v>1</v>
          </cell>
          <cell r="CH395">
            <v>1</v>
          </cell>
          <cell r="CI395">
            <v>0</v>
          </cell>
          <cell r="CJ395">
            <v>0</v>
          </cell>
          <cell r="CK395">
            <v>0</v>
          </cell>
          <cell r="CL395">
            <v>1</v>
          </cell>
        </row>
        <row r="396">
          <cell r="B396" t="str">
            <v>eating less meat</v>
          </cell>
          <cell r="D396">
            <v>4.0999999999999996</v>
          </cell>
          <cell r="I396">
            <v>0.10363</v>
          </cell>
          <cell r="K396">
            <v>4.7408999999999999</v>
          </cell>
          <cell r="CG396">
            <v>1</v>
          </cell>
          <cell r="CH396">
            <v>1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</row>
        <row r="397">
          <cell r="B397" t="str">
            <v>eating less meat</v>
          </cell>
          <cell r="D397">
            <v>4.5</v>
          </cell>
          <cell r="I397">
            <v>4.1015999999999997E-2</v>
          </cell>
          <cell r="K397">
            <v>0.28669</v>
          </cell>
          <cell r="CG397">
            <v>1</v>
          </cell>
          <cell r="CH397">
            <v>1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</row>
        <row r="398">
          <cell r="B398" t="str">
            <v>e-bikes</v>
          </cell>
          <cell r="D398">
            <v>1.1000000000000001</v>
          </cell>
          <cell r="I398">
            <v>0.54496</v>
          </cell>
          <cell r="K398">
            <v>3.0129000000000001</v>
          </cell>
          <cell r="CG398">
            <v>1</v>
          </cell>
          <cell r="CH398">
            <v>1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</row>
        <row r="399">
          <cell r="B399" t="str">
            <v>e-bikes</v>
          </cell>
          <cell r="D399">
            <v>1.1000000000000001</v>
          </cell>
          <cell r="I399">
            <v>1.4459E-2</v>
          </cell>
          <cell r="K399">
            <v>0.46750000000000003</v>
          </cell>
          <cell r="CG399">
            <v>1</v>
          </cell>
          <cell r="CH399">
            <v>1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</row>
        <row r="400">
          <cell r="B400" t="str">
            <v>e-bikes</v>
          </cell>
          <cell r="D400">
            <v>1.1000000000000001</v>
          </cell>
          <cell r="I400">
            <v>0.42818000000000001</v>
          </cell>
          <cell r="K400">
            <v>1.4422000000000001E-2</v>
          </cell>
          <cell r="CG400">
            <v>1</v>
          </cell>
          <cell r="CH400">
            <v>1</v>
          </cell>
          <cell r="CI400">
            <v>0</v>
          </cell>
          <cell r="CJ400">
            <v>1</v>
          </cell>
          <cell r="CK400">
            <v>0</v>
          </cell>
          <cell r="CL400">
            <v>0</v>
          </cell>
        </row>
        <row r="401">
          <cell r="B401" t="str">
            <v>e-bikes</v>
          </cell>
          <cell r="D401">
            <v>3.5</v>
          </cell>
          <cell r="I401">
            <v>0.26995999999999998</v>
          </cell>
          <cell r="K401">
            <v>1.5157</v>
          </cell>
          <cell r="CG401">
            <v>1</v>
          </cell>
          <cell r="CH401">
            <v>1</v>
          </cell>
          <cell r="CI401">
            <v>0</v>
          </cell>
          <cell r="CJ401">
            <v>0</v>
          </cell>
          <cell r="CK401">
            <v>0</v>
          </cell>
          <cell r="CL401">
            <v>1</v>
          </cell>
        </row>
        <row r="402">
          <cell r="B402" t="str">
            <v>e-bikes</v>
          </cell>
          <cell r="D402">
            <v>3.5</v>
          </cell>
          <cell r="I402">
            <v>0.75512999999999997</v>
          </cell>
          <cell r="K402">
            <v>0.10329000000000001</v>
          </cell>
          <cell r="CG402">
            <v>0</v>
          </cell>
          <cell r="CH402">
            <v>1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</row>
        <row r="403">
          <cell r="B403" t="str">
            <v>e-bikes</v>
          </cell>
          <cell r="D403">
            <v>3.5</v>
          </cell>
          <cell r="I403">
            <v>2.8921000000000001</v>
          </cell>
          <cell r="K403">
            <v>0.28788000000000002</v>
          </cell>
          <cell r="CG403">
            <v>0</v>
          </cell>
          <cell r="CH403">
            <v>1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</row>
        <row r="404">
          <cell r="B404" t="str">
            <v>e-bikes</v>
          </cell>
          <cell r="D404">
            <v>3.5</v>
          </cell>
          <cell r="I404">
            <v>0.90481999999999996</v>
          </cell>
          <cell r="K404">
            <v>2.9009999999999998</v>
          </cell>
          <cell r="CG404">
            <v>0</v>
          </cell>
          <cell r="CH404">
            <v>1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</row>
        <row r="405">
          <cell r="B405" t="str">
            <v>e-bikes</v>
          </cell>
          <cell r="D405">
            <v>3.5</v>
          </cell>
          <cell r="I405">
            <v>37.244</v>
          </cell>
          <cell r="K405">
            <v>5.1534000000000004</v>
          </cell>
          <cell r="CG405">
            <v>0</v>
          </cell>
          <cell r="CH405">
            <v>1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</row>
        <row r="406">
          <cell r="B406" t="str">
            <v>e-bikes</v>
          </cell>
          <cell r="D406">
            <v>3.5</v>
          </cell>
          <cell r="I406">
            <v>2.9417</v>
          </cell>
          <cell r="K406">
            <v>0.35071999999999998</v>
          </cell>
          <cell r="CG406">
            <v>0</v>
          </cell>
          <cell r="CH406">
            <v>1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</row>
        <row r="407">
          <cell r="B407" t="str">
            <v>e-bikes</v>
          </cell>
          <cell r="D407">
            <v>3.5</v>
          </cell>
          <cell r="I407">
            <v>0.19814999999999999</v>
          </cell>
          <cell r="K407">
            <v>12.792</v>
          </cell>
          <cell r="CG407">
            <v>1</v>
          </cell>
          <cell r="CH407">
            <v>1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</row>
        <row r="408">
          <cell r="B408" t="str">
            <v>e-bikes</v>
          </cell>
          <cell r="D408">
            <v>3.5</v>
          </cell>
          <cell r="I408">
            <v>0.26011000000000001</v>
          </cell>
          <cell r="K408">
            <v>1.4622999999999999</v>
          </cell>
          <cell r="CG408">
            <v>1</v>
          </cell>
          <cell r="CH408">
            <v>1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</row>
        <row r="409">
          <cell r="B409" t="str">
            <v>e-bikes</v>
          </cell>
          <cell r="D409">
            <v>3.5</v>
          </cell>
          <cell r="I409">
            <v>0.26995999999999998</v>
          </cell>
          <cell r="K409">
            <v>1.5157</v>
          </cell>
          <cell r="CG409">
            <v>1</v>
          </cell>
          <cell r="CH409">
            <v>1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</row>
        <row r="410">
          <cell r="B410" t="str">
            <v>e-bikes</v>
          </cell>
          <cell r="D410">
            <v>3.5</v>
          </cell>
          <cell r="I410">
            <v>0.48594999999999999</v>
          </cell>
          <cell r="K410">
            <v>0.15695000000000001</v>
          </cell>
          <cell r="CG410">
            <v>1</v>
          </cell>
          <cell r="CH410">
            <v>1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</row>
        <row r="411">
          <cell r="B411" t="str">
            <v>e-bikes</v>
          </cell>
          <cell r="D411">
            <v>3.5</v>
          </cell>
          <cell r="I411">
            <v>0.49365999999999999</v>
          </cell>
          <cell r="K411">
            <v>2.0257999999999998</v>
          </cell>
          <cell r="CG411">
            <v>1</v>
          </cell>
          <cell r="CH411">
            <v>1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</row>
        <row r="412">
          <cell r="B412" t="str">
            <v>e-bikes</v>
          </cell>
          <cell r="D412">
            <v>3.5</v>
          </cell>
          <cell r="I412">
            <v>0.97182000000000002</v>
          </cell>
          <cell r="K412">
            <v>0.21589</v>
          </cell>
          <cell r="CG412">
            <v>1</v>
          </cell>
          <cell r="CH412">
            <v>1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</row>
        <row r="413">
          <cell r="B413" t="str">
            <v>e-bikes</v>
          </cell>
          <cell r="D413">
            <v>3.5</v>
          </cell>
          <cell r="I413">
            <v>0.72252000000000005</v>
          </cell>
          <cell r="K413">
            <v>16.779</v>
          </cell>
          <cell r="CG413">
            <v>1</v>
          </cell>
          <cell r="CH413">
            <v>1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</row>
        <row r="414">
          <cell r="B414" t="str">
            <v>e-bikes</v>
          </cell>
          <cell r="D414">
            <v>3.5</v>
          </cell>
          <cell r="I414">
            <v>2.7523</v>
          </cell>
          <cell r="K414">
            <v>3.5364</v>
          </cell>
          <cell r="CG414">
            <v>0</v>
          </cell>
          <cell r="CH414">
            <v>1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</row>
        <row r="415">
          <cell r="B415" t="str">
            <v>e-bikes</v>
          </cell>
          <cell r="D415">
            <v>3.5</v>
          </cell>
          <cell r="I415">
            <v>0.36188999999999999</v>
          </cell>
          <cell r="K415">
            <v>41.621000000000002</v>
          </cell>
          <cell r="CG415">
            <v>1</v>
          </cell>
          <cell r="CH415">
            <v>1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</row>
        <row r="416">
          <cell r="B416" t="str">
            <v>e-bikes</v>
          </cell>
          <cell r="D416">
            <v>3.5</v>
          </cell>
          <cell r="I416">
            <v>0.28266000000000002</v>
          </cell>
          <cell r="K416">
            <v>6.0961999999999996</v>
          </cell>
          <cell r="CG416">
            <v>0</v>
          </cell>
          <cell r="CH416">
            <v>1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</row>
        <row r="417">
          <cell r="B417" t="str">
            <v>e-bikes</v>
          </cell>
          <cell r="D417">
            <v>3.5</v>
          </cell>
          <cell r="I417">
            <v>0.44219999999999998</v>
          </cell>
          <cell r="K417">
            <v>2.5577999999999999</v>
          </cell>
          <cell r="CG417">
            <v>1</v>
          </cell>
          <cell r="CH417">
            <v>1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</row>
        <row r="418">
          <cell r="B418" t="str">
            <v>e-bikes</v>
          </cell>
          <cell r="D418">
            <v>3.5</v>
          </cell>
          <cell r="I418">
            <v>1.08</v>
          </cell>
          <cell r="K418">
            <v>0.26906999999999998</v>
          </cell>
          <cell r="CG418">
            <v>1</v>
          </cell>
          <cell r="CH418">
            <v>1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</row>
        <row r="419">
          <cell r="B419" t="str">
            <v>e-bikes</v>
          </cell>
          <cell r="D419">
            <v>4.0999999999999996</v>
          </cell>
          <cell r="I419">
            <v>-39.896999999999998</v>
          </cell>
          <cell r="K419">
            <v>7.3317999999999994E-2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</row>
        <row r="420">
          <cell r="B420" t="str">
            <v>e-bikes</v>
          </cell>
          <cell r="D420">
            <v>4.0999999999999996</v>
          </cell>
          <cell r="K420">
            <v>4.8727</v>
          </cell>
          <cell r="CG420">
            <v>0</v>
          </cell>
          <cell r="CH420">
            <v>1</v>
          </cell>
          <cell r="CI420">
            <v>0</v>
          </cell>
          <cell r="CJ420">
            <v>0</v>
          </cell>
          <cell r="CK420">
            <v>0</v>
          </cell>
          <cell r="CL420">
            <v>1</v>
          </cell>
        </row>
        <row r="421">
          <cell r="B421" t="str">
            <v>e-bikes</v>
          </cell>
          <cell r="D421">
            <v>1.1000000000000001</v>
          </cell>
          <cell r="I421">
            <v>0.40594000000000002</v>
          </cell>
          <cell r="K421">
            <v>0.54166999999999998</v>
          </cell>
          <cell r="CG421">
            <v>1</v>
          </cell>
          <cell r="CH421">
            <v>1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</row>
        <row r="422">
          <cell r="B422" t="str">
            <v>e-bikes</v>
          </cell>
          <cell r="D422">
            <v>1.1000000000000001</v>
          </cell>
          <cell r="I422">
            <v>0.33989999999999998</v>
          </cell>
          <cell r="K422">
            <v>2.0577999999999998E-5</v>
          </cell>
          <cell r="CG422">
            <v>1</v>
          </cell>
          <cell r="CH422">
            <v>1</v>
          </cell>
          <cell r="CI422">
            <v>0</v>
          </cell>
          <cell r="CJ422">
            <v>1</v>
          </cell>
          <cell r="CK422">
            <v>0</v>
          </cell>
          <cell r="CL422">
            <v>0</v>
          </cell>
        </row>
        <row r="423">
          <cell r="B423" t="str">
            <v>e-bikes</v>
          </cell>
          <cell r="D423">
            <v>3.3</v>
          </cell>
          <cell r="I423">
            <v>0.30654999999999999</v>
          </cell>
          <cell r="K423">
            <v>3.653</v>
          </cell>
          <cell r="CG423">
            <v>1</v>
          </cell>
          <cell r="CH423">
            <v>1</v>
          </cell>
          <cell r="CI423">
            <v>0</v>
          </cell>
          <cell r="CJ423">
            <v>0</v>
          </cell>
          <cell r="CK423">
            <v>1</v>
          </cell>
          <cell r="CL423">
            <v>1</v>
          </cell>
        </row>
        <row r="424">
          <cell r="B424" t="str">
            <v>e-bikes</v>
          </cell>
          <cell r="D424">
            <v>3.5</v>
          </cell>
          <cell r="I424">
            <v>0.16159999999999999</v>
          </cell>
          <cell r="K424">
            <v>13.914999999999999</v>
          </cell>
          <cell r="CG424">
            <v>1</v>
          </cell>
          <cell r="CH424">
            <v>1</v>
          </cell>
          <cell r="CI424">
            <v>0</v>
          </cell>
          <cell r="CJ424">
            <v>0</v>
          </cell>
          <cell r="CK424">
            <v>0</v>
          </cell>
          <cell r="CL424">
            <v>1</v>
          </cell>
        </row>
        <row r="425">
          <cell r="B425" t="str">
            <v>e-bikes</v>
          </cell>
          <cell r="D425">
            <v>3.5</v>
          </cell>
          <cell r="I425">
            <v>0.42143999999999998</v>
          </cell>
          <cell r="K425">
            <v>0.92701</v>
          </cell>
          <cell r="CG425">
            <v>1</v>
          </cell>
          <cell r="CH425">
            <v>1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</row>
        <row r="426">
          <cell r="B426" t="str">
            <v>e-bikes</v>
          </cell>
          <cell r="D426">
            <v>3.5</v>
          </cell>
          <cell r="I426">
            <v>0.72246999999999995</v>
          </cell>
          <cell r="K426">
            <v>1.8768</v>
          </cell>
          <cell r="CG426">
            <v>1</v>
          </cell>
          <cell r="CH426">
            <v>1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</row>
        <row r="427">
          <cell r="B427" t="str">
            <v>e-bikes</v>
          </cell>
          <cell r="D427">
            <v>3.5</v>
          </cell>
          <cell r="I427">
            <v>23.15</v>
          </cell>
          <cell r="K427">
            <v>16.234999999999999</v>
          </cell>
          <cell r="CG427">
            <v>0</v>
          </cell>
          <cell r="CH427">
            <v>1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</row>
        <row r="428">
          <cell r="B428" t="str">
            <v>e-bikes</v>
          </cell>
          <cell r="D428">
            <v>3.5</v>
          </cell>
          <cell r="I428">
            <v>19.242000000000001</v>
          </cell>
          <cell r="K428">
            <v>30.280999999999999</v>
          </cell>
          <cell r="CG428">
            <v>0</v>
          </cell>
          <cell r="CH428">
            <v>1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</row>
        <row r="429">
          <cell r="B429" t="str">
            <v>e-bikes</v>
          </cell>
          <cell r="D429">
            <v>3.5</v>
          </cell>
          <cell r="I429">
            <v>0.56989000000000001</v>
          </cell>
          <cell r="K429">
            <v>2.8012000000000001</v>
          </cell>
          <cell r="CG429">
            <v>1</v>
          </cell>
          <cell r="CH429">
            <v>1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</row>
        <row r="430">
          <cell r="B430" t="str">
            <v>e-bikes</v>
          </cell>
          <cell r="D430">
            <v>3.5</v>
          </cell>
          <cell r="I430">
            <v>0.12504000000000001</v>
          </cell>
          <cell r="K430">
            <v>139.19999999999999</v>
          </cell>
          <cell r="CG430">
            <v>1</v>
          </cell>
          <cell r="CH430">
            <v>1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</row>
        <row r="431">
          <cell r="B431" t="str">
            <v>e-bikes</v>
          </cell>
          <cell r="D431">
            <v>3.5</v>
          </cell>
          <cell r="I431">
            <v>0.16159999999999999</v>
          </cell>
          <cell r="K431">
            <v>13.914999999999999</v>
          </cell>
          <cell r="CG431">
            <v>1</v>
          </cell>
          <cell r="CH431">
            <v>1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</row>
        <row r="432">
          <cell r="B432" t="str">
            <v>e-bikes</v>
          </cell>
          <cell r="D432">
            <v>3.5</v>
          </cell>
          <cell r="I432">
            <v>0.16159999999999999</v>
          </cell>
          <cell r="K432">
            <v>13.914999999999999</v>
          </cell>
          <cell r="CG432">
            <v>1</v>
          </cell>
          <cell r="CH432">
            <v>1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</row>
        <row r="433">
          <cell r="B433" t="str">
            <v>e-bikes</v>
          </cell>
          <cell r="D433">
            <v>3.5</v>
          </cell>
          <cell r="I433">
            <v>0.13547999999999999</v>
          </cell>
          <cell r="K433">
            <v>1.1035999999999999</v>
          </cell>
          <cell r="CG433">
            <v>1</v>
          </cell>
          <cell r="CH433">
            <v>1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</row>
        <row r="434">
          <cell r="B434" t="str">
            <v>e-bikes</v>
          </cell>
          <cell r="D434">
            <v>3.5</v>
          </cell>
          <cell r="I434">
            <v>0.41491</v>
          </cell>
          <cell r="K434">
            <v>11.718</v>
          </cell>
          <cell r="CG434">
            <v>1</v>
          </cell>
          <cell r="CH434">
            <v>1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</row>
        <row r="435">
          <cell r="B435" t="str">
            <v>e-bikes</v>
          </cell>
          <cell r="D435">
            <v>3.5</v>
          </cell>
          <cell r="I435">
            <v>0.36325000000000002</v>
          </cell>
          <cell r="K435">
            <v>1.9257</v>
          </cell>
          <cell r="CG435">
            <v>1</v>
          </cell>
          <cell r="CH435">
            <v>1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</row>
        <row r="436">
          <cell r="B436" t="str">
            <v>e-bikes</v>
          </cell>
          <cell r="D436">
            <v>3.5</v>
          </cell>
          <cell r="I436">
            <v>0.77888999999999997</v>
          </cell>
          <cell r="K436">
            <v>92.44</v>
          </cell>
          <cell r="CG436">
            <v>1</v>
          </cell>
          <cell r="CH436">
            <v>1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</row>
        <row r="437">
          <cell r="B437" t="str">
            <v>e-bikes</v>
          </cell>
          <cell r="D437">
            <v>3.5</v>
          </cell>
          <cell r="I437">
            <v>0.52064999999999995</v>
          </cell>
          <cell r="K437">
            <v>17.507000000000001</v>
          </cell>
          <cell r="CG437">
            <v>1</v>
          </cell>
          <cell r="CH437">
            <v>1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</row>
        <row r="438">
          <cell r="B438" t="str">
            <v>e-bikes</v>
          </cell>
          <cell r="D438">
            <v>3.5</v>
          </cell>
          <cell r="I438">
            <v>0.47669</v>
          </cell>
          <cell r="K438">
            <v>190.49</v>
          </cell>
          <cell r="CG438">
            <v>1</v>
          </cell>
          <cell r="CH438">
            <v>1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</row>
        <row r="439">
          <cell r="B439" t="str">
            <v>e-bikes</v>
          </cell>
          <cell r="D439">
            <v>3.5</v>
          </cell>
          <cell r="I439">
            <v>0.77627999999999997</v>
          </cell>
          <cell r="K439">
            <v>32.389000000000003</v>
          </cell>
          <cell r="CG439">
            <v>0</v>
          </cell>
          <cell r="CH439">
            <v>1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</row>
        <row r="440">
          <cell r="B440" t="str">
            <v>e-bikes</v>
          </cell>
          <cell r="D440">
            <v>3.5</v>
          </cell>
          <cell r="I440">
            <v>0.31233</v>
          </cell>
          <cell r="K440">
            <v>18.408999999999999</v>
          </cell>
          <cell r="CG440">
            <v>1</v>
          </cell>
          <cell r="CH440">
            <v>1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</row>
        <row r="441">
          <cell r="B441" t="str">
            <v>e-bikes</v>
          </cell>
          <cell r="D441">
            <v>3.5</v>
          </cell>
          <cell r="I441">
            <v>0.24035000000000001</v>
          </cell>
          <cell r="K441">
            <v>2.8085</v>
          </cell>
          <cell r="CG441">
            <v>1</v>
          </cell>
          <cell r="CH441">
            <v>1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</row>
        <row r="442">
          <cell r="B442" t="str">
            <v>e-bikes</v>
          </cell>
          <cell r="D442">
            <v>1.1000000000000001</v>
          </cell>
          <cell r="I442">
            <v>0.18679999999999999</v>
          </cell>
          <cell r="K442">
            <v>27568</v>
          </cell>
          <cell r="CG442">
            <v>1</v>
          </cell>
          <cell r="CH442">
            <v>1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</row>
        <row r="443">
          <cell r="B443" t="str">
            <v>e-bikes</v>
          </cell>
          <cell r="D443">
            <v>1.1000000000000001</v>
          </cell>
          <cell r="I443">
            <v>0.18359</v>
          </cell>
          <cell r="K443">
            <v>4.4880999999999997E-2</v>
          </cell>
          <cell r="CG443">
            <v>1</v>
          </cell>
          <cell r="CH443">
            <v>1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</row>
        <row r="444">
          <cell r="B444" t="str">
            <v>e-bikes</v>
          </cell>
          <cell r="D444">
            <v>1.1000000000000001</v>
          </cell>
          <cell r="I444">
            <v>0.20587</v>
          </cell>
          <cell r="K444">
            <v>5.6962000000000002E-3</v>
          </cell>
          <cell r="CG444">
            <v>1</v>
          </cell>
          <cell r="CH444">
            <v>1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</row>
        <row r="445">
          <cell r="B445" t="str">
            <v>e-bikes</v>
          </cell>
          <cell r="D445">
            <v>1.1000000000000001</v>
          </cell>
          <cell r="I445">
            <v>0.19153999999999999</v>
          </cell>
          <cell r="K445">
            <v>4.4880999999999997E-2</v>
          </cell>
          <cell r="CG445">
            <v>1</v>
          </cell>
          <cell r="CH445">
            <v>1</v>
          </cell>
          <cell r="CI445">
            <v>1</v>
          </cell>
          <cell r="CJ445">
            <v>1</v>
          </cell>
          <cell r="CK445">
            <v>0</v>
          </cell>
          <cell r="CL445">
            <v>0</v>
          </cell>
        </row>
        <row r="446">
          <cell r="B446" t="str">
            <v>e-bikes</v>
          </cell>
          <cell r="D446">
            <v>3.2</v>
          </cell>
          <cell r="I446">
            <v>0.63066</v>
          </cell>
          <cell r="K446">
            <v>2.35E-2</v>
          </cell>
          <cell r="CG446">
            <v>1</v>
          </cell>
          <cell r="CH446">
            <v>1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</row>
        <row r="447">
          <cell r="B447" t="str">
            <v>e-bikes</v>
          </cell>
          <cell r="D447">
            <v>3.2</v>
          </cell>
          <cell r="I447">
            <v>0.21898999999999999</v>
          </cell>
          <cell r="K447">
            <v>4.0500000000000001E-2</v>
          </cell>
          <cell r="CG447">
            <v>1</v>
          </cell>
          <cell r="CH447">
            <v>1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</row>
        <row r="448">
          <cell r="B448" t="str">
            <v>e-bikes</v>
          </cell>
          <cell r="D448">
            <v>3.2</v>
          </cell>
          <cell r="I448">
            <v>0.14427000000000001</v>
          </cell>
          <cell r="K448">
            <v>4.3999999999999997E-2</v>
          </cell>
          <cell r="CG448">
            <v>1</v>
          </cell>
          <cell r="CH448">
            <v>1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</row>
        <row r="449">
          <cell r="B449" t="str">
            <v>e-bikes</v>
          </cell>
          <cell r="D449">
            <v>3.2</v>
          </cell>
          <cell r="K449">
            <v>2.6667000000000001E-3</v>
          </cell>
          <cell r="CG449">
            <v>0</v>
          </cell>
          <cell r="CH449">
            <v>1</v>
          </cell>
          <cell r="CI449">
            <v>0</v>
          </cell>
          <cell r="CJ449">
            <v>0</v>
          </cell>
          <cell r="CK449">
            <v>1</v>
          </cell>
          <cell r="CL449">
            <v>1</v>
          </cell>
        </row>
        <row r="450">
          <cell r="B450" t="str">
            <v>e-bikes</v>
          </cell>
          <cell r="D450">
            <v>3.2</v>
          </cell>
          <cell r="K450">
            <v>2E-3</v>
          </cell>
          <cell r="CG450">
            <v>0</v>
          </cell>
          <cell r="CH450">
            <v>1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</row>
        <row r="451">
          <cell r="B451" t="str">
            <v>e-bikes</v>
          </cell>
          <cell r="D451">
            <v>3.5</v>
          </cell>
          <cell r="I451">
            <v>0.10242999999999999</v>
          </cell>
          <cell r="K451">
            <v>0.93306999999999995</v>
          </cell>
          <cell r="CG451">
            <v>1</v>
          </cell>
          <cell r="CH451">
            <v>1</v>
          </cell>
          <cell r="CI451">
            <v>0</v>
          </cell>
          <cell r="CJ451">
            <v>0</v>
          </cell>
          <cell r="CK451">
            <v>1</v>
          </cell>
          <cell r="CL451">
            <v>1</v>
          </cell>
        </row>
        <row r="452">
          <cell r="B452" t="str">
            <v>e-bikes</v>
          </cell>
          <cell r="D452">
            <v>3.5</v>
          </cell>
          <cell r="I452">
            <v>0.13669999999999999</v>
          </cell>
          <cell r="K452">
            <v>2.8854000000000001E-2</v>
          </cell>
          <cell r="CG452">
            <v>0</v>
          </cell>
          <cell r="CH452">
            <v>1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</row>
        <row r="453">
          <cell r="B453" t="str">
            <v>e-bikes</v>
          </cell>
          <cell r="D453">
            <v>3.5</v>
          </cell>
          <cell r="I453">
            <v>0.20827000000000001</v>
          </cell>
          <cell r="K453">
            <v>6.3768000000000005E-2</v>
          </cell>
          <cell r="CG453">
            <v>1</v>
          </cell>
          <cell r="CH453">
            <v>1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</row>
        <row r="454">
          <cell r="B454" t="str">
            <v>e-bikes</v>
          </cell>
          <cell r="D454">
            <v>3.5</v>
          </cell>
          <cell r="I454">
            <v>0.19838</v>
          </cell>
          <cell r="K454">
            <v>0.69506999999999997</v>
          </cell>
          <cell r="CG454">
            <v>0</v>
          </cell>
          <cell r="CH454">
            <v>1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</row>
        <row r="455">
          <cell r="B455" t="str">
            <v>e-bikes</v>
          </cell>
          <cell r="D455">
            <v>3.5</v>
          </cell>
          <cell r="I455">
            <v>23.791</v>
          </cell>
          <cell r="K455">
            <v>2.7810999999999999</v>
          </cell>
          <cell r="CG455">
            <v>0</v>
          </cell>
          <cell r="CH455">
            <v>1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</row>
        <row r="456">
          <cell r="B456" t="str">
            <v>e-bikes</v>
          </cell>
          <cell r="D456">
            <v>3.5</v>
          </cell>
          <cell r="I456">
            <v>0.36198999999999998</v>
          </cell>
          <cell r="K456">
            <v>0.16838</v>
          </cell>
          <cell r="CG456">
            <v>1</v>
          </cell>
          <cell r="CH456">
            <v>1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</row>
        <row r="457">
          <cell r="B457" t="str">
            <v>e-bikes</v>
          </cell>
          <cell r="D457">
            <v>3.5</v>
          </cell>
          <cell r="I457">
            <v>0.10717</v>
          </cell>
          <cell r="K457">
            <v>14.000999999999999</v>
          </cell>
          <cell r="CG457">
            <v>1</v>
          </cell>
          <cell r="CH457">
            <v>1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</row>
        <row r="458">
          <cell r="B458" t="str">
            <v>e-bikes</v>
          </cell>
          <cell r="D458">
            <v>3.5</v>
          </cell>
          <cell r="I458">
            <v>9.2271000000000006E-2</v>
          </cell>
          <cell r="K458">
            <v>0.90683000000000002</v>
          </cell>
          <cell r="CG458">
            <v>1</v>
          </cell>
          <cell r="CH458">
            <v>1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</row>
        <row r="459">
          <cell r="B459" t="str">
            <v>e-bikes</v>
          </cell>
          <cell r="D459">
            <v>3.5</v>
          </cell>
          <cell r="I459">
            <v>0.10242999999999999</v>
          </cell>
          <cell r="K459">
            <v>0.93306999999999995</v>
          </cell>
          <cell r="CG459">
            <v>1</v>
          </cell>
          <cell r="CH459">
            <v>1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</row>
        <row r="460">
          <cell r="B460" t="str">
            <v>e-bikes</v>
          </cell>
          <cell r="D460">
            <v>3.5</v>
          </cell>
          <cell r="I460">
            <v>0.52120999999999995</v>
          </cell>
          <cell r="K460">
            <v>3.7596999999999998E-2</v>
          </cell>
          <cell r="CG460">
            <v>0</v>
          </cell>
          <cell r="CH460">
            <v>1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</row>
        <row r="461">
          <cell r="B461" t="str">
            <v>e-bikes</v>
          </cell>
          <cell r="D461">
            <v>3.5</v>
          </cell>
          <cell r="I461">
            <v>0.18157999999999999</v>
          </cell>
          <cell r="K461">
            <v>0.59340999999999999</v>
          </cell>
          <cell r="CG461">
            <v>1</v>
          </cell>
          <cell r="CH461">
            <v>1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</row>
        <row r="462">
          <cell r="B462" t="str">
            <v>e-bikes</v>
          </cell>
          <cell r="D462">
            <v>3.5</v>
          </cell>
          <cell r="I462">
            <v>1.2745</v>
          </cell>
          <cell r="K462">
            <v>4.7051000000000003E-2</v>
          </cell>
          <cell r="CG462">
            <v>0</v>
          </cell>
          <cell r="CH462">
            <v>1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</row>
        <row r="463">
          <cell r="B463" t="str">
            <v>e-bikes</v>
          </cell>
          <cell r="D463">
            <v>3.5</v>
          </cell>
          <cell r="I463">
            <v>0.17262</v>
          </cell>
          <cell r="K463">
            <v>6.9303999999999997</v>
          </cell>
          <cell r="CG463">
            <v>1</v>
          </cell>
          <cell r="CH463">
            <v>1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</row>
        <row r="464">
          <cell r="B464" t="str">
            <v>e-bikes</v>
          </cell>
          <cell r="D464">
            <v>3.5</v>
          </cell>
          <cell r="I464">
            <v>0.92462</v>
          </cell>
          <cell r="K464">
            <v>0.92125999999999997</v>
          </cell>
          <cell r="CG464">
            <v>0</v>
          </cell>
          <cell r="CH464">
            <v>1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</row>
        <row r="465">
          <cell r="B465" t="str">
            <v>e-bikes</v>
          </cell>
          <cell r="D465">
            <v>3.5</v>
          </cell>
          <cell r="I465">
            <v>0.68059000000000003</v>
          </cell>
          <cell r="K465">
            <v>29.698</v>
          </cell>
          <cell r="CG465">
            <v>1</v>
          </cell>
          <cell r="CH465">
            <v>1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</row>
        <row r="466">
          <cell r="B466" t="str">
            <v>e-bikes</v>
          </cell>
          <cell r="D466">
            <v>3.5</v>
          </cell>
          <cell r="I466">
            <v>6.8808999999999996</v>
          </cell>
          <cell r="K466">
            <v>4.5240999999999998</v>
          </cell>
          <cell r="CG466">
            <v>0</v>
          </cell>
          <cell r="CH466">
            <v>1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</row>
        <row r="467">
          <cell r="B467" t="str">
            <v>e-bikes</v>
          </cell>
          <cell r="D467">
            <v>3.5</v>
          </cell>
          <cell r="I467">
            <v>0.15298</v>
          </cell>
          <cell r="K467">
            <v>1.3971</v>
          </cell>
          <cell r="CG467">
            <v>1</v>
          </cell>
          <cell r="CH467">
            <v>1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</row>
        <row r="468">
          <cell r="B468" t="str">
            <v>e-bikes</v>
          </cell>
          <cell r="D468">
            <v>3.5</v>
          </cell>
          <cell r="I468">
            <v>0.19733999999999999</v>
          </cell>
          <cell r="K468">
            <v>0.16897999999999999</v>
          </cell>
          <cell r="CG468">
            <v>1</v>
          </cell>
          <cell r="CH468">
            <v>1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</row>
        <row r="469">
          <cell r="B469" t="str">
            <v>e-bikes</v>
          </cell>
          <cell r="D469">
            <v>4.0999999999999996</v>
          </cell>
          <cell r="I469">
            <v>0.96128999999999998</v>
          </cell>
          <cell r="K469">
            <v>4.6646999999999998</v>
          </cell>
          <cell r="CG469">
            <v>1</v>
          </cell>
          <cell r="CH469">
            <v>1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</row>
        <row r="470">
          <cell r="B470" t="str">
            <v>e-bikes</v>
          </cell>
          <cell r="D470">
            <v>4.0999999999999996</v>
          </cell>
          <cell r="I470">
            <v>0.92212000000000005</v>
          </cell>
          <cell r="K470">
            <v>5.1981999999999999</v>
          </cell>
          <cell r="CG470">
            <v>1</v>
          </cell>
          <cell r="CH470">
            <v>1</v>
          </cell>
          <cell r="CI470">
            <v>0</v>
          </cell>
          <cell r="CJ470">
            <v>0</v>
          </cell>
          <cell r="CK470">
            <v>1</v>
          </cell>
          <cell r="CL470">
            <v>1</v>
          </cell>
        </row>
        <row r="471">
          <cell r="B471" t="str">
            <v>e-bikes</v>
          </cell>
          <cell r="D471">
            <v>4.5</v>
          </cell>
          <cell r="I471">
            <v>0.34764</v>
          </cell>
          <cell r="K471">
            <v>33.216999999999999</v>
          </cell>
          <cell r="CG471">
            <v>1</v>
          </cell>
          <cell r="CH471">
            <v>1</v>
          </cell>
          <cell r="CI471">
            <v>0</v>
          </cell>
          <cell r="CJ471">
            <v>0</v>
          </cell>
          <cell r="CK471">
            <v>1</v>
          </cell>
          <cell r="CL471">
            <v>1</v>
          </cell>
        </row>
        <row r="472">
          <cell r="B472" t="str">
            <v>e-commerce</v>
          </cell>
          <cell r="D472">
            <v>1.1000000000000001</v>
          </cell>
          <cell r="I472">
            <v>0.29465000000000002</v>
          </cell>
          <cell r="K472">
            <v>2.1776E-2</v>
          </cell>
          <cell r="CG472">
            <v>1</v>
          </cell>
          <cell r="CH472">
            <v>1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</row>
        <row r="473">
          <cell r="B473" t="str">
            <v>e-commerce</v>
          </cell>
          <cell r="D473">
            <v>1.1000000000000001</v>
          </cell>
          <cell r="I473">
            <v>0.29465000000000002</v>
          </cell>
          <cell r="K473">
            <v>2.1776E-2</v>
          </cell>
          <cell r="CG473">
            <v>1</v>
          </cell>
          <cell r="CH473">
            <v>1</v>
          </cell>
          <cell r="CI473">
            <v>0</v>
          </cell>
          <cell r="CJ473">
            <v>1</v>
          </cell>
          <cell r="CK473">
            <v>0</v>
          </cell>
          <cell r="CL473">
            <v>0</v>
          </cell>
        </row>
        <row r="474">
          <cell r="B474" t="str">
            <v>e-commerce</v>
          </cell>
          <cell r="D474">
            <v>2.4</v>
          </cell>
          <cell r="I474">
            <v>0.26205000000000001</v>
          </cell>
          <cell r="K474">
            <v>2.2623999999999998E-2</v>
          </cell>
          <cell r="CG474">
            <v>1</v>
          </cell>
          <cell r="CH474">
            <v>1</v>
          </cell>
          <cell r="CI474">
            <v>0</v>
          </cell>
          <cell r="CJ474">
            <v>0</v>
          </cell>
          <cell r="CK474">
            <v>0</v>
          </cell>
          <cell r="CL474">
            <v>1</v>
          </cell>
        </row>
        <row r="475">
          <cell r="B475" t="str">
            <v>e-commerce</v>
          </cell>
          <cell r="D475">
            <v>2.4</v>
          </cell>
          <cell r="I475">
            <v>0.14396999999999999</v>
          </cell>
          <cell r="K475">
            <v>2.8639999999999999E-2</v>
          </cell>
          <cell r="CG475">
            <v>1</v>
          </cell>
          <cell r="CH475">
            <v>1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</row>
        <row r="476">
          <cell r="B476" t="str">
            <v>e-commerce</v>
          </cell>
          <cell r="D476">
            <v>2.4</v>
          </cell>
          <cell r="I476">
            <v>0.16164000000000001</v>
          </cell>
          <cell r="K476">
            <v>3.6546000000000002E-2</v>
          </cell>
          <cell r="CG476">
            <v>1</v>
          </cell>
          <cell r="CH476">
            <v>1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</row>
        <row r="477">
          <cell r="B477" t="str">
            <v>e-commerce</v>
          </cell>
          <cell r="D477">
            <v>3.2</v>
          </cell>
          <cell r="I477">
            <v>-8.7225999999999998E-2</v>
          </cell>
          <cell r="K477">
            <v>-2.2499999999999998E-3</v>
          </cell>
          <cell r="CG477">
            <v>0</v>
          </cell>
          <cell r="CH477">
            <v>1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</row>
        <row r="478">
          <cell r="B478" t="str">
            <v>e-commerce</v>
          </cell>
          <cell r="D478">
            <v>3.2</v>
          </cell>
          <cell r="I478">
            <v>-8.8416999999999994</v>
          </cell>
          <cell r="K478">
            <v>-7.7499999999999999E-3</v>
          </cell>
          <cell r="CG478">
            <v>0</v>
          </cell>
          <cell r="CH478">
            <v>1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</row>
        <row r="479">
          <cell r="B479" t="str">
            <v>e-commerce</v>
          </cell>
          <cell r="D479">
            <v>3.2</v>
          </cell>
          <cell r="K479">
            <v>-5.0999999999999997E-2</v>
          </cell>
          <cell r="CG479">
            <v>0</v>
          </cell>
          <cell r="CH479">
            <v>1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</row>
        <row r="480">
          <cell r="B480" t="str">
            <v>e-commerce</v>
          </cell>
          <cell r="D480">
            <v>3.2</v>
          </cell>
          <cell r="I480">
            <v>0.16047</v>
          </cell>
          <cell r="K480">
            <v>6.0999999999999999E-2</v>
          </cell>
          <cell r="CG480">
            <v>0</v>
          </cell>
          <cell r="CH480">
            <v>1</v>
          </cell>
          <cell r="CI480">
            <v>0</v>
          </cell>
          <cell r="CJ480">
            <v>0</v>
          </cell>
          <cell r="CK480">
            <v>0</v>
          </cell>
          <cell r="CL480">
            <v>1</v>
          </cell>
        </row>
        <row r="481">
          <cell r="B481" t="str">
            <v>e-commerce</v>
          </cell>
          <cell r="D481">
            <v>3.5</v>
          </cell>
          <cell r="I481">
            <v>0.31269000000000002</v>
          </cell>
          <cell r="K481">
            <v>33.104999999999997</v>
          </cell>
          <cell r="CG481">
            <v>1</v>
          </cell>
          <cell r="CH481">
            <v>1</v>
          </cell>
          <cell r="CI481">
            <v>0</v>
          </cell>
          <cell r="CJ481">
            <v>0</v>
          </cell>
          <cell r="CK481">
            <v>0</v>
          </cell>
          <cell r="CL481">
            <v>1</v>
          </cell>
        </row>
        <row r="482">
          <cell r="B482" t="str">
            <v>e-commerce</v>
          </cell>
          <cell r="D482">
            <v>3.5</v>
          </cell>
          <cell r="I482">
            <v>0.68062</v>
          </cell>
          <cell r="K482">
            <v>2.0543</v>
          </cell>
          <cell r="CG482">
            <v>1</v>
          </cell>
          <cell r="CH482">
            <v>1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</row>
        <row r="483">
          <cell r="B483" t="str">
            <v>e-commerce</v>
          </cell>
          <cell r="D483">
            <v>3.5</v>
          </cell>
          <cell r="I483">
            <v>2.7947000000000002</v>
          </cell>
          <cell r="K483">
            <v>5.5378999999999996</v>
          </cell>
          <cell r="CG483">
            <v>1</v>
          </cell>
          <cell r="CH483">
            <v>1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</row>
        <row r="484">
          <cell r="B484" t="str">
            <v>e-commerce</v>
          </cell>
          <cell r="D484">
            <v>3.5</v>
          </cell>
          <cell r="I484">
            <v>0.90119000000000005</v>
          </cell>
          <cell r="K484">
            <v>120.73</v>
          </cell>
          <cell r="CG484">
            <v>1</v>
          </cell>
          <cell r="CH484">
            <v>1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</row>
        <row r="485">
          <cell r="B485" t="str">
            <v>e-commerce</v>
          </cell>
          <cell r="D485">
            <v>3.5</v>
          </cell>
          <cell r="I485">
            <v>0.85124</v>
          </cell>
          <cell r="K485">
            <v>312.33</v>
          </cell>
          <cell r="CG485">
            <v>1</v>
          </cell>
          <cell r="CH485">
            <v>1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</row>
        <row r="486">
          <cell r="B486" t="str">
            <v>e-commerce</v>
          </cell>
          <cell r="D486">
            <v>3.5</v>
          </cell>
          <cell r="I486">
            <v>2.7496999999999998</v>
          </cell>
          <cell r="K486">
            <v>6.7317999999999998</v>
          </cell>
          <cell r="CG486">
            <v>1</v>
          </cell>
          <cell r="CH486">
            <v>1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</row>
        <row r="487">
          <cell r="B487" t="str">
            <v>e-commerce</v>
          </cell>
          <cell r="D487">
            <v>3.5</v>
          </cell>
          <cell r="I487">
            <v>0.20804</v>
          </cell>
          <cell r="K487">
            <v>283.89</v>
          </cell>
          <cell r="CG487">
            <v>1</v>
          </cell>
          <cell r="CH487">
            <v>1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</row>
        <row r="488">
          <cell r="B488" t="str">
            <v>e-commerce</v>
          </cell>
          <cell r="D488">
            <v>3.5</v>
          </cell>
          <cell r="I488">
            <v>0.31269000000000002</v>
          </cell>
          <cell r="K488">
            <v>33.104999999999997</v>
          </cell>
          <cell r="CG488">
            <v>1</v>
          </cell>
          <cell r="CH488">
            <v>1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</row>
        <row r="489">
          <cell r="B489" t="str">
            <v>e-commerce</v>
          </cell>
          <cell r="D489">
            <v>3.5</v>
          </cell>
          <cell r="I489">
            <v>0.31269000000000002</v>
          </cell>
          <cell r="K489">
            <v>33.104999999999997</v>
          </cell>
          <cell r="CG489">
            <v>1</v>
          </cell>
          <cell r="CH489">
            <v>1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</row>
        <row r="490">
          <cell r="B490" t="str">
            <v>e-commerce</v>
          </cell>
          <cell r="D490">
            <v>3.5</v>
          </cell>
          <cell r="I490">
            <v>0.28000000000000003</v>
          </cell>
          <cell r="K490">
            <v>3.1789000000000001</v>
          </cell>
          <cell r="CG490">
            <v>1</v>
          </cell>
          <cell r="CH490">
            <v>1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</row>
        <row r="491">
          <cell r="B491" t="str">
            <v>e-commerce</v>
          </cell>
          <cell r="D491">
            <v>3.5</v>
          </cell>
          <cell r="I491">
            <v>0.52353000000000005</v>
          </cell>
          <cell r="K491">
            <v>49.991999999999997</v>
          </cell>
          <cell r="CG491">
            <v>1</v>
          </cell>
          <cell r="CH491">
            <v>1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</row>
        <row r="492">
          <cell r="B492" t="str">
            <v>e-commerce</v>
          </cell>
          <cell r="D492">
            <v>3.5</v>
          </cell>
          <cell r="I492">
            <v>2.4207000000000001</v>
          </cell>
          <cell r="K492">
            <v>4.4973999999999998</v>
          </cell>
          <cell r="CG492">
            <v>0</v>
          </cell>
          <cell r="CH492">
            <v>1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</row>
        <row r="493">
          <cell r="B493" t="str">
            <v>e-commerce</v>
          </cell>
          <cell r="D493">
            <v>3.5</v>
          </cell>
          <cell r="I493">
            <v>0.48808000000000001</v>
          </cell>
          <cell r="K493">
            <v>1002.4</v>
          </cell>
          <cell r="CG493">
            <v>1</v>
          </cell>
          <cell r="CH493">
            <v>1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</row>
        <row r="494">
          <cell r="B494" t="str">
            <v>e-commerce</v>
          </cell>
          <cell r="D494">
            <v>3.5</v>
          </cell>
          <cell r="I494">
            <v>0.44323000000000001</v>
          </cell>
          <cell r="K494">
            <v>108.51</v>
          </cell>
          <cell r="CG494">
            <v>1</v>
          </cell>
          <cell r="CH494">
            <v>1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</row>
        <row r="495">
          <cell r="B495" t="str">
            <v>e-commerce</v>
          </cell>
          <cell r="D495">
            <v>3.5</v>
          </cell>
          <cell r="I495">
            <v>0.40368999999999999</v>
          </cell>
          <cell r="K495">
            <v>2448.1</v>
          </cell>
          <cell r="CG495">
            <v>1</v>
          </cell>
          <cell r="CH495">
            <v>1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</row>
        <row r="496">
          <cell r="B496" t="str">
            <v>e-commerce</v>
          </cell>
          <cell r="D496">
            <v>3.5</v>
          </cell>
          <cell r="I496">
            <v>0.30430000000000001</v>
          </cell>
          <cell r="K496">
            <v>385.82</v>
          </cell>
          <cell r="CG496">
            <v>1</v>
          </cell>
          <cell r="CH496">
            <v>1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</row>
        <row r="497">
          <cell r="B497" t="str">
            <v>e-commerce</v>
          </cell>
          <cell r="D497">
            <v>3.5</v>
          </cell>
          <cell r="I497">
            <v>0.49658999999999998</v>
          </cell>
          <cell r="K497">
            <v>60.356000000000002</v>
          </cell>
          <cell r="CG497">
            <v>1</v>
          </cell>
          <cell r="CH497">
            <v>1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</row>
        <row r="498">
          <cell r="B498" t="str">
            <v>e-commerce</v>
          </cell>
          <cell r="D498">
            <v>3.5</v>
          </cell>
          <cell r="I498">
            <v>2.1160000000000001</v>
          </cell>
          <cell r="K498">
            <v>5.3465999999999996</v>
          </cell>
          <cell r="CG498">
            <v>1</v>
          </cell>
          <cell r="CH498">
            <v>1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</row>
        <row r="499">
          <cell r="B499" t="str">
            <v>e-commerce</v>
          </cell>
          <cell r="D499">
            <v>4.0999999999999996</v>
          </cell>
          <cell r="I499">
            <v>-0.36820999999999998</v>
          </cell>
          <cell r="K499">
            <v>-2.9479000000000002</v>
          </cell>
          <cell r="CG499">
            <v>1</v>
          </cell>
          <cell r="CH499">
            <v>1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</row>
        <row r="500">
          <cell r="B500" t="str">
            <v>e-commerce</v>
          </cell>
          <cell r="D500">
            <v>4.0999999999999996</v>
          </cell>
          <cell r="CG500">
            <v>0</v>
          </cell>
          <cell r="CH500">
            <v>1</v>
          </cell>
          <cell r="CI500">
            <v>0</v>
          </cell>
          <cell r="CJ500">
            <v>0</v>
          </cell>
          <cell r="CK500">
            <v>0</v>
          </cell>
          <cell r="CL500">
            <v>1</v>
          </cell>
        </row>
        <row r="501">
          <cell r="B501" t="str">
            <v>e-commerce</v>
          </cell>
          <cell r="D501">
            <v>4.5</v>
          </cell>
          <cell r="I501">
            <v>0.21881</v>
          </cell>
          <cell r="K501">
            <v>4.2280999999999999E-2</v>
          </cell>
          <cell r="CG501">
            <v>1</v>
          </cell>
          <cell r="CH501">
            <v>1</v>
          </cell>
          <cell r="CI501">
            <v>0</v>
          </cell>
          <cell r="CJ501">
            <v>0</v>
          </cell>
          <cell r="CK501">
            <v>0</v>
          </cell>
          <cell r="CL501">
            <v>1</v>
          </cell>
        </row>
        <row r="502">
          <cell r="B502" t="str">
            <v>e-commerce</v>
          </cell>
          <cell r="D502">
            <v>1.1000000000000001</v>
          </cell>
          <cell r="K502">
            <v>-2.5000000000000001E-2</v>
          </cell>
          <cell r="CG502">
            <v>0</v>
          </cell>
          <cell r="CH502">
            <v>1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</row>
        <row r="503">
          <cell r="B503" t="str">
            <v>e-commerce</v>
          </cell>
          <cell r="D503">
            <v>1.1000000000000001</v>
          </cell>
          <cell r="I503">
            <v>1.4361000000000001E-2</v>
          </cell>
          <cell r="K503">
            <v>13576</v>
          </cell>
          <cell r="CG503">
            <v>0</v>
          </cell>
          <cell r="CH503">
            <v>1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</row>
        <row r="504">
          <cell r="B504" t="str">
            <v>e-commerce</v>
          </cell>
          <cell r="D504">
            <v>1.1000000000000001</v>
          </cell>
          <cell r="K504">
            <v>-2.5000000000000001E-2</v>
          </cell>
          <cell r="CG504">
            <v>0</v>
          </cell>
          <cell r="CH504">
            <v>1</v>
          </cell>
          <cell r="CI504">
            <v>0</v>
          </cell>
          <cell r="CJ504">
            <v>1</v>
          </cell>
          <cell r="CK504">
            <v>0</v>
          </cell>
          <cell r="CL504">
            <v>0</v>
          </cell>
        </row>
        <row r="505">
          <cell r="B505" t="str">
            <v>e-commerce</v>
          </cell>
          <cell r="D505">
            <v>2.2000000000000002</v>
          </cell>
          <cell r="I505">
            <v>0.19922999999999999</v>
          </cell>
          <cell r="K505">
            <v>3.7435999999999998</v>
          </cell>
          <cell r="CG505">
            <v>1</v>
          </cell>
          <cell r="CH505">
            <v>1</v>
          </cell>
          <cell r="CI505">
            <v>0</v>
          </cell>
          <cell r="CJ505">
            <v>0</v>
          </cell>
          <cell r="CK505">
            <v>0</v>
          </cell>
          <cell r="CL505">
            <v>1</v>
          </cell>
          <cell r="CM505" t="str">
            <v>moved from 1.1</v>
          </cell>
        </row>
        <row r="506">
          <cell r="B506" t="str">
            <v>e-commerce</v>
          </cell>
          <cell r="D506">
            <v>2.2000000000000002</v>
          </cell>
          <cell r="I506">
            <v>13.882999999999999</v>
          </cell>
          <cell r="K506">
            <v>3.6787999999999999E-3</v>
          </cell>
          <cell r="CG506">
            <v>0</v>
          </cell>
          <cell r="CH506">
            <v>1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</row>
        <row r="507">
          <cell r="B507" t="str">
            <v>e-commerce</v>
          </cell>
          <cell r="D507">
            <v>2.2999999999999998</v>
          </cell>
          <cell r="I507">
            <v>-1.0266999999999999</v>
          </cell>
          <cell r="K507">
            <v>-2.0188999999999999E-2</v>
          </cell>
          <cell r="CG507">
            <v>1</v>
          </cell>
          <cell r="CH507">
            <v>1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</row>
        <row r="508">
          <cell r="B508" t="str">
            <v>e-commerce</v>
          </cell>
          <cell r="D508">
            <v>2.4</v>
          </cell>
          <cell r="K508">
            <v>1.8032E-3</v>
          </cell>
          <cell r="CG508">
            <v>0</v>
          </cell>
          <cell r="CH508">
            <v>1</v>
          </cell>
          <cell r="CI508">
            <v>0</v>
          </cell>
          <cell r="CJ508">
            <v>0</v>
          </cell>
          <cell r="CK508">
            <v>0</v>
          </cell>
          <cell r="CL508">
            <v>1</v>
          </cell>
        </row>
        <row r="509">
          <cell r="B509" t="str">
            <v>e-commerce</v>
          </cell>
          <cell r="D509">
            <v>2.4</v>
          </cell>
          <cell r="I509">
            <v>0.27810000000000001</v>
          </cell>
          <cell r="K509">
            <v>2.0569E-2</v>
          </cell>
          <cell r="CG509">
            <v>1</v>
          </cell>
          <cell r="CH509">
            <v>1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</row>
        <row r="510">
          <cell r="B510" t="str">
            <v>e-commerce</v>
          </cell>
          <cell r="D510">
            <v>2.4</v>
          </cell>
          <cell r="I510">
            <v>0.13425999999999999</v>
          </cell>
          <cell r="K510">
            <v>5.0794999999999998E-3</v>
          </cell>
          <cell r="CG510">
            <v>1</v>
          </cell>
          <cell r="CH510">
            <v>1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</row>
        <row r="511">
          <cell r="B511" t="str">
            <v>e-commerce</v>
          </cell>
          <cell r="D511">
            <v>2.5</v>
          </cell>
          <cell r="I511">
            <v>0.14601</v>
          </cell>
          <cell r="K511">
            <v>1.093E-2</v>
          </cell>
          <cell r="CG511">
            <v>1</v>
          </cell>
          <cell r="CH511">
            <v>1</v>
          </cell>
          <cell r="CI511">
            <v>0</v>
          </cell>
          <cell r="CJ511">
            <v>0</v>
          </cell>
          <cell r="CK511">
            <v>0</v>
          </cell>
          <cell r="CL511">
            <v>1</v>
          </cell>
        </row>
        <row r="512">
          <cell r="B512" t="str">
            <v>e-commerce</v>
          </cell>
          <cell r="D512">
            <v>2.5</v>
          </cell>
          <cell r="I512">
            <v>-0.23050999999999999</v>
          </cell>
          <cell r="K512">
            <v>-2.2501000000000001E-3</v>
          </cell>
          <cell r="CG512">
            <v>1</v>
          </cell>
          <cell r="CH512">
            <v>1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</row>
        <row r="513">
          <cell r="B513" t="str">
            <v>e-commerce</v>
          </cell>
          <cell r="D513">
            <v>2.5</v>
          </cell>
          <cell r="I513">
            <v>-0.40155000000000002</v>
          </cell>
          <cell r="K513">
            <v>-2.5500000000000002E-4</v>
          </cell>
          <cell r="CG513">
            <v>0</v>
          </cell>
          <cell r="CH513">
            <v>1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</row>
        <row r="514">
          <cell r="B514" t="str">
            <v>e-commerce</v>
          </cell>
          <cell r="D514">
            <v>3.2</v>
          </cell>
          <cell r="I514">
            <v>0.68503000000000003</v>
          </cell>
          <cell r="K514">
            <v>1.8921000000000001E-3</v>
          </cell>
          <cell r="CG514">
            <v>0</v>
          </cell>
          <cell r="CH514">
            <v>1</v>
          </cell>
          <cell r="CI514">
            <v>0</v>
          </cell>
          <cell r="CJ514">
            <v>0</v>
          </cell>
          <cell r="CK514">
            <v>0</v>
          </cell>
          <cell r="CL514">
            <v>1</v>
          </cell>
        </row>
        <row r="515">
          <cell r="B515" t="str">
            <v>e-commerce</v>
          </cell>
          <cell r="D515">
            <v>3.2</v>
          </cell>
          <cell r="I515">
            <v>0.41510000000000002</v>
          </cell>
          <cell r="K515">
            <v>7.5047999999999998E-3</v>
          </cell>
          <cell r="CG515">
            <v>0</v>
          </cell>
          <cell r="CH515">
            <v>1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</row>
        <row r="516">
          <cell r="B516" t="str">
            <v>e-commerce</v>
          </cell>
          <cell r="D516">
            <v>3.2</v>
          </cell>
          <cell r="I516">
            <v>0.28682999999999997</v>
          </cell>
          <cell r="K516">
            <v>1.5559E-2</v>
          </cell>
          <cell r="CG516">
            <v>0</v>
          </cell>
          <cell r="CH516">
            <v>1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</row>
        <row r="517">
          <cell r="B517" t="str">
            <v>e-commerce</v>
          </cell>
          <cell r="D517">
            <v>3.2</v>
          </cell>
          <cell r="I517">
            <v>0.21945000000000001</v>
          </cell>
          <cell r="K517">
            <v>2.4138E-2</v>
          </cell>
          <cell r="CG517">
            <v>1</v>
          </cell>
          <cell r="CH517">
            <v>1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</row>
        <row r="518">
          <cell r="B518" t="str">
            <v>e-commerce</v>
          </cell>
          <cell r="D518">
            <v>3.2</v>
          </cell>
          <cell r="I518">
            <v>0.22266</v>
          </cell>
          <cell r="K518">
            <v>2.5526E-2</v>
          </cell>
          <cell r="CG518">
            <v>0</v>
          </cell>
          <cell r="CH518">
            <v>1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</row>
        <row r="519">
          <cell r="B519" t="str">
            <v>e-commerce</v>
          </cell>
          <cell r="D519">
            <v>3.2</v>
          </cell>
          <cell r="I519">
            <v>-2.3486E-2</v>
          </cell>
          <cell r="K519">
            <v>-1.917E-2</v>
          </cell>
          <cell r="CG519">
            <v>1</v>
          </cell>
          <cell r="CH519">
            <v>1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</row>
        <row r="520">
          <cell r="B520" t="str">
            <v>e-commerce</v>
          </cell>
          <cell r="D520">
            <v>3.2</v>
          </cell>
          <cell r="I520">
            <v>-3.6540000000000003E-2</v>
          </cell>
          <cell r="K520">
            <v>-2.478E-2</v>
          </cell>
          <cell r="CG520">
            <v>1</v>
          </cell>
          <cell r="CH520">
            <v>1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</row>
        <row r="521">
          <cell r="B521" t="str">
            <v>e-commerce</v>
          </cell>
          <cell r="D521">
            <v>3.2</v>
          </cell>
          <cell r="I521">
            <v>-7.2441000000000005E-2</v>
          </cell>
          <cell r="K521">
            <v>-3.5839999999999997E-2</v>
          </cell>
          <cell r="CG521">
            <v>1</v>
          </cell>
          <cell r="CH521">
            <v>1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</row>
        <row r="522">
          <cell r="B522" t="str">
            <v>e-commerce</v>
          </cell>
          <cell r="D522">
            <v>3.2</v>
          </cell>
          <cell r="I522">
            <v>0.26987</v>
          </cell>
          <cell r="K522">
            <v>9.8221999999999997E-3</v>
          </cell>
          <cell r="CG522">
            <v>1</v>
          </cell>
          <cell r="CH522">
            <v>1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</row>
        <row r="523">
          <cell r="B523" t="str">
            <v>e-commerce</v>
          </cell>
          <cell r="D523">
            <v>3.2</v>
          </cell>
          <cell r="I523">
            <v>17.859000000000002</v>
          </cell>
          <cell r="K523">
            <v>3.3999999999999998E-3</v>
          </cell>
          <cell r="CG523">
            <v>0</v>
          </cell>
          <cell r="CH523">
            <v>1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</row>
        <row r="524">
          <cell r="B524" t="str">
            <v>e-commerce</v>
          </cell>
          <cell r="D524">
            <v>3.5</v>
          </cell>
          <cell r="I524">
            <v>0.13905000000000001</v>
          </cell>
          <cell r="K524">
            <v>10.76</v>
          </cell>
          <cell r="CG524">
            <v>1</v>
          </cell>
          <cell r="CH524">
            <v>1</v>
          </cell>
          <cell r="CI524">
            <v>0</v>
          </cell>
          <cell r="CJ524">
            <v>0</v>
          </cell>
          <cell r="CK524">
            <v>0</v>
          </cell>
          <cell r="CL524">
            <v>1</v>
          </cell>
        </row>
        <row r="525">
          <cell r="B525" t="str">
            <v>e-commerce</v>
          </cell>
          <cell r="D525">
            <v>3.5</v>
          </cell>
          <cell r="I525">
            <v>0.29099999999999998</v>
          </cell>
          <cell r="K525">
            <v>0.39828999999999998</v>
          </cell>
          <cell r="CG525">
            <v>1</v>
          </cell>
          <cell r="CH525">
            <v>1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</row>
        <row r="526">
          <cell r="B526" t="str">
            <v>e-commerce</v>
          </cell>
          <cell r="D526">
            <v>3.5</v>
          </cell>
          <cell r="I526">
            <v>0.35022999999999999</v>
          </cell>
          <cell r="K526">
            <v>0.67430999999999996</v>
          </cell>
          <cell r="CG526">
            <v>1</v>
          </cell>
          <cell r="CH526">
            <v>1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</row>
        <row r="527">
          <cell r="B527" t="str">
            <v>e-commerce</v>
          </cell>
          <cell r="D527">
            <v>3.5</v>
          </cell>
          <cell r="I527">
            <v>20.965</v>
          </cell>
          <cell r="K527">
            <v>4.5674000000000001</v>
          </cell>
          <cell r="CG527">
            <v>1</v>
          </cell>
          <cell r="CH527">
            <v>1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</row>
        <row r="528">
          <cell r="B528" t="str">
            <v>e-commerce</v>
          </cell>
          <cell r="D528">
            <v>3.5</v>
          </cell>
          <cell r="I528">
            <v>0.10442</v>
          </cell>
          <cell r="K528">
            <v>41.177999999999997</v>
          </cell>
          <cell r="CG528">
            <v>1</v>
          </cell>
          <cell r="CH528">
            <v>1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</row>
        <row r="529">
          <cell r="B529" t="str">
            <v>e-commerce</v>
          </cell>
          <cell r="D529">
            <v>3.5</v>
          </cell>
          <cell r="I529">
            <v>0.31069999999999998</v>
          </cell>
          <cell r="K529">
            <v>1.2794000000000001</v>
          </cell>
          <cell r="CG529">
            <v>1</v>
          </cell>
          <cell r="CH529">
            <v>1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</row>
        <row r="530">
          <cell r="B530" t="str">
            <v>e-commerce</v>
          </cell>
          <cell r="D530">
            <v>3.5</v>
          </cell>
          <cell r="I530">
            <v>0.14308999999999999</v>
          </cell>
          <cell r="K530">
            <v>142.25</v>
          </cell>
          <cell r="CG530">
            <v>1</v>
          </cell>
          <cell r="CH530">
            <v>1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</row>
        <row r="531">
          <cell r="B531" t="str">
            <v>e-commerce</v>
          </cell>
          <cell r="D531">
            <v>3.5</v>
          </cell>
          <cell r="I531">
            <v>0.13905000000000001</v>
          </cell>
          <cell r="K531">
            <v>10.76</v>
          </cell>
          <cell r="CG531">
            <v>1</v>
          </cell>
          <cell r="CH531">
            <v>1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</row>
        <row r="532">
          <cell r="B532" t="str">
            <v>e-commerce</v>
          </cell>
          <cell r="D532">
            <v>3.5</v>
          </cell>
          <cell r="I532">
            <v>0.13905000000000001</v>
          </cell>
          <cell r="K532">
            <v>10.76</v>
          </cell>
          <cell r="CG532">
            <v>1</v>
          </cell>
          <cell r="CH532">
            <v>1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</row>
        <row r="533">
          <cell r="B533" t="str">
            <v>e-commerce</v>
          </cell>
          <cell r="D533">
            <v>3.5</v>
          </cell>
          <cell r="I533">
            <v>0.16241</v>
          </cell>
          <cell r="K533">
            <v>0.53424000000000005</v>
          </cell>
          <cell r="CG533">
            <v>1</v>
          </cell>
          <cell r="CH533">
            <v>1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</row>
        <row r="534">
          <cell r="B534" t="str">
            <v>e-commerce</v>
          </cell>
          <cell r="D534">
            <v>3.5</v>
          </cell>
          <cell r="I534">
            <v>0.23164000000000001</v>
          </cell>
          <cell r="K534">
            <v>5.9725000000000001</v>
          </cell>
          <cell r="CG534">
            <v>1</v>
          </cell>
          <cell r="CH534">
            <v>1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</row>
        <row r="535">
          <cell r="B535" t="str">
            <v>e-commerce</v>
          </cell>
          <cell r="D535">
            <v>3.5</v>
          </cell>
          <cell r="I535">
            <v>0.15509999999999999</v>
          </cell>
          <cell r="K535">
            <v>0.65820999999999996</v>
          </cell>
          <cell r="CG535">
            <v>1</v>
          </cell>
          <cell r="CH535">
            <v>1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</row>
        <row r="536">
          <cell r="B536" t="str">
            <v>e-commerce</v>
          </cell>
          <cell r="D536">
            <v>3.5</v>
          </cell>
          <cell r="I536">
            <v>0.51188</v>
          </cell>
          <cell r="K536">
            <v>25.658000000000001</v>
          </cell>
          <cell r="CG536">
            <v>1</v>
          </cell>
          <cell r="CH536">
            <v>1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</row>
        <row r="537">
          <cell r="B537" t="str">
            <v>e-commerce</v>
          </cell>
          <cell r="D537">
            <v>3.5</v>
          </cell>
          <cell r="I537">
            <v>0.32314999999999999</v>
          </cell>
          <cell r="K537">
            <v>4.0683999999999996</v>
          </cell>
          <cell r="CG537">
            <v>1</v>
          </cell>
          <cell r="CH537">
            <v>1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</row>
        <row r="538">
          <cell r="B538" t="str">
            <v>e-commerce</v>
          </cell>
          <cell r="D538">
            <v>3.5</v>
          </cell>
          <cell r="I538">
            <v>0.11889</v>
          </cell>
          <cell r="K538">
            <v>654.9</v>
          </cell>
          <cell r="CG538">
            <v>1</v>
          </cell>
          <cell r="CH538">
            <v>1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</row>
        <row r="539">
          <cell r="B539" t="str">
            <v>e-commerce</v>
          </cell>
          <cell r="D539">
            <v>3.5</v>
          </cell>
          <cell r="I539">
            <v>3.4165999999999999</v>
          </cell>
          <cell r="K539">
            <v>88.822000000000003</v>
          </cell>
          <cell r="CG539">
            <v>0</v>
          </cell>
          <cell r="CH539">
            <v>1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</row>
        <row r="540">
          <cell r="B540" t="str">
            <v>e-commerce</v>
          </cell>
          <cell r="D540">
            <v>3.5</v>
          </cell>
          <cell r="I540">
            <v>0.18726000000000001</v>
          </cell>
          <cell r="K540">
            <v>12.83</v>
          </cell>
          <cell r="CG540">
            <v>1</v>
          </cell>
          <cell r="CH540">
            <v>1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</row>
        <row r="541">
          <cell r="B541" t="str">
            <v>e-commerce</v>
          </cell>
          <cell r="D541">
            <v>3.5</v>
          </cell>
          <cell r="I541">
            <v>0.14163999999999999</v>
          </cell>
          <cell r="K541">
            <v>1.2645</v>
          </cell>
          <cell r="CG541">
            <v>1</v>
          </cell>
          <cell r="CH541">
            <v>1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</row>
        <row r="542">
          <cell r="B542" t="str">
            <v>e-commerce</v>
          </cell>
          <cell r="D542">
            <v>4.0999999999999996</v>
          </cell>
          <cell r="I542">
            <v>-0.61617999999999995</v>
          </cell>
          <cell r="K542">
            <v>-0.86080999999999996</v>
          </cell>
          <cell r="CG542">
            <v>1</v>
          </cell>
          <cell r="CH542">
            <v>1</v>
          </cell>
          <cell r="CI542">
            <v>0</v>
          </cell>
          <cell r="CJ542">
            <v>0</v>
          </cell>
          <cell r="CK542">
            <v>0</v>
          </cell>
          <cell r="CL542">
            <v>1</v>
          </cell>
        </row>
        <row r="543">
          <cell r="B543" t="str">
            <v>e-commerce</v>
          </cell>
          <cell r="D543">
            <v>4.0999999999999996</v>
          </cell>
          <cell r="CG543">
            <v>0</v>
          </cell>
          <cell r="CH543">
            <v>1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</row>
        <row r="544">
          <cell r="B544" t="str">
            <v>e-commerce</v>
          </cell>
          <cell r="D544">
            <v>4.3</v>
          </cell>
          <cell r="I544">
            <v>0.19373000000000001</v>
          </cell>
          <cell r="K544">
            <v>1.6664999999999999E-2</v>
          </cell>
          <cell r="CG544">
            <v>0</v>
          </cell>
          <cell r="CH544">
            <v>1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</row>
        <row r="545">
          <cell r="B545" t="str">
            <v>e-commerce</v>
          </cell>
          <cell r="D545">
            <v>4.3</v>
          </cell>
          <cell r="I545">
            <v>0.17849999999999999</v>
          </cell>
          <cell r="K545">
            <v>1.2271000000000001E-2</v>
          </cell>
          <cell r="CG545">
            <v>1</v>
          </cell>
          <cell r="CH545">
            <v>1</v>
          </cell>
          <cell r="CI545">
            <v>0</v>
          </cell>
          <cell r="CJ545">
            <v>0</v>
          </cell>
          <cell r="CK545">
            <v>0</v>
          </cell>
          <cell r="CL545">
            <v>1</v>
          </cell>
        </row>
        <row r="546">
          <cell r="B546" t="str">
            <v>e-commerce</v>
          </cell>
          <cell r="D546">
            <v>4.5</v>
          </cell>
          <cell r="I546">
            <v>0.29483999999999999</v>
          </cell>
          <cell r="K546">
            <v>2.4379000000000001E-2</v>
          </cell>
          <cell r="CG546">
            <v>1</v>
          </cell>
          <cell r="CH546">
            <v>1</v>
          </cell>
          <cell r="CI546">
            <v>0</v>
          </cell>
          <cell r="CJ546">
            <v>0</v>
          </cell>
          <cell r="CK546">
            <v>0</v>
          </cell>
          <cell r="CL546">
            <v>1</v>
          </cell>
        </row>
        <row r="547">
          <cell r="B547" t="str">
            <v>e-commerce</v>
          </cell>
          <cell r="D547">
            <v>3.3</v>
          </cell>
          <cell r="I547">
            <v>0.34012999999999999</v>
          </cell>
          <cell r="K547">
            <v>91.974999999999994</v>
          </cell>
          <cell r="CG547">
            <v>1</v>
          </cell>
          <cell r="CH547">
            <v>1</v>
          </cell>
          <cell r="CI547">
            <v>0</v>
          </cell>
          <cell r="CJ547">
            <v>0</v>
          </cell>
          <cell r="CK547">
            <v>1</v>
          </cell>
          <cell r="CL547">
            <v>1</v>
          </cell>
        </row>
        <row r="548">
          <cell r="B548" t="str">
            <v>e-commerce</v>
          </cell>
          <cell r="D548">
            <v>3.5</v>
          </cell>
          <cell r="I548">
            <v>0.13377</v>
          </cell>
          <cell r="K548">
            <v>266.60000000000002</v>
          </cell>
          <cell r="CG548">
            <v>1</v>
          </cell>
          <cell r="CH548">
            <v>1</v>
          </cell>
          <cell r="CI548">
            <v>0</v>
          </cell>
          <cell r="CJ548">
            <v>0</v>
          </cell>
          <cell r="CK548">
            <v>0</v>
          </cell>
          <cell r="CL548">
            <v>1</v>
          </cell>
        </row>
        <row r="549">
          <cell r="B549" t="str">
            <v>e-commerce</v>
          </cell>
          <cell r="D549">
            <v>3.5</v>
          </cell>
          <cell r="I549">
            <v>0.19425000000000001</v>
          </cell>
          <cell r="K549">
            <v>12.255000000000001</v>
          </cell>
          <cell r="CG549">
            <v>1</v>
          </cell>
          <cell r="CH549">
            <v>1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</row>
        <row r="550">
          <cell r="B550" t="str">
            <v>e-commerce</v>
          </cell>
          <cell r="D550">
            <v>3.5</v>
          </cell>
          <cell r="I550">
            <v>0.61792999999999998</v>
          </cell>
          <cell r="K550">
            <v>25.013000000000002</v>
          </cell>
          <cell r="CG550">
            <v>1</v>
          </cell>
          <cell r="CH550">
            <v>1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</row>
        <row r="551">
          <cell r="B551" t="str">
            <v>e-commerce</v>
          </cell>
          <cell r="D551">
            <v>3.5</v>
          </cell>
          <cell r="I551">
            <v>0.57067999999999997</v>
          </cell>
          <cell r="K551">
            <v>431.04</v>
          </cell>
          <cell r="CG551">
            <v>1</v>
          </cell>
          <cell r="CH551">
            <v>1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</row>
        <row r="552">
          <cell r="B552" t="str">
            <v>e-commerce</v>
          </cell>
          <cell r="D552">
            <v>3.5</v>
          </cell>
          <cell r="I552">
            <v>0.55805000000000005</v>
          </cell>
          <cell r="K552">
            <v>2066.6999999999998</v>
          </cell>
          <cell r="CG552">
            <v>1</v>
          </cell>
          <cell r="CH552">
            <v>1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</row>
        <row r="553">
          <cell r="B553" t="str">
            <v>e-commerce</v>
          </cell>
          <cell r="D553">
            <v>3.5</v>
          </cell>
          <cell r="I553">
            <v>0.44037999999999999</v>
          </cell>
          <cell r="K553">
            <v>39.828000000000003</v>
          </cell>
          <cell r="CG553">
            <v>1</v>
          </cell>
          <cell r="CH553">
            <v>1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</row>
        <row r="554">
          <cell r="B554" t="str">
            <v>e-commerce</v>
          </cell>
          <cell r="D554">
            <v>3.5</v>
          </cell>
          <cell r="I554">
            <v>0.1308</v>
          </cell>
          <cell r="K554">
            <v>3235.3</v>
          </cell>
          <cell r="CG554">
            <v>1</v>
          </cell>
          <cell r="CH554">
            <v>1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</row>
        <row r="555">
          <cell r="B555" t="str">
            <v>e-commerce</v>
          </cell>
          <cell r="D555">
            <v>3.5</v>
          </cell>
          <cell r="I555">
            <v>0.13377</v>
          </cell>
          <cell r="K555">
            <v>266.60000000000002</v>
          </cell>
          <cell r="CG555">
            <v>1</v>
          </cell>
          <cell r="CH555">
            <v>1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</row>
        <row r="556">
          <cell r="B556" t="str">
            <v>e-commerce</v>
          </cell>
          <cell r="D556">
            <v>3.5</v>
          </cell>
          <cell r="I556">
            <v>0.13377</v>
          </cell>
          <cell r="K556">
            <v>266.60000000000002</v>
          </cell>
          <cell r="CG556">
            <v>1</v>
          </cell>
          <cell r="CH556">
            <v>1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</row>
        <row r="557">
          <cell r="B557" t="str">
            <v>e-commerce</v>
          </cell>
          <cell r="D557">
            <v>3.5</v>
          </cell>
          <cell r="I557">
            <v>9.9019999999999997E-2</v>
          </cell>
          <cell r="K557">
            <v>16.274999999999999</v>
          </cell>
          <cell r="CG557">
            <v>1</v>
          </cell>
          <cell r="CH557">
            <v>1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</row>
        <row r="558">
          <cell r="B558" t="str">
            <v>e-commerce</v>
          </cell>
          <cell r="D558">
            <v>3.5</v>
          </cell>
          <cell r="I558">
            <v>0.23355000000000001</v>
          </cell>
          <cell r="K558">
            <v>230.96</v>
          </cell>
          <cell r="CG558">
            <v>1</v>
          </cell>
          <cell r="CH558">
            <v>1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</row>
        <row r="559">
          <cell r="B559" t="str">
            <v>e-commerce</v>
          </cell>
          <cell r="D559">
            <v>3.5</v>
          </cell>
          <cell r="I559">
            <v>0.34686</v>
          </cell>
          <cell r="K559">
            <v>25.161999999999999</v>
          </cell>
          <cell r="CG559">
            <v>1</v>
          </cell>
          <cell r="CH559">
            <v>1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</row>
        <row r="560">
          <cell r="B560" t="str">
            <v>e-commerce</v>
          </cell>
          <cell r="D560">
            <v>3.5</v>
          </cell>
          <cell r="I560">
            <v>0.29559000000000002</v>
          </cell>
          <cell r="K560">
            <v>3406.4</v>
          </cell>
          <cell r="CG560">
            <v>1</v>
          </cell>
          <cell r="CH560">
            <v>1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</row>
        <row r="561">
          <cell r="B561" t="str">
            <v>e-commerce</v>
          </cell>
          <cell r="D561">
            <v>3.5</v>
          </cell>
          <cell r="I561">
            <v>0.21304000000000001</v>
          </cell>
          <cell r="K561">
            <v>440.94</v>
          </cell>
          <cell r="CG561">
            <v>1</v>
          </cell>
          <cell r="CH561">
            <v>1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</row>
        <row r="562">
          <cell r="B562" t="str">
            <v>e-commerce</v>
          </cell>
          <cell r="D562">
            <v>3.5</v>
          </cell>
          <cell r="I562">
            <v>0.18225</v>
          </cell>
          <cell r="K562">
            <v>18257</v>
          </cell>
          <cell r="CG562">
            <v>1</v>
          </cell>
          <cell r="CH562">
            <v>1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</row>
        <row r="563">
          <cell r="B563" t="str">
            <v>e-commerce</v>
          </cell>
          <cell r="D563">
            <v>3.5</v>
          </cell>
          <cell r="I563">
            <v>0.30386999999999997</v>
          </cell>
          <cell r="K563">
            <v>2271.8000000000002</v>
          </cell>
          <cell r="CG563">
            <v>1</v>
          </cell>
          <cell r="CH563">
            <v>1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</row>
        <row r="564">
          <cell r="B564" t="str">
            <v>e-commerce</v>
          </cell>
          <cell r="D564">
            <v>3.5</v>
          </cell>
          <cell r="I564">
            <v>0.18915999999999999</v>
          </cell>
          <cell r="K564">
            <v>385.72</v>
          </cell>
          <cell r="CG564">
            <v>1</v>
          </cell>
          <cell r="CH564">
            <v>1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</row>
        <row r="565">
          <cell r="B565" t="str">
            <v>e-commerce</v>
          </cell>
          <cell r="D565">
            <v>3.5</v>
          </cell>
          <cell r="I565">
            <v>0.19677</v>
          </cell>
          <cell r="K565">
            <v>39.192999999999998</v>
          </cell>
          <cell r="CG565">
            <v>1</v>
          </cell>
          <cell r="CH565">
            <v>1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</row>
        <row r="566">
          <cell r="B566" t="str">
            <v>e-commerce</v>
          </cell>
          <cell r="D566">
            <v>1.1000000000000001</v>
          </cell>
          <cell r="I566">
            <v>0.26654</v>
          </cell>
          <cell r="K566">
            <v>16.52</v>
          </cell>
          <cell r="CG566">
            <v>1</v>
          </cell>
          <cell r="CH566">
            <v>1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</row>
        <row r="567">
          <cell r="B567" t="str">
            <v>e-commerce</v>
          </cell>
          <cell r="D567">
            <v>1.1000000000000001</v>
          </cell>
          <cell r="I567">
            <v>0.22237999999999999</v>
          </cell>
          <cell r="K567">
            <v>1.0115000000000001E-2</v>
          </cell>
          <cell r="CG567">
            <v>1</v>
          </cell>
          <cell r="CH567">
            <v>1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</row>
        <row r="568">
          <cell r="B568" t="str">
            <v>e-commerce</v>
          </cell>
          <cell r="D568">
            <v>1.1000000000000001</v>
          </cell>
          <cell r="I568">
            <v>0.22237999999999999</v>
          </cell>
          <cell r="K568">
            <v>1.0115000000000001E-2</v>
          </cell>
          <cell r="CG568">
            <v>1</v>
          </cell>
          <cell r="CH568">
            <v>1</v>
          </cell>
          <cell r="CI568">
            <v>0</v>
          </cell>
          <cell r="CJ568">
            <v>1</v>
          </cell>
          <cell r="CK568">
            <v>0</v>
          </cell>
          <cell r="CL568">
            <v>0</v>
          </cell>
        </row>
        <row r="569">
          <cell r="B569" t="str">
            <v>e-commerce</v>
          </cell>
          <cell r="D569">
            <v>2.4</v>
          </cell>
          <cell r="K569">
            <v>5.3813000000000003E-3</v>
          </cell>
          <cell r="CG569">
            <v>0</v>
          </cell>
          <cell r="CH569">
            <v>1</v>
          </cell>
          <cell r="CI569">
            <v>0</v>
          </cell>
          <cell r="CJ569">
            <v>0</v>
          </cell>
          <cell r="CK569">
            <v>0</v>
          </cell>
          <cell r="CL569">
            <v>1</v>
          </cell>
        </row>
        <row r="570">
          <cell r="B570" t="str">
            <v>e-commerce</v>
          </cell>
          <cell r="D570">
            <v>2.4</v>
          </cell>
          <cell r="I570">
            <v>2.1825000000000001E-2</v>
          </cell>
          <cell r="K570">
            <v>1.3298000000000001E-2</v>
          </cell>
          <cell r="CG570">
            <v>1</v>
          </cell>
          <cell r="CH570">
            <v>1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</row>
        <row r="571">
          <cell r="B571" t="str">
            <v>e-commerce</v>
          </cell>
          <cell r="D571">
            <v>2.4</v>
          </cell>
          <cell r="I571">
            <v>0.12289</v>
          </cell>
          <cell r="K571">
            <v>2.6164E-2</v>
          </cell>
          <cell r="CG571">
            <v>0</v>
          </cell>
          <cell r="CH571">
            <v>1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</row>
        <row r="572">
          <cell r="B572" t="str">
            <v>e-commerce</v>
          </cell>
          <cell r="D572">
            <v>2.5</v>
          </cell>
          <cell r="I572">
            <v>1.2475E-2</v>
          </cell>
          <cell r="K572">
            <v>7.5462999999999997E-3</v>
          </cell>
          <cell r="CG572">
            <v>1</v>
          </cell>
          <cell r="CH572">
            <v>1</v>
          </cell>
          <cell r="CI572">
            <v>0</v>
          </cell>
          <cell r="CJ572">
            <v>0</v>
          </cell>
          <cell r="CK572">
            <v>0</v>
          </cell>
          <cell r="CL572">
            <v>1</v>
          </cell>
        </row>
        <row r="573">
          <cell r="B573" t="str">
            <v>e-commerce</v>
          </cell>
          <cell r="D573">
            <v>2.5</v>
          </cell>
          <cell r="I573">
            <v>-21.827999999999999</v>
          </cell>
          <cell r="K573">
            <v>-3.1787000000000003E-2</v>
          </cell>
          <cell r="CG573">
            <v>0</v>
          </cell>
          <cell r="CH573">
            <v>1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</row>
        <row r="574">
          <cell r="B574" t="str">
            <v>e-commerce</v>
          </cell>
          <cell r="D574">
            <v>2.5</v>
          </cell>
          <cell r="I574">
            <v>7.6658000000000004E-2</v>
          </cell>
          <cell r="K574">
            <v>8.3318999999999997E-3</v>
          </cell>
          <cell r="CG574">
            <v>1</v>
          </cell>
          <cell r="CH574">
            <v>1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</row>
        <row r="575">
          <cell r="B575" t="str">
            <v>e-commerce</v>
          </cell>
          <cell r="D575">
            <v>3.5</v>
          </cell>
          <cell r="I575">
            <v>0.17474999999999999</v>
          </cell>
          <cell r="K575">
            <v>4.9939</v>
          </cell>
          <cell r="CG575">
            <v>1</v>
          </cell>
          <cell r="CH575">
            <v>1</v>
          </cell>
          <cell r="CI575">
            <v>0</v>
          </cell>
          <cell r="CJ575">
            <v>0</v>
          </cell>
          <cell r="CK575">
            <v>0</v>
          </cell>
          <cell r="CL575">
            <v>1</v>
          </cell>
        </row>
        <row r="576">
          <cell r="B576" t="str">
            <v>e-commerce</v>
          </cell>
          <cell r="D576">
            <v>3.5</v>
          </cell>
          <cell r="I576">
            <v>3.0146999999999999</v>
          </cell>
          <cell r="K576">
            <v>0.40316000000000002</v>
          </cell>
          <cell r="CG576">
            <v>1</v>
          </cell>
          <cell r="CH576">
            <v>1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</row>
        <row r="577">
          <cell r="B577" t="str">
            <v>e-commerce</v>
          </cell>
          <cell r="D577">
            <v>3.5</v>
          </cell>
          <cell r="I577">
            <v>0.75112999999999996</v>
          </cell>
          <cell r="K577">
            <v>0.80474000000000001</v>
          </cell>
          <cell r="CG577">
            <v>1</v>
          </cell>
          <cell r="CH577">
            <v>1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</row>
        <row r="578">
          <cell r="B578" t="str">
            <v>e-commerce</v>
          </cell>
          <cell r="D578">
            <v>3.5</v>
          </cell>
          <cell r="I578">
            <v>26.126999999999999</v>
          </cell>
          <cell r="K578">
            <v>14.881</v>
          </cell>
          <cell r="CG578">
            <v>0</v>
          </cell>
          <cell r="CH578">
            <v>1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</row>
        <row r="579">
          <cell r="B579" t="str">
            <v>e-commerce</v>
          </cell>
          <cell r="D579">
            <v>3.5</v>
          </cell>
          <cell r="I579">
            <v>21.635999999999999</v>
          </cell>
          <cell r="K579">
            <v>37.950000000000003</v>
          </cell>
          <cell r="CG579">
            <v>0</v>
          </cell>
          <cell r="CH579">
            <v>1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</row>
        <row r="580">
          <cell r="B580" t="str">
            <v>e-commerce</v>
          </cell>
          <cell r="D580">
            <v>3.5</v>
          </cell>
          <cell r="I580">
            <v>0.70232000000000006</v>
          </cell>
          <cell r="K580">
            <v>0.96535000000000004</v>
          </cell>
          <cell r="CG580">
            <v>1</v>
          </cell>
          <cell r="CH580">
            <v>1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</row>
        <row r="581">
          <cell r="B581" t="str">
            <v>e-commerce</v>
          </cell>
          <cell r="D581">
            <v>3.5</v>
          </cell>
          <cell r="I581">
            <v>0.13539999999999999</v>
          </cell>
          <cell r="K581">
            <v>43.701999999999998</v>
          </cell>
          <cell r="CG581">
            <v>1</v>
          </cell>
          <cell r="CH581">
            <v>1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</row>
        <row r="582">
          <cell r="B582" t="str">
            <v>e-commerce</v>
          </cell>
          <cell r="D582">
            <v>3.5</v>
          </cell>
          <cell r="I582">
            <v>0.15398999999999999</v>
          </cell>
          <cell r="K582">
            <v>4.7453000000000003</v>
          </cell>
          <cell r="CG582">
            <v>1</v>
          </cell>
          <cell r="CH582">
            <v>1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</row>
        <row r="583">
          <cell r="B583" t="str">
            <v>e-commerce</v>
          </cell>
          <cell r="D583">
            <v>3.5</v>
          </cell>
          <cell r="I583">
            <v>0.17474999999999999</v>
          </cell>
          <cell r="K583">
            <v>4.9939</v>
          </cell>
          <cell r="CG583">
            <v>1</v>
          </cell>
          <cell r="CH583">
            <v>1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</row>
        <row r="584">
          <cell r="B584" t="str">
            <v>e-commerce</v>
          </cell>
          <cell r="D584">
            <v>3.5</v>
          </cell>
          <cell r="I584">
            <v>0.26189000000000001</v>
          </cell>
          <cell r="K584">
            <v>0.52766999999999997</v>
          </cell>
          <cell r="CG584">
            <v>1</v>
          </cell>
          <cell r="CH584">
            <v>1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</row>
        <row r="585">
          <cell r="B585" t="str">
            <v>e-commerce</v>
          </cell>
          <cell r="D585">
            <v>3.5</v>
          </cell>
          <cell r="I585">
            <v>0.46901999999999999</v>
          </cell>
          <cell r="K585">
            <v>4.3887999999999998</v>
          </cell>
          <cell r="CG585">
            <v>1</v>
          </cell>
          <cell r="CH585">
            <v>1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</row>
        <row r="586">
          <cell r="B586" t="str">
            <v>e-commerce</v>
          </cell>
          <cell r="D586">
            <v>3.5</v>
          </cell>
          <cell r="I586">
            <v>0.34297</v>
          </cell>
          <cell r="K586">
            <v>0.64378999999999997</v>
          </cell>
          <cell r="CG586">
            <v>1</v>
          </cell>
          <cell r="CH586">
            <v>1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</row>
        <row r="587">
          <cell r="B587" t="str">
            <v>e-commerce</v>
          </cell>
          <cell r="D587">
            <v>3.5</v>
          </cell>
          <cell r="I587">
            <v>1.0227999999999999</v>
          </cell>
          <cell r="K587">
            <v>108.15</v>
          </cell>
          <cell r="CG587">
            <v>1</v>
          </cell>
          <cell r="CH587">
            <v>1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</row>
        <row r="588">
          <cell r="B588" t="str">
            <v>e-commerce</v>
          </cell>
          <cell r="D588">
            <v>3.5</v>
          </cell>
          <cell r="I588">
            <v>5.2679</v>
          </cell>
          <cell r="K588">
            <v>15.734</v>
          </cell>
          <cell r="CG588">
            <v>0</v>
          </cell>
          <cell r="CH588">
            <v>1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</row>
        <row r="589">
          <cell r="B589" t="str">
            <v>e-commerce</v>
          </cell>
          <cell r="D589">
            <v>3.5</v>
          </cell>
          <cell r="I589">
            <v>0.56428999999999996</v>
          </cell>
          <cell r="K589">
            <v>265.3</v>
          </cell>
          <cell r="CG589">
            <v>1</v>
          </cell>
          <cell r="CH589">
            <v>1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</row>
        <row r="590">
          <cell r="B590" t="str">
            <v>e-commerce</v>
          </cell>
          <cell r="D590">
            <v>3.5</v>
          </cell>
          <cell r="I590">
            <v>0.30043999999999998</v>
          </cell>
          <cell r="K590">
            <v>45.133000000000003</v>
          </cell>
          <cell r="CG590">
            <v>0</v>
          </cell>
          <cell r="CH590">
            <v>1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</row>
        <row r="591">
          <cell r="B591" t="str">
            <v>e-commerce</v>
          </cell>
          <cell r="D591">
            <v>3.5</v>
          </cell>
          <cell r="I591">
            <v>0.35372999999999999</v>
          </cell>
          <cell r="K591">
            <v>5.6957000000000004</v>
          </cell>
          <cell r="CG591">
            <v>1</v>
          </cell>
          <cell r="CH591">
            <v>1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</row>
        <row r="592">
          <cell r="B592" t="str">
            <v>e-commerce</v>
          </cell>
          <cell r="D592">
            <v>3.5</v>
          </cell>
          <cell r="I592">
            <v>0.32212000000000002</v>
          </cell>
          <cell r="K592">
            <v>0.76768000000000003</v>
          </cell>
          <cell r="CG592">
            <v>1</v>
          </cell>
          <cell r="CH592">
            <v>1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</row>
        <row r="593">
          <cell r="B593" t="str">
            <v>e-commerce</v>
          </cell>
          <cell r="D593">
            <v>4.0999999999999996</v>
          </cell>
          <cell r="I593">
            <v>0.31795000000000001</v>
          </cell>
          <cell r="K593">
            <v>2.2441</v>
          </cell>
          <cell r="CG593">
            <v>1</v>
          </cell>
          <cell r="CH593">
            <v>1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</row>
        <row r="594">
          <cell r="B594" t="str">
            <v>e-commerce</v>
          </cell>
          <cell r="D594">
            <v>4.0999999999999996</v>
          </cell>
          <cell r="I594">
            <v>0.31795000000000001</v>
          </cell>
          <cell r="K594">
            <v>2.2441</v>
          </cell>
          <cell r="CG594">
            <v>1</v>
          </cell>
          <cell r="CH594">
            <v>1</v>
          </cell>
          <cell r="CI594">
            <v>0</v>
          </cell>
          <cell r="CJ594">
            <v>0</v>
          </cell>
          <cell r="CK594">
            <v>0</v>
          </cell>
          <cell r="CL594">
            <v>1</v>
          </cell>
        </row>
        <row r="595">
          <cell r="B595" t="str">
            <v>e-commerce</v>
          </cell>
          <cell r="D595">
            <v>4.3</v>
          </cell>
          <cell r="I595">
            <v>3.2169999999999997E-2</v>
          </cell>
          <cell r="K595">
            <v>1.7174999999999999E-2</v>
          </cell>
          <cell r="CG595">
            <v>1</v>
          </cell>
          <cell r="CH595">
            <v>1</v>
          </cell>
          <cell r="CI595">
            <v>0</v>
          </cell>
          <cell r="CJ595">
            <v>0</v>
          </cell>
          <cell r="CK595">
            <v>0</v>
          </cell>
          <cell r="CL595">
            <v>1</v>
          </cell>
        </row>
        <row r="596">
          <cell r="B596" t="str">
            <v>e-commerce</v>
          </cell>
          <cell r="D596">
            <v>4.3</v>
          </cell>
          <cell r="I596">
            <v>1.7350999999999998E-2</v>
          </cell>
          <cell r="K596">
            <v>1.0012E-2</v>
          </cell>
          <cell r="CG596">
            <v>1</v>
          </cell>
          <cell r="CH596">
            <v>1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</row>
        <row r="597">
          <cell r="B597" t="str">
            <v>e-commerce</v>
          </cell>
          <cell r="D597">
            <v>4.5</v>
          </cell>
          <cell r="I597">
            <v>0.44958999999999999</v>
          </cell>
          <cell r="K597">
            <v>1.4375000000000001E-2</v>
          </cell>
          <cell r="CG597">
            <v>1</v>
          </cell>
          <cell r="CH597">
            <v>1</v>
          </cell>
          <cell r="CI597">
            <v>0</v>
          </cell>
          <cell r="CJ597">
            <v>0</v>
          </cell>
          <cell r="CK597">
            <v>0</v>
          </cell>
          <cell r="CL597">
            <v>1</v>
          </cell>
        </row>
        <row r="598">
          <cell r="B598" t="str">
            <v>e-commerce</v>
          </cell>
          <cell r="D598">
            <v>1.1000000000000001</v>
          </cell>
          <cell r="I598">
            <v>0.19445999999999999</v>
          </cell>
          <cell r="K598">
            <v>1.6525000000000001E-2</v>
          </cell>
          <cell r="CG598">
            <v>1</v>
          </cell>
          <cell r="CH598">
            <v>1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</row>
        <row r="599">
          <cell r="B599" t="str">
            <v>e-commerce</v>
          </cell>
          <cell r="D599">
            <v>1.1000000000000001</v>
          </cell>
          <cell r="I599">
            <v>0.29549999999999998</v>
          </cell>
          <cell r="K599">
            <v>59383</v>
          </cell>
          <cell r="CG599">
            <v>1</v>
          </cell>
          <cell r="CH599">
            <v>1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</row>
        <row r="600">
          <cell r="B600" t="str">
            <v>e-commerce</v>
          </cell>
          <cell r="D600">
            <v>1.1000000000000001</v>
          </cell>
          <cell r="I600">
            <v>0.19445999999999999</v>
          </cell>
          <cell r="K600">
            <v>1.6525000000000001E-2</v>
          </cell>
          <cell r="CG600">
            <v>1</v>
          </cell>
          <cell r="CH600">
            <v>1</v>
          </cell>
          <cell r="CI600">
            <v>0</v>
          </cell>
          <cell r="CJ600">
            <v>1</v>
          </cell>
          <cell r="CK600">
            <v>0</v>
          </cell>
          <cell r="CL600">
            <v>0</v>
          </cell>
        </row>
        <row r="601">
          <cell r="B601" t="str">
            <v>e-commerce</v>
          </cell>
          <cell r="D601">
            <v>2.2000000000000002</v>
          </cell>
          <cell r="I601">
            <v>0.22366</v>
          </cell>
          <cell r="K601">
            <v>1775.4</v>
          </cell>
          <cell r="CG601">
            <v>1</v>
          </cell>
          <cell r="CH601">
            <v>1</v>
          </cell>
          <cell r="CI601">
            <v>0</v>
          </cell>
          <cell r="CJ601">
            <v>0</v>
          </cell>
          <cell r="CK601">
            <v>0</v>
          </cell>
          <cell r="CL601">
            <v>1</v>
          </cell>
          <cell r="CM601" t="str">
            <v>moved from 1.1</v>
          </cell>
        </row>
        <row r="602">
          <cell r="B602" t="str">
            <v>e-commerce</v>
          </cell>
          <cell r="D602">
            <v>2.2000000000000002</v>
          </cell>
          <cell r="I602">
            <v>7.0334000000000004E-3</v>
          </cell>
          <cell r="K602">
            <v>1.3213999999999999E-3</v>
          </cell>
          <cell r="CG602">
            <v>1</v>
          </cell>
          <cell r="CH602">
            <v>1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</row>
        <row r="603">
          <cell r="B603" t="str">
            <v>e-commerce</v>
          </cell>
          <cell r="D603">
            <v>2.2999999999999998</v>
          </cell>
          <cell r="I603">
            <v>2.3254E-2</v>
          </cell>
          <cell r="K603">
            <v>5.8142999999999997E-3</v>
          </cell>
          <cell r="CG603">
            <v>0</v>
          </cell>
          <cell r="CH603">
            <v>1</v>
          </cell>
          <cell r="CI603">
            <v>0</v>
          </cell>
          <cell r="CJ603">
            <v>0</v>
          </cell>
          <cell r="CK603">
            <v>0</v>
          </cell>
          <cell r="CL603">
            <v>1</v>
          </cell>
        </row>
        <row r="604">
          <cell r="B604" t="str">
            <v>e-commerce</v>
          </cell>
          <cell r="D604">
            <v>2.4</v>
          </cell>
          <cell r="I604">
            <v>1.7672E-3</v>
          </cell>
          <cell r="K604">
            <v>1.7122999999999999E-3</v>
          </cell>
          <cell r="CG604">
            <v>1</v>
          </cell>
          <cell r="CH604">
            <v>1</v>
          </cell>
          <cell r="CI604">
            <v>0</v>
          </cell>
          <cell r="CJ604">
            <v>0</v>
          </cell>
          <cell r="CK604">
            <v>0</v>
          </cell>
          <cell r="CL604">
            <v>1</v>
          </cell>
        </row>
        <row r="605">
          <cell r="B605" t="str">
            <v>e-commerce</v>
          </cell>
          <cell r="D605">
            <v>2.4</v>
          </cell>
          <cell r="I605">
            <v>0.74490000000000001</v>
          </cell>
          <cell r="K605">
            <v>1.0031999999999999E-2</v>
          </cell>
          <cell r="CG605">
            <v>1</v>
          </cell>
          <cell r="CH605">
            <v>1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</row>
        <row r="606">
          <cell r="B606" t="str">
            <v>e-commerce</v>
          </cell>
          <cell r="D606">
            <v>2.4</v>
          </cell>
          <cell r="I606">
            <v>5.9520999999999997</v>
          </cell>
          <cell r="K606">
            <v>5.6300999999999999E-3</v>
          </cell>
          <cell r="CG606">
            <v>0</v>
          </cell>
          <cell r="CH606">
            <v>1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</row>
        <row r="607">
          <cell r="B607" t="str">
            <v>e-commerce</v>
          </cell>
          <cell r="D607">
            <v>2.5</v>
          </cell>
          <cell r="I607">
            <v>0.29498999999999997</v>
          </cell>
          <cell r="K607">
            <v>5.6068000000000003E-3</v>
          </cell>
          <cell r="CG607">
            <v>0</v>
          </cell>
          <cell r="CH607">
            <v>1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</row>
        <row r="608">
          <cell r="B608" t="str">
            <v>e-commerce</v>
          </cell>
          <cell r="D608">
            <v>2.5</v>
          </cell>
          <cell r="I608">
            <v>0.30092999999999998</v>
          </cell>
          <cell r="K608">
            <v>7.1583000000000003E-3</v>
          </cell>
          <cell r="CG608">
            <v>1</v>
          </cell>
          <cell r="CH608">
            <v>1</v>
          </cell>
          <cell r="CI608">
            <v>0</v>
          </cell>
          <cell r="CJ608">
            <v>0</v>
          </cell>
          <cell r="CK608">
            <v>0</v>
          </cell>
          <cell r="CL608">
            <v>1</v>
          </cell>
        </row>
        <row r="609">
          <cell r="B609" t="str">
            <v>e-commerce</v>
          </cell>
          <cell r="D609">
            <v>2.5</v>
          </cell>
          <cell r="I609">
            <v>4.6133E-2</v>
          </cell>
          <cell r="K609">
            <v>8.8295000000000005E-3</v>
          </cell>
          <cell r="CG609">
            <v>1</v>
          </cell>
          <cell r="CH609">
            <v>1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</row>
        <row r="610">
          <cell r="B610" t="str">
            <v>e-commerce</v>
          </cell>
          <cell r="D610">
            <v>3.2</v>
          </cell>
          <cell r="I610">
            <v>6.1781000000000003E-2</v>
          </cell>
          <cell r="K610">
            <v>2.0833000000000001E-2</v>
          </cell>
          <cell r="CG610">
            <v>1</v>
          </cell>
          <cell r="CH610">
            <v>1</v>
          </cell>
          <cell r="CI610">
            <v>0</v>
          </cell>
          <cell r="CJ610">
            <v>0</v>
          </cell>
          <cell r="CK610">
            <v>0</v>
          </cell>
          <cell r="CL610">
            <v>1</v>
          </cell>
        </row>
        <row r="611">
          <cell r="B611" t="str">
            <v>e-commerce</v>
          </cell>
          <cell r="D611">
            <v>3.2</v>
          </cell>
          <cell r="I611">
            <v>1.3868E-2</v>
          </cell>
          <cell r="K611">
            <v>1.2666999999999999E-2</v>
          </cell>
          <cell r="CG611">
            <v>1</v>
          </cell>
          <cell r="CH611">
            <v>1</v>
          </cell>
          <cell r="CI611">
            <v>0</v>
          </cell>
          <cell r="CJ611">
            <v>0</v>
          </cell>
          <cell r="CK611">
            <v>0</v>
          </cell>
          <cell r="CL611">
            <v>1</v>
          </cell>
        </row>
        <row r="612">
          <cell r="B612" t="str">
            <v>e-commerce</v>
          </cell>
          <cell r="D612">
            <v>3.2</v>
          </cell>
          <cell r="I612">
            <v>1.5236E-2</v>
          </cell>
          <cell r="K612">
            <v>1.35E-2</v>
          </cell>
          <cell r="CG612">
            <v>1</v>
          </cell>
          <cell r="CH612">
            <v>1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</row>
        <row r="613">
          <cell r="B613" t="str">
            <v>e-commerce</v>
          </cell>
          <cell r="D613">
            <v>3.2</v>
          </cell>
          <cell r="I613">
            <v>2.6657E-2</v>
          </cell>
          <cell r="K613">
            <v>2.1999999999999999E-2</v>
          </cell>
          <cell r="CG613">
            <v>1</v>
          </cell>
          <cell r="CH613">
            <v>1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</row>
        <row r="614">
          <cell r="B614" t="str">
            <v>e-commerce</v>
          </cell>
          <cell r="D614">
            <v>3.2</v>
          </cell>
          <cell r="I614">
            <v>0.32865</v>
          </cell>
          <cell r="K614">
            <v>1.8499999999999999E-2</v>
          </cell>
          <cell r="CG614">
            <v>1</v>
          </cell>
          <cell r="CH614">
            <v>1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</row>
        <row r="615">
          <cell r="B615" t="str">
            <v>e-commerce</v>
          </cell>
          <cell r="D615">
            <v>3.2</v>
          </cell>
          <cell r="I615">
            <v>7.7094999999999997E-2</v>
          </cell>
          <cell r="K615">
            <v>3.4000000000000002E-2</v>
          </cell>
          <cell r="CG615">
            <v>1</v>
          </cell>
          <cell r="CH615">
            <v>1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</row>
        <row r="616">
          <cell r="B616" t="str">
            <v>e-commerce</v>
          </cell>
          <cell r="D616">
            <v>3.5</v>
          </cell>
          <cell r="I616">
            <v>0.12553</v>
          </cell>
          <cell r="K616">
            <v>17.646999999999998</v>
          </cell>
          <cell r="CG616">
            <v>1</v>
          </cell>
          <cell r="CH616">
            <v>1</v>
          </cell>
          <cell r="CI616">
            <v>0</v>
          </cell>
          <cell r="CJ616">
            <v>0</v>
          </cell>
          <cell r="CK616">
            <v>0</v>
          </cell>
          <cell r="CL616">
            <v>1</v>
          </cell>
        </row>
        <row r="617">
          <cell r="B617" t="str">
            <v>e-commerce</v>
          </cell>
          <cell r="D617">
            <v>3.5</v>
          </cell>
          <cell r="I617">
            <v>0.18787000000000001</v>
          </cell>
          <cell r="K617">
            <v>0.60750999999999999</v>
          </cell>
          <cell r="CG617">
            <v>1</v>
          </cell>
          <cell r="CH617">
            <v>1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</row>
        <row r="618">
          <cell r="B618" t="str">
            <v>e-commerce</v>
          </cell>
          <cell r="D618">
            <v>3.5</v>
          </cell>
          <cell r="I618">
            <v>0.52470000000000006</v>
          </cell>
          <cell r="K618">
            <v>1.5316000000000001</v>
          </cell>
          <cell r="CG618">
            <v>1</v>
          </cell>
          <cell r="CH618">
            <v>1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</row>
        <row r="619">
          <cell r="B619" t="str">
            <v>e-commerce</v>
          </cell>
          <cell r="D619">
            <v>3.5</v>
          </cell>
          <cell r="I619">
            <v>0.71767999999999998</v>
          </cell>
          <cell r="K619">
            <v>13.733000000000001</v>
          </cell>
          <cell r="CG619">
            <v>1</v>
          </cell>
          <cell r="CH619">
            <v>1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</row>
        <row r="620">
          <cell r="B620" t="str">
            <v>e-commerce</v>
          </cell>
          <cell r="D620">
            <v>3.5</v>
          </cell>
          <cell r="I620">
            <v>0.28348000000000001</v>
          </cell>
          <cell r="K620">
            <v>81.099000000000004</v>
          </cell>
          <cell r="CG620">
            <v>1</v>
          </cell>
          <cell r="CH620">
            <v>1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</row>
        <row r="621">
          <cell r="B621" t="str">
            <v>e-commerce</v>
          </cell>
          <cell r="D621">
            <v>3.5</v>
          </cell>
          <cell r="I621">
            <v>0.42724000000000001</v>
          </cell>
          <cell r="K621">
            <v>2.6103999999999998</v>
          </cell>
          <cell r="CG621">
            <v>1</v>
          </cell>
          <cell r="CH621">
            <v>1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</row>
        <row r="622">
          <cell r="B622" t="str">
            <v>e-commerce</v>
          </cell>
          <cell r="D622">
            <v>3.5</v>
          </cell>
          <cell r="I622">
            <v>0.12814999999999999</v>
          </cell>
          <cell r="K622">
            <v>247.27</v>
          </cell>
          <cell r="CG622">
            <v>1</v>
          </cell>
          <cell r="CH622">
            <v>1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</row>
        <row r="623">
          <cell r="B623" t="str">
            <v>e-commerce</v>
          </cell>
          <cell r="D623">
            <v>3.5</v>
          </cell>
          <cell r="I623">
            <v>0.12343</v>
          </cell>
          <cell r="K623">
            <v>17.436</v>
          </cell>
          <cell r="CG623">
            <v>1</v>
          </cell>
          <cell r="CH623">
            <v>1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</row>
        <row r="624">
          <cell r="B624" t="str">
            <v>e-commerce</v>
          </cell>
          <cell r="D624">
            <v>3.5</v>
          </cell>
          <cell r="I624">
            <v>0.12553</v>
          </cell>
          <cell r="K624">
            <v>17.646999999999998</v>
          </cell>
          <cell r="CG624">
            <v>1</v>
          </cell>
          <cell r="CH624">
            <v>1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</row>
        <row r="625">
          <cell r="B625" t="str">
            <v>e-commerce</v>
          </cell>
          <cell r="D625">
            <v>3.5</v>
          </cell>
          <cell r="I625">
            <v>9.3341999999999994E-2</v>
          </cell>
          <cell r="K625">
            <v>0.78864999999999996</v>
          </cell>
          <cell r="CG625">
            <v>1</v>
          </cell>
          <cell r="CH625">
            <v>1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</row>
        <row r="626">
          <cell r="B626" t="str">
            <v>e-commerce</v>
          </cell>
          <cell r="D626">
            <v>3.5</v>
          </cell>
          <cell r="I626">
            <v>0.25785999999999998</v>
          </cell>
          <cell r="K626">
            <v>13.051</v>
          </cell>
          <cell r="CG626">
            <v>1</v>
          </cell>
          <cell r="CH626">
            <v>1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</row>
        <row r="627">
          <cell r="B627" t="str">
            <v>e-commerce</v>
          </cell>
          <cell r="D627">
            <v>3.5</v>
          </cell>
          <cell r="I627">
            <v>0.22520999999999999</v>
          </cell>
          <cell r="K627">
            <v>1.6007</v>
          </cell>
          <cell r="CG627">
            <v>1</v>
          </cell>
          <cell r="CH627">
            <v>1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</row>
        <row r="628">
          <cell r="B628" t="str">
            <v>e-commerce</v>
          </cell>
          <cell r="D628">
            <v>3.5</v>
          </cell>
          <cell r="I628">
            <v>0.35547000000000001</v>
          </cell>
          <cell r="K628">
            <v>102.89</v>
          </cell>
          <cell r="CG628">
            <v>1</v>
          </cell>
          <cell r="CH628">
            <v>1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</row>
        <row r="629">
          <cell r="B629" t="str">
            <v>e-commerce</v>
          </cell>
          <cell r="D629">
            <v>3.5</v>
          </cell>
          <cell r="I629">
            <v>0.23066</v>
          </cell>
          <cell r="K629">
            <v>14.302</v>
          </cell>
          <cell r="CG629">
            <v>1</v>
          </cell>
          <cell r="CH629">
            <v>1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</row>
        <row r="630">
          <cell r="B630" t="str">
            <v>e-commerce</v>
          </cell>
          <cell r="D630">
            <v>3.5</v>
          </cell>
          <cell r="I630">
            <v>0.23332</v>
          </cell>
          <cell r="K630">
            <v>536.41999999999996</v>
          </cell>
          <cell r="CG630">
            <v>1</v>
          </cell>
          <cell r="CH630">
            <v>1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</row>
        <row r="631">
          <cell r="B631" t="str">
            <v>e-commerce</v>
          </cell>
          <cell r="D631">
            <v>3.5</v>
          </cell>
          <cell r="I631">
            <v>0.24318000000000001</v>
          </cell>
          <cell r="K631">
            <v>87.522000000000006</v>
          </cell>
          <cell r="CG631">
            <v>1</v>
          </cell>
          <cell r="CH631">
            <v>1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</row>
        <row r="632">
          <cell r="B632" t="str">
            <v>e-commerce</v>
          </cell>
          <cell r="D632">
            <v>3.5</v>
          </cell>
          <cell r="I632">
            <v>0.22761000000000001</v>
          </cell>
          <cell r="K632">
            <v>23.231000000000002</v>
          </cell>
          <cell r="CG632">
            <v>1</v>
          </cell>
          <cell r="CH632">
            <v>1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</row>
        <row r="633">
          <cell r="B633" t="str">
            <v>e-commerce</v>
          </cell>
          <cell r="D633">
            <v>3.5</v>
          </cell>
          <cell r="I633">
            <v>0.23313999999999999</v>
          </cell>
          <cell r="K633">
            <v>2.4885000000000002</v>
          </cell>
          <cell r="CG633">
            <v>1</v>
          </cell>
          <cell r="CH633">
            <v>1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</row>
        <row r="634">
          <cell r="B634" t="str">
            <v>e-commerce</v>
          </cell>
          <cell r="D634">
            <v>4.0999999999999996</v>
          </cell>
          <cell r="I634">
            <v>-0.36820999999999998</v>
          </cell>
          <cell r="K634">
            <v>-2.9479000000000002</v>
          </cell>
          <cell r="CG634">
            <v>1</v>
          </cell>
          <cell r="CH634">
            <v>1</v>
          </cell>
          <cell r="CI634">
            <v>0</v>
          </cell>
          <cell r="CJ634">
            <v>0</v>
          </cell>
          <cell r="CK634">
            <v>0</v>
          </cell>
          <cell r="CL634">
            <v>1</v>
          </cell>
        </row>
        <row r="635">
          <cell r="B635" t="str">
            <v>e-commerce</v>
          </cell>
          <cell r="D635">
            <v>4.0999999999999996</v>
          </cell>
          <cell r="CG635">
            <v>0</v>
          </cell>
          <cell r="CH635">
            <v>1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</row>
        <row r="636">
          <cell r="B636" t="str">
            <v>e-commerce</v>
          </cell>
          <cell r="D636">
            <v>4.3</v>
          </cell>
          <cell r="I636">
            <v>0.18898999999999999</v>
          </cell>
          <cell r="K636">
            <v>2.8131E-2</v>
          </cell>
          <cell r="CG636">
            <v>1</v>
          </cell>
          <cell r="CH636">
            <v>1</v>
          </cell>
          <cell r="CI636">
            <v>0</v>
          </cell>
          <cell r="CJ636">
            <v>0</v>
          </cell>
          <cell r="CK636">
            <v>0</v>
          </cell>
          <cell r="CL636">
            <v>1</v>
          </cell>
        </row>
        <row r="637">
          <cell r="B637" t="str">
            <v>e-commerce</v>
          </cell>
          <cell r="D637">
            <v>4.3</v>
          </cell>
          <cell r="I637">
            <v>0.21246000000000001</v>
          </cell>
          <cell r="K637">
            <v>1.7080999999999999E-2</v>
          </cell>
          <cell r="CG637">
            <v>0</v>
          </cell>
          <cell r="CH637">
            <v>1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</row>
        <row r="638">
          <cell r="B638" t="str">
            <v>e-commerce</v>
          </cell>
          <cell r="D638">
            <v>4.5</v>
          </cell>
          <cell r="I638">
            <v>0.20246</v>
          </cell>
          <cell r="K638">
            <v>2.7694E-2</v>
          </cell>
          <cell r="CG638">
            <v>1</v>
          </cell>
          <cell r="CH638">
            <v>1</v>
          </cell>
          <cell r="CI638">
            <v>0</v>
          </cell>
          <cell r="CJ638">
            <v>0</v>
          </cell>
          <cell r="CK638">
            <v>0</v>
          </cell>
          <cell r="CL638">
            <v>1</v>
          </cell>
        </row>
        <row r="639">
          <cell r="B639" t="str">
            <v>e-commerce</v>
          </cell>
          <cell r="D639">
            <v>1.1000000000000001</v>
          </cell>
          <cell r="I639">
            <v>0.15561</v>
          </cell>
          <cell r="K639">
            <v>35325</v>
          </cell>
          <cell r="CG639">
            <v>1</v>
          </cell>
          <cell r="CH639">
            <v>1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</row>
        <row r="640">
          <cell r="B640" t="str">
            <v>e-commerce</v>
          </cell>
          <cell r="D640">
            <v>1.1000000000000001</v>
          </cell>
          <cell r="I640">
            <v>0.13227</v>
          </cell>
          <cell r="K640">
            <v>6.2769999999999996E-3</v>
          </cell>
          <cell r="CG640">
            <v>1</v>
          </cell>
          <cell r="CH640">
            <v>1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</row>
        <row r="641">
          <cell r="B641" t="str">
            <v>e-commerce</v>
          </cell>
          <cell r="D641">
            <v>1.1000000000000001</v>
          </cell>
          <cell r="I641">
            <v>0.13227</v>
          </cell>
          <cell r="K641">
            <v>6.2769999999999996E-3</v>
          </cell>
          <cell r="CG641">
            <v>1</v>
          </cell>
          <cell r="CH641">
            <v>1</v>
          </cell>
          <cell r="CI641">
            <v>1</v>
          </cell>
          <cell r="CJ641">
            <v>1</v>
          </cell>
          <cell r="CK641">
            <v>0</v>
          </cell>
          <cell r="CL641">
            <v>0</v>
          </cell>
        </row>
        <row r="642">
          <cell r="B642" t="str">
            <v>e-commerce</v>
          </cell>
          <cell r="D642">
            <v>2.4</v>
          </cell>
          <cell r="I642">
            <v>0.68010000000000004</v>
          </cell>
          <cell r="K642">
            <v>6.0844999999999996E-3</v>
          </cell>
          <cell r="CG642">
            <v>0</v>
          </cell>
          <cell r="CH642">
            <v>1</v>
          </cell>
          <cell r="CI642">
            <v>0</v>
          </cell>
          <cell r="CJ642">
            <v>0</v>
          </cell>
          <cell r="CK642">
            <v>1</v>
          </cell>
          <cell r="CL642">
            <v>1</v>
          </cell>
        </row>
        <row r="643">
          <cell r="B643" t="str">
            <v>e-commerce</v>
          </cell>
          <cell r="D643">
            <v>2.4</v>
          </cell>
          <cell r="I643">
            <v>9.4342000000000002E-3</v>
          </cell>
          <cell r="K643">
            <v>5.9785000000000003E-3</v>
          </cell>
          <cell r="CG643">
            <v>1</v>
          </cell>
          <cell r="CH643">
            <v>1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</row>
        <row r="644">
          <cell r="B644" t="str">
            <v>e-commerce</v>
          </cell>
          <cell r="D644">
            <v>2.4</v>
          </cell>
          <cell r="I644">
            <v>0.14874999999999999</v>
          </cell>
          <cell r="K644">
            <v>1.1083000000000001E-2</v>
          </cell>
          <cell r="CG644">
            <v>1</v>
          </cell>
          <cell r="CH644">
            <v>1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</row>
        <row r="645">
          <cell r="B645" t="str">
            <v>e-commerce</v>
          </cell>
          <cell r="D645">
            <v>2.5</v>
          </cell>
          <cell r="K645">
            <v>2.1899999999999999E-2</v>
          </cell>
          <cell r="CG645">
            <v>0</v>
          </cell>
          <cell r="CH645">
            <v>1</v>
          </cell>
          <cell r="CI645">
            <v>0</v>
          </cell>
          <cell r="CJ645">
            <v>0</v>
          </cell>
          <cell r="CK645">
            <v>1</v>
          </cell>
          <cell r="CL645">
            <v>1</v>
          </cell>
        </row>
        <row r="646">
          <cell r="B646" t="str">
            <v>e-commerce</v>
          </cell>
          <cell r="D646">
            <v>3.5</v>
          </cell>
          <cell r="I646">
            <v>0.11914</v>
          </cell>
          <cell r="K646">
            <v>78.981999999999999</v>
          </cell>
          <cell r="CG646">
            <v>1</v>
          </cell>
          <cell r="CH646">
            <v>1</v>
          </cell>
          <cell r="CI646">
            <v>0</v>
          </cell>
          <cell r="CJ646">
            <v>0</v>
          </cell>
          <cell r="CK646">
            <v>1</v>
          </cell>
          <cell r="CL646">
            <v>1</v>
          </cell>
        </row>
        <row r="647">
          <cell r="B647" t="str">
            <v>e-commerce</v>
          </cell>
          <cell r="D647">
            <v>3.5</v>
          </cell>
          <cell r="I647">
            <v>0.17732000000000001</v>
          </cell>
          <cell r="K647">
            <v>2.6814</v>
          </cell>
          <cell r="CG647">
            <v>1</v>
          </cell>
          <cell r="CH647">
            <v>1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</row>
        <row r="648">
          <cell r="B648" t="str">
            <v>e-commerce</v>
          </cell>
          <cell r="D648">
            <v>3.5</v>
          </cell>
          <cell r="I648">
            <v>0.17402999999999999</v>
          </cell>
          <cell r="K648">
            <v>5.8510999999999997</v>
          </cell>
          <cell r="CG648">
            <v>1</v>
          </cell>
          <cell r="CH648">
            <v>1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</row>
        <row r="649">
          <cell r="B649" t="str">
            <v>e-commerce</v>
          </cell>
          <cell r="D649">
            <v>3.5</v>
          </cell>
          <cell r="I649">
            <v>3.5148999999999999</v>
          </cell>
          <cell r="K649">
            <v>125.05</v>
          </cell>
          <cell r="CG649">
            <v>1</v>
          </cell>
          <cell r="CH649">
            <v>1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</row>
        <row r="650">
          <cell r="B650" t="str">
            <v>e-commerce</v>
          </cell>
          <cell r="D650">
            <v>3.5</v>
          </cell>
          <cell r="I650">
            <v>0.38124999999999998</v>
          </cell>
          <cell r="K650">
            <v>897.33</v>
          </cell>
          <cell r="CG650">
            <v>1</v>
          </cell>
          <cell r="CH650">
            <v>1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</row>
        <row r="651">
          <cell r="B651" t="str">
            <v>e-commerce</v>
          </cell>
          <cell r="D651">
            <v>3.5</v>
          </cell>
          <cell r="I651">
            <v>0.15429000000000001</v>
          </cell>
          <cell r="K651">
            <v>10.689</v>
          </cell>
          <cell r="CG651">
            <v>1</v>
          </cell>
          <cell r="CH651">
            <v>1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</row>
        <row r="652">
          <cell r="B652" t="str">
            <v>e-commerce</v>
          </cell>
          <cell r="D652">
            <v>3.5</v>
          </cell>
          <cell r="I652">
            <v>0.12770000000000001</v>
          </cell>
          <cell r="K652">
            <v>1119</v>
          </cell>
          <cell r="CG652">
            <v>1</v>
          </cell>
          <cell r="CH652">
            <v>1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</row>
        <row r="653">
          <cell r="B653" t="str">
            <v>e-commerce</v>
          </cell>
          <cell r="D653">
            <v>3.5</v>
          </cell>
          <cell r="I653">
            <v>0.11914</v>
          </cell>
          <cell r="K653">
            <v>78.981999999999999</v>
          </cell>
          <cell r="CG653">
            <v>1</v>
          </cell>
          <cell r="CH653">
            <v>1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</row>
        <row r="654">
          <cell r="B654" t="str">
            <v>e-commerce</v>
          </cell>
          <cell r="D654">
            <v>3.5</v>
          </cell>
          <cell r="I654">
            <v>0.11914</v>
          </cell>
          <cell r="K654">
            <v>78.981999999999999</v>
          </cell>
          <cell r="CG654">
            <v>1</v>
          </cell>
          <cell r="CH654">
            <v>1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</row>
        <row r="655">
          <cell r="B655" t="str">
            <v>e-commerce</v>
          </cell>
          <cell r="D655">
            <v>3.5</v>
          </cell>
          <cell r="I655">
            <v>0.22262999999999999</v>
          </cell>
          <cell r="K655">
            <v>5.2286000000000001</v>
          </cell>
          <cell r="CG655">
            <v>1</v>
          </cell>
          <cell r="CH655">
            <v>1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</row>
        <row r="656">
          <cell r="B656" t="str">
            <v>e-commerce</v>
          </cell>
          <cell r="D656">
            <v>3.5</v>
          </cell>
          <cell r="I656">
            <v>0.13352</v>
          </cell>
          <cell r="K656">
            <v>73.17</v>
          </cell>
          <cell r="CG656">
            <v>1</v>
          </cell>
          <cell r="CH656">
            <v>1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</row>
        <row r="657">
          <cell r="B657" t="str">
            <v>e-commerce</v>
          </cell>
          <cell r="D657">
            <v>3.5</v>
          </cell>
          <cell r="I657">
            <v>0.10355</v>
          </cell>
          <cell r="K657">
            <v>6.0138999999999996</v>
          </cell>
          <cell r="CG657">
            <v>1</v>
          </cell>
          <cell r="CH657">
            <v>1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</row>
        <row r="658">
          <cell r="B658" t="str">
            <v>e-commerce</v>
          </cell>
          <cell r="D658">
            <v>3.5</v>
          </cell>
          <cell r="I658">
            <v>0.16502</v>
          </cell>
          <cell r="K658">
            <v>1242.5</v>
          </cell>
          <cell r="CG658">
            <v>1</v>
          </cell>
          <cell r="CH658">
            <v>1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</row>
        <row r="659">
          <cell r="B659" t="str">
            <v>e-commerce</v>
          </cell>
          <cell r="D659">
            <v>3.5</v>
          </cell>
          <cell r="I659">
            <v>0.1792</v>
          </cell>
          <cell r="K659">
            <v>144.62</v>
          </cell>
          <cell r="CG659">
            <v>1</v>
          </cell>
          <cell r="CH659">
            <v>1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</row>
        <row r="660">
          <cell r="B660" t="str">
            <v>e-commerce</v>
          </cell>
          <cell r="D660">
            <v>3.5</v>
          </cell>
          <cell r="I660">
            <v>0.12531999999999999</v>
          </cell>
          <cell r="K660">
            <v>9576.2000000000007</v>
          </cell>
          <cell r="CG660">
            <v>1</v>
          </cell>
          <cell r="CH660">
            <v>1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</row>
        <row r="661">
          <cell r="B661" t="str">
            <v>e-commerce</v>
          </cell>
          <cell r="D661">
            <v>3.5</v>
          </cell>
          <cell r="I661">
            <v>0.45277000000000001</v>
          </cell>
          <cell r="K661">
            <v>1046</v>
          </cell>
          <cell r="CG661">
            <v>1</v>
          </cell>
          <cell r="CH661">
            <v>1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</row>
        <row r="662">
          <cell r="B662" t="str">
            <v>e-commerce</v>
          </cell>
          <cell r="D662">
            <v>3.5</v>
          </cell>
          <cell r="I662">
            <v>0.12922</v>
          </cell>
          <cell r="K662">
            <v>134.68</v>
          </cell>
          <cell r="CG662">
            <v>1</v>
          </cell>
          <cell r="CH662">
            <v>1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</row>
        <row r="663">
          <cell r="B663" t="str">
            <v>e-commerce</v>
          </cell>
          <cell r="D663">
            <v>3.5</v>
          </cell>
          <cell r="I663">
            <v>9.9803000000000003E-2</v>
          </cell>
          <cell r="K663">
            <v>10.733000000000001</v>
          </cell>
          <cell r="CG663">
            <v>1</v>
          </cell>
          <cell r="CH663">
            <v>1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</row>
        <row r="664">
          <cell r="B664" t="str">
            <v>e-commerce</v>
          </cell>
          <cell r="D664">
            <v>4.0999999999999996</v>
          </cell>
          <cell r="I664">
            <v>-0.31189</v>
          </cell>
          <cell r="K664">
            <v>-2.83</v>
          </cell>
          <cell r="CG664">
            <v>1</v>
          </cell>
          <cell r="CH664">
            <v>1</v>
          </cell>
          <cell r="CI664">
            <v>0</v>
          </cell>
          <cell r="CJ664">
            <v>0</v>
          </cell>
          <cell r="CK664">
            <v>1</v>
          </cell>
          <cell r="CL664">
            <v>1</v>
          </cell>
        </row>
        <row r="665">
          <cell r="B665" t="str">
            <v>e-commerce</v>
          </cell>
          <cell r="D665">
            <v>4.0999999999999996</v>
          </cell>
          <cell r="CG665">
            <v>0</v>
          </cell>
          <cell r="CH665">
            <v>1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</row>
        <row r="666">
          <cell r="B666" t="str">
            <v>e-commerce</v>
          </cell>
          <cell r="D666">
            <v>4.3</v>
          </cell>
          <cell r="I666">
            <v>0.77786</v>
          </cell>
          <cell r="K666">
            <v>2.3865000000000001E-2</v>
          </cell>
          <cell r="CG666">
            <v>1</v>
          </cell>
          <cell r="CH666">
            <v>1</v>
          </cell>
          <cell r="CI666">
            <v>0</v>
          </cell>
          <cell r="CJ666">
            <v>0</v>
          </cell>
          <cell r="CK666">
            <v>1</v>
          </cell>
          <cell r="CL666">
            <v>1</v>
          </cell>
        </row>
        <row r="667">
          <cell r="B667" t="str">
            <v>e-commerce</v>
          </cell>
          <cell r="D667">
            <v>4.5</v>
          </cell>
          <cell r="I667">
            <v>9.1287999999999994E-2</v>
          </cell>
          <cell r="K667">
            <v>2.2102E-2</v>
          </cell>
          <cell r="CG667">
            <v>1</v>
          </cell>
          <cell r="CH667">
            <v>1</v>
          </cell>
          <cell r="CI667">
            <v>0</v>
          </cell>
          <cell r="CJ667">
            <v>0</v>
          </cell>
          <cell r="CK667">
            <v>1</v>
          </cell>
          <cell r="CL667">
            <v>1</v>
          </cell>
        </row>
        <row r="668">
          <cell r="B668" t="str">
            <v>e-government</v>
          </cell>
          <cell r="D668">
            <v>1.1000000000000001</v>
          </cell>
          <cell r="I668">
            <v>0.21301999999999999</v>
          </cell>
          <cell r="K668">
            <v>3.1073E-2</v>
          </cell>
          <cell r="CG668">
            <v>1</v>
          </cell>
          <cell r="CH668">
            <v>1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</row>
        <row r="669">
          <cell r="B669" t="str">
            <v>e-government</v>
          </cell>
          <cell r="D669">
            <v>1.1000000000000001</v>
          </cell>
          <cell r="I669">
            <v>0.16775000000000001</v>
          </cell>
          <cell r="K669">
            <v>2.5069000000000001E-2</v>
          </cell>
          <cell r="CG669">
            <v>1</v>
          </cell>
          <cell r="CH669">
            <v>1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</row>
        <row r="670">
          <cell r="B670" t="str">
            <v>e-government</v>
          </cell>
          <cell r="D670">
            <v>1.1000000000000001</v>
          </cell>
          <cell r="I670">
            <v>0.18195</v>
          </cell>
          <cell r="K670">
            <v>4.3445999999999999E-2</v>
          </cell>
          <cell r="CG670">
            <v>1</v>
          </cell>
          <cell r="CH670">
            <v>1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</row>
        <row r="671">
          <cell r="B671" t="str">
            <v>e-government</v>
          </cell>
          <cell r="D671">
            <v>1.1000000000000001</v>
          </cell>
          <cell r="I671">
            <v>0.21301999999999999</v>
          </cell>
          <cell r="K671">
            <v>3.1073E-2</v>
          </cell>
          <cell r="CG671">
            <v>1</v>
          </cell>
          <cell r="CH671">
            <v>1</v>
          </cell>
          <cell r="CI671">
            <v>0</v>
          </cell>
          <cell r="CJ671">
            <v>1</v>
          </cell>
          <cell r="CK671">
            <v>0</v>
          </cell>
          <cell r="CL671">
            <v>0</v>
          </cell>
        </row>
        <row r="672">
          <cell r="B672" t="str">
            <v>e-government</v>
          </cell>
          <cell r="D672">
            <v>2.2000000000000002</v>
          </cell>
          <cell r="I672">
            <v>9.7471000000000002E-2</v>
          </cell>
          <cell r="K672">
            <v>5.8208000000000001E-3</v>
          </cell>
          <cell r="CG672">
            <v>1</v>
          </cell>
          <cell r="CH672">
            <v>1</v>
          </cell>
          <cell r="CI672">
            <v>0</v>
          </cell>
          <cell r="CJ672">
            <v>0</v>
          </cell>
          <cell r="CK672">
            <v>0</v>
          </cell>
          <cell r="CL672">
            <v>1</v>
          </cell>
        </row>
        <row r="673">
          <cell r="B673" t="str">
            <v>e-government</v>
          </cell>
          <cell r="D673">
            <v>2.4</v>
          </cell>
          <cell r="I673">
            <v>-0.25917000000000001</v>
          </cell>
          <cell r="K673">
            <v>-1.1049E-2</v>
          </cell>
          <cell r="CG673">
            <v>0</v>
          </cell>
          <cell r="CH673">
            <v>1</v>
          </cell>
          <cell r="CI673">
            <v>0</v>
          </cell>
          <cell r="CJ673">
            <v>0</v>
          </cell>
          <cell r="CK673">
            <v>0</v>
          </cell>
          <cell r="CL673">
            <v>1</v>
          </cell>
        </row>
        <row r="674">
          <cell r="B674" t="str">
            <v>e-government</v>
          </cell>
          <cell r="D674">
            <v>2.5</v>
          </cell>
          <cell r="I674">
            <v>3.6332999999999997E-2</v>
          </cell>
          <cell r="K674">
            <v>2.1314E-2</v>
          </cell>
          <cell r="CG674">
            <v>1</v>
          </cell>
          <cell r="CH674">
            <v>1</v>
          </cell>
          <cell r="CI674">
            <v>0</v>
          </cell>
          <cell r="CJ674">
            <v>0</v>
          </cell>
          <cell r="CK674">
            <v>0</v>
          </cell>
          <cell r="CL674">
            <v>1</v>
          </cell>
        </row>
        <row r="675">
          <cell r="B675" t="str">
            <v>e-government</v>
          </cell>
          <cell r="D675">
            <v>2.5</v>
          </cell>
          <cell r="I675">
            <v>2.0771999999999999E-2</v>
          </cell>
          <cell r="K675">
            <v>1.583E-2</v>
          </cell>
          <cell r="CG675">
            <v>1</v>
          </cell>
          <cell r="CH675">
            <v>1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</row>
        <row r="676">
          <cell r="B676" t="str">
            <v>e-government</v>
          </cell>
          <cell r="D676">
            <v>2.9</v>
          </cell>
          <cell r="I676">
            <v>0.27188000000000001</v>
          </cell>
          <cell r="K676">
            <v>4.4489000000000001E-2</v>
          </cell>
          <cell r="CG676">
            <v>1</v>
          </cell>
          <cell r="CH676">
            <v>1</v>
          </cell>
          <cell r="CI676">
            <v>0</v>
          </cell>
          <cell r="CJ676">
            <v>0</v>
          </cell>
          <cell r="CK676">
            <v>0</v>
          </cell>
          <cell r="CL676">
            <v>1</v>
          </cell>
        </row>
        <row r="677">
          <cell r="B677" t="str">
            <v>e-government</v>
          </cell>
          <cell r="D677">
            <v>4.0999999999999996</v>
          </cell>
          <cell r="I677">
            <v>34.543999999999997</v>
          </cell>
          <cell r="K677">
            <v>1.7584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</row>
        <row r="678">
          <cell r="B678" t="str">
            <v>e-government</v>
          </cell>
          <cell r="D678">
            <v>4.0999999999999996</v>
          </cell>
          <cell r="I678">
            <v>16.853999999999999</v>
          </cell>
          <cell r="K678">
            <v>6.6666999999999996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1</v>
          </cell>
        </row>
        <row r="679">
          <cell r="B679" t="str">
            <v>e-government</v>
          </cell>
          <cell r="D679">
            <v>4.5</v>
          </cell>
          <cell r="I679">
            <v>0.32040999999999997</v>
          </cell>
          <cell r="K679">
            <v>4.0429E-2</v>
          </cell>
          <cell r="CG679">
            <v>1</v>
          </cell>
          <cell r="CH679">
            <v>1</v>
          </cell>
          <cell r="CI679">
            <v>0</v>
          </cell>
          <cell r="CJ679">
            <v>0</v>
          </cell>
          <cell r="CK679">
            <v>0</v>
          </cell>
          <cell r="CL679">
            <v>1</v>
          </cell>
        </row>
        <row r="680">
          <cell r="B680" t="str">
            <v>e-government</v>
          </cell>
          <cell r="D680">
            <v>3.3</v>
          </cell>
          <cell r="I680">
            <v>0.54767999999999994</v>
          </cell>
          <cell r="K680">
            <v>24.204999999999998</v>
          </cell>
          <cell r="CG680">
            <v>1</v>
          </cell>
          <cell r="CH680">
            <v>1</v>
          </cell>
          <cell r="CI680">
            <v>0</v>
          </cell>
          <cell r="CJ680">
            <v>0</v>
          </cell>
          <cell r="CK680">
            <v>1</v>
          </cell>
          <cell r="CL680">
            <v>1</v>
          </cell>
        </row>
        <row r="681">
          <cell r="B681" t="str">
            <v>e-government</v>
          </cell>
          <cell r="D681">
            <v>1.1000000000000001</v>
          </cell>
          <cell r="I681">
            <v>6.1190000000000001E-2</v>
          </cell>
          <cell r="K681">
            <v>2.9055999999999998E-2</v>
          </cell>
          <cell r="CG681">
            <v>1</v>
          </cell>
          <cell r="CH681">
            <v>1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</row>
        <row r="682">
          <cell r="B682" t="str">
            <v>e-government</v>
          </cell>
          <cell r="D682">
            <v>1.1000000000000001</v>
          </cell>
          <cell r="I682">
            <v>0.12634999999999999</v>
          </cell>
          <cell r="K682">
            <v>2.9669000000000001E-2</v>
          </cell>
          <cell r="CG682">
            <v>1</v>
          </cell>
          <cell r="CH682">
            <v>1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</row>
        <row r="683">
          <cell r="B683" t="str">
            <v>e-government</v>
          </cell>
          <cell r="D683">
            <v>1.1000000000000001</v>
          </cell>
          <cell r="I683">
            <v>0.12107</v>
          </cell>
          <cell r="K683">
            <v>2.9055999999999998E-2</v>
          </cell>
          <cell r="CG683">
            <v>1</v>
          </cell>
          <cell r="CH683">
            <v>1</v>
          </cell>
          <cell r="CI683">
            <v>0</v>
          </cell>
          <cell r="CJ683">
            <v>1</v>
          </cell>
          <cell r="CK683">
            <v>0</v>
          </cell>
          <cell r="CL683">
            <v>0</v>
          </cell>
        </row>
        <row r="684">
          <cell r="B684" t="str">
            <v>e-government</v>
          </cell>
          <cell r="D684">
            <v>2.2000000000000002</v>
          </cell>
          <cell r="I684">
            <v>0.19464000000000001</v>
          </cell>
          <cell r="K684">
            <v>3.6465E-3</v>
          </cell>
          <cell r="CG684">
            <v>1</v>
          </cell>
          <cell r="CH684">
            <v>1</v>
          </cell>
          <cell r="CI684">
            <v>0</v>
          </cell>
          <cell r="CJ684">
            <v>0</v>
          </cell>
          <cell r="CK684">
            <v>0</v>
          </cell>
          <cell r="CL684">
            <v>1</v>
          </cell>
        </row>
        <row r="685">
          <cell r="B685" t="str">
            <v>e-government</v>
          </cell>
          <cell r="D685">
            <v>2.4</v>
          </cell>
          <cell r="I685">
            <v>-7.6871999999999996E-2</v>
          </cell>
          <cell r="K685">
            <v>-6.7213999999999998E-3</v>
          </cell>
          <cell r="CG685">
            <v>1</v>
          </cell>
          <cell r="CH685">
            <v>1</v>
          </cell>
          <cell r="CI685">
            <v>0</v>
          </cell>
          <cell r="CJ685">
            <v>0</v>
          </cell>
          <cell r="CK685">
            <v>0</v>
          </cell>
          <cell r="CL685">
            <v>1</v>
          </cell>
        </row>
        <row r="686">
          <cell r="B686" t="str">
            <v>e-government</v>
          </cell>
          <cell r="D686">
            <v>2.5</v>
          </cell>
          <cell r="I686">
            <v>4.2183999999999999E-2</v>
          </cell>
          <cell r="K686">
            <v>1.7822000000000001E-2</v>
          </cell>
          <cell r="CG686">
            <v>1</v>
          </cell>
          <cell r="CH686">
            <v>1</v>
          </cell>
          <cell r="CI686">
            <v>0</v>
          </cell>
          <cell r="CJ686">
            <v>0</v>
          </cell>
          <cell r="CK686">
            <v>0</v>
          </cell>
          <cell r="CL686">
            <v>1</v>
          </cell>
        </row>
        <row r="687">
          <cell r="B687" t="str">
            <v>e-government</v>
          </cell>
          <cell r="D687">
            <v>2.5</v>
          </cell>
          <cell r="I687">
            <v>1.7340999999999999E-2</v>
          </cell>
          <cell r="K687">
            <v>1.0647E-2</v>
          </cell>
          <cell r="CG687">
            <v>1</v>
          </cell>
          <cell r="CH687">
            <v>1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</row>
        <row r="688">
          <cell r="B688" t="str">
            <v>e-government</v>
          </cell>
          <cell r="D688">
            <v>2.9</v>
          </cell>
          <cell r="I688">
            <v>0.31103999999999998</v>
          </cell>
          <cell r="K688">
            <v>4.0008000000000002E-2</v>
          </cell>
          <cell r="CG688">
            <v>1</v>
          </cell>
          <cell r="CH688">
            <v>1</v>
          </cell>
          <cell r="CI688">
            <v>0</v>
          </cell>
          <cell r="CJ688">
            <v>0</v>
          </cell>
          <cell r="CK688">
            <v>0</v>
          </cell>
          <cell r="CL688">
            <v>1</v>
          </cell>
        </row>
        <row r="689">
          <cell r="B689" t="str">
            <v>e-government</v>
          </cell>
          <cell r="D689">
            <v>4.0999999999999996</v>
          </cell>
          <cell r="I689">
            <v>0.47859000000000002</v>
          </cell>
          <cell r="K689">
            <v>1.0973999999999999</v>
          </cell>
          <cell r="CG689">
            <v>1</v>
          </cell>
          <cell r="CH689">
            <v>1</v>
          </cell>
          <cell r="CI689">
            <v>0</v>
          </cell>
          <cell r="CJ689">
            <v>0</v>
          </cell>
          <cell r="CK689">
            <v>0</v>
          </cell>
          <cell r="CL689">
            <v>1</v>
          </cell>
        </row>
        <row r="690">
          <cell r="B690" t="str">
            <v>e-government</v>
          </cell>
          <cell r="D690">
            <v>4.0999999999999996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</row>
        <row r="691">
          <cell r="B691" t="str">
            <v>e-government</v>
          </cell>
          <cell r="D691">
            <v>4.5</v>
          </cell>
          <cell r="I691">
            <v>0.32040999999999997</v>
          </cell>
          <cell r="K691">
            <v>4.0429E-2</v>
          </cell>
          <cell r="CG691">
            <v>1</v>
          </cell>
          <cell r="CH691">
            <v>1</v>
          </cell>
          <cell r="CI691">
            <v>0</v>
          </cell>
          <cell r="CJ691">
            <v>0</v>
          </cell>
          <cell r="CK691">
            <v>0</v>
          </cell>
          <cell r="CL691">
            <v>1</v>
          </cell>
        </row>
        <row r="692">
          <cell r="B692" t="str">
            <v>e-government</v>
          </cell>
          <cell r="D692">
            <v>1.1000000000000001</v>
          </cell>
          <cell r="I692">
            <v>0.30710999999999999</v>
          </cell>
          <cell r="K692">
            <v>3.1525999999999998E-2</v>
          </cell>
          <cell r="CG692">
            <v>1</v>
          </cell>
          <cell r="CH692">
            <v>1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</row>
        <row r="693">
          <cell r="B693" t="str">
            <v>e-government</v>
          </cell>
          <cell r="D693">
            <v>1.1000000000000001</v>
          </cell>
          <cell r="I693">
            <v>0.28414</v>
          </cell>
          <cell r="K693">
            <v>3.3411999999999997E-2</v>
          </cell>
          <cell r="CG693">
            <v>1</v>
          </cell>
          <cell r="CH693">
            <v>1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</row>
        <row r="694">
          <cell r="B694" t="str">
            <v>e-government</v>
          </cell>
          <cell r="D694">
            <v>1.1000000000000001</v>
          </cell>
          <cell r="I694">
            <v>0.19328000000000001</v>
          </cell>
          <cell r="K694">
            <v>4.4646999999999999E-2</v>
          </cell>
          <cell r="CG694">
            <v>1</v>
          </cell>
          <cell r="CH694">
            <v>1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</row>
        <row r="695">
          <cell r="B695" t="str">
            <v>e-government</v>
          </cell>
          <cell r="D695">
            <v>1.1000000000000001</v>
          </cell>
          <cell r="I695">
            <v>0.30710999999999999</v>
          </cell>
          <cell r="K695">
            <v>3.1525999999999998E-2</v>
          </cell>
          <cell r="CG695">
            <v>1</v>
          </cell>
          <cell r="CH695">
            <v>1</v>
          </cell>
          <cell r="CI695">
            <v>0</v>
          </cell>
          <cell r="CJ695">
            <v>1</v>
          </cell>
          <cell r="CK695">
            <v>0</v>
          </cell>
          <cell r="CL695">
            <v>0</v>
          </cell>
        </row>
        <row r="696">
          <cell r="B696" t="str">
            <v>e-government</v>
          </cell>
          <cell r="D696">
            <v>2.2000000000000002</v>
          </cell>
          <cell r="I696">
            <v>0.11922000000000001</v>
          </cell>
          <cell r="K696">
            <v>5.2455999999999996E-3</v>
          </cell>
          <cell r="CG696">
            <v>1</v>
          </cell>
          <cell r="CH696">
            <v>1</v>
          </cell>
          <cell r="CI696">
            <v>0</v>
          </cell>
          <cell r="CJ696">
            <v>0</v>
          </cell>
          <cell r="CK696">
            <v>0</v>
          </cell>
          <cell r="CL696">
            <v>1</v>
          </cell>
        </row>
        <row r="697">
          <cell r="B697" t="str">
            <v>e-government</v>
          </cell>
          <cell r="D697">
            <v>2.4</v>
          </cell>
          <cell r="I697">
            <v>-0.13375999999999999</v>
          </cell>
          <cell r="K697">
            <v>-1.4344000000000001E-2</v>
          </cell>
          <cell r="CG697">
            <v>1</v>
          </cell>
          <cell r="CH697">
            <v>1</v>
          </cell>
          <cell r="CI697">
            <v>0</v>
          </cell>
          <cell r="CJ697">
            <v>0</v>
          </cell>
          <cell r="CK697">
            <v>0</v>
          </cell>
          <cell r="CL697">
            <v>1</v>
          </cell>
        </row>
        <row r="698">
          <cell r="B698" t="str">
            <v>e-government</v>
          </cell>
          <cell r="D698">
            <v>2.5</v>
          </cell>
          <cell r="I698">
            <v>0.21306</v>
          </cell>
          <cell r="K698">
            <v>3.2513E-2</v>
          </cell>
          <cell r="CG698">
            <v>1</v>
          </cell>
          <cell r="CH698">
            <v>1</v>
          </cell>
          <cell r="CI698">
            <v>0</v>
          </cell>
          <cell r="CJ698">
            <v>0</v>
          </cell>
          <cell r="CK698">
            <v>0</v>
          </cell>
          <cell r="CL698">
            <v>1</v>
          </cell>
        </row>
        <row r="699">
          <cell r="B699" t="str">
            <v>e-government</v>
          </cell>
          <cell r="D699">
            <v>2.5</v>
          </cell>
          <cell r="I699">
            <v>3.5645000000000003E-2</v>
          </cell>
          <cell r="K699">
            <v>1.5559E-2</v>
          </cell>
          <cell r="CG699">
            <v>1</v>
          </cell>
          <cell r="CH699">
            <v>1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</row>
        <row r="700">
          <cell r="B700" t="str">
            <v>e-government</v>
          </cell>
          <cell r="D700">
            <v>2.9</v>
          </cell>
          <cell r="I700">
            <v>0.38697999999999999</v>
          </cell>
          <cell r="K700">
            <v>4.5144999999999998E-2</v>
          </cell>
          <cell r="CG700">
            <v>1</v>
          </cell>
          <cell r="CH700">
            <v>1</v>
          </cell>
          <cell r="CI700">
            <v>0</v>
          </cell>
          <cell r="CJ700">
            <v>0</v>
          </cell>
          <cell r="CK700">
            <v>0</v>
          </cell>
          <cell r="CL700">
            <v>1</v>
          </cell>
        </row>
        <row r="701">
          <cell r="B701" t="str">
            <v>e-government</v>
          </cell>
          <cell r="D701">
            <v>4.0999999999999996</v>
          </cell>
          <cell r="I701">
            <v>24.826000000000001</v>
          </cell>
          <cell r="K701">
            <v>-1.2299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1</v>
          </cell>
        </row>
        <row r="702">
          <cell r="B702" t="str">
            <v>e-government</v>
          </cell>
          <cell r="D702">
            <v>4.0999999999999996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</row>
        <row r="703">
          <cell r="B703" t="str">
            <v>e-government</v>
          </cell>
          <cell r="D703">
            <v>4.5</v>
          </cell>
          <cell r="I703">
            <v>0.39332</v>
          </cell>
          <cell r="K703">
            <v>4.6427000000000003E-2</v>
          </cell>
          <cell r="CG703">
            <v>1</v>
          </cell>
          <cell r="CH703">
            <v>1</v>
          </cell>
          <cell r="CI703">
            <v>0</v>
          </cell>
          <cell r="CJ703">
            <v>0</v>
          </cell>
          <cell r="CK703">
            <v>0</v>
          </cell>
          <cell r="CL703">
            <v>1</v>
          </cell>
        </row>
        <row r="704">
          <cell r="B704" t="str">
            <v>e-government</v>
          </cell>
          <cell r="D704">
            <v>1.1000000000000001</v>
          </cell>
          <cell r="I704">
            <v>0.20707</v>
          </cell>
          <cell r="K704">
            <v>2.2006999999999999E-2</v>
          </cell>
          <cell r="CG704">
            <v>1</v>
          </cell>
          <cell r="CH704">
            <v>1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</row>
        <row r="705">
          <cell r="B705" t="str">
            <v>e-government</v>
          </cell>
          <cell r="D705">
            <v>1.1000000000000001</v>
          </cell>
          <cell r="I705">
            <v>0.62866999999999995</v>
          </cell>
          <cell r="K705">
            <v>1.6138E-2</v>
          </cell>
          <cell r="CG705">
            <v>1</v>
          </cell>
          <cell r="CH705">
            <v>1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</row>
        <row r="706">
          <cell r="B706" t="str">
            <v>e-government</v>
          </cell>
          <cell r="D706">
            <v>1.1000000000000001</v>
          </cell>
          <cell r="I706">
            <v>0.45728999999999997</v>
          </cell>
          <cell r="K706">
            <v>1.2965000000000001E-2</v>
          </cell>
          <cell r="CG706">
            <v>1</v>
          </cell>
          <cell r="CH706">
            <v>1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</row>
        <row r="707">
          <cell r="B707" t="str">
            <v>e-government</v>
          </cell>
          <cell r="D707">
            <v>1.1000000000000001</v>
          </cell>
          <cell r="I707">
            <v>0.20707</v>
          </cell>
          <cell r="K707">
            <v>2.2006999999999999E-2</v>
          </cell>
          <cell r="CG707">
            <v>1</v>
          </cell>
          <cell r="CH707">
            <v>1</v>
          </cell>
          <cell r="CI707">
            <v>0</v>
          </cell>
          <cell r="CJ707">
            <v>1</v>
          </cell>
          <cell r="CK707">
            <v>0</v>
          </cell>
          <cell r="CL707">
            <v>0</v>
          </cell>
        </row>
        <row r="708">
          <cell r="B708" t="str">
            <v>e-government</v>
          </cell>
          <cell r="D708">
            <v>2.2000000000000002</v>
          </cell>
          <cell r="I708">
            <v>4.2102000000000001E-2</v>
          </cell>
          <cell r="K708">
            <v>1.6724000000000001E-3</v>
          </cell>
          <cell r="CG708">
            <v>1</v>
          </cell>
          <cell r="CH708">
            <v>1</v>
          </cell>
          <cell r="CI708">
            <v>0</v>
          </cell>
          <cell r="CJ708">
            <v>0</v>
          </cell>
          <cell r="CK708">
            <v>0</v>
          </cell>
          <cell r="CL708">
            <v>1</v>
          </cell>
        </row>
        <row r="709">
          <cell r="B709" t="str">
            <v>e-government</v>
          </cell>
          <cell r="D709">
            <v>2.4</v>
          </cell>
          <cell r="I709">
            <v>-0.1036</v>
          </cell>
          <cell r="K709">
            <v>-8.5754000000000004E-3</v>
          </cell>
          <cell r="CG709">
            <v>1</v>
          </cell>
          <cell r="CH709">
            <v>1</v>
          </cell>
          <cell r="CI709">
            <v>0</v>
          </cell>
          <cell r="CJ709">
            <v>0</v>
          </cell>
          <cell r="CK709">
            <v>0</v>
          </cell>
          <cell r="CL709">
            <v>1</v>
          </cell>
        </row>
        <row r="710">
          <cell r="B710" t="str">
            <v>e-government</v>
          </cell>
          <cell r="D710">
            <v>2.5</v>
          </cell>
          <cell r="I710">
            <v>0.16258</v>
          </cell>
          <cell r="K710">
            <v>3.2530999999999997E-2</v>
          </cell>
          <cell r="CG710">
            <v>1</v>
          </cell>
          <cell r="CH710">
            <v>1</v>
          </cell>
          <cell r="CI710">
            <v>0</v>
          </cell>
          <cell r="CJ710">
            <v>0</v>
          </cell>
          <cell r="CK710">
            <v>0</v>
          </cell>
          <cell r="CL710">
            <v>1</v>
          </cell>
        </row>
        <row r="711">
          <cell r="B711" t="str">
            <v>e-government</v>
          </cell>
          <cell r="D711">
            <v>2.5</v>
          </cell>
          <cell r="I711">
            <v>6.5560999999999994E-2</v>
          </cell>
          <cell r="K711">
            <v>2.3674000000000001E-2</v>
          </cell>
          <cell r="CG711">
            <v>1</v>
          </cell>
          <cell r="CH711">
            <v>1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</row>
        <row r="712">
          <cell r="B712" t="str">
            <v>e-government</v>
          </cell>
          <cell r="D712">
            <v>2.9</v>
          </cell>
          <cell r="I712">
            <v>0.20111999999999999</v>
          </cell>
          <cell r="K712">
            <v>3.1109000000000001E-2</v>
          </cell>
          <cell r="CG712">
            <v>1</v>
          </cell>
          <cell r="CH712">
            <v>1</v>
          </cell>
          <cell r="CI712">
            <v>0</v>
          </cell>
          <cell r="CJ712">
            <v>0</v>
          </cell>
          <cell r="CK712">
            <v>0</v>
          </cell>
          <cell r="CL712">
            <v>1</v>
          </cell>
        </row>
        <row r="713">
          <cell r="B713" t="str">
            <v>e-government</v>
          </cell>
          <cell r="D713">
            <v>4.0999999999999996</v>
          </cell>
          <cell r="I713">
            <v>15.066000000000001</v>
          </cell>
          <cell r="K713">
            <v>3.2806999999999999</v>
          </cell>
          <cell r="CG713">
            <v>1</v>
          </cell>
          <cell r="CH713">
            <v>1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</row>
        <row r="714">
          <cell r="B714" t="str">
            <v>e-government</v>
          </cell>
          <cell r="D714">
            <v>4.0999999999999996</v>
          </cell>
          <cell r="I714">
            <v>0.62480999999999998</v>
          </cell>
          <cell r="K714">
            <v>2.9119000000000002</v>
          </cell>
          <cell r="CG714">
            <v>1</v>
          </cell>
          <cell r="CH714">
            <v>1</v>
          </cell>
          <cell r="CI714">
            <v>0</v>
          </cell>
          <cell r="CJ714">
            <v>0</v>
          </cell>
          <cell r="CK714">
            <v>0</v>
          </cell>
          <cell r="CL714">
            <v>1</v>
          </cell>
        </row>
        <row r="715">
          <cell r="B715" t="str">
            <v>e-government</v>
          </cell>
          <cell r="D715">
            <v>4.5</v>
          </cell>
          <cell r="I715">
            <v>0.30674000000000001</v>
          </cell>
          <cell r="K715">
            <v>4.2605999999999998E-2</v>
          </cell>
          <cell r="CG715">
            <v>1</v>
          </cell>
          <cell r="CH715">
            <v>1</v>
          </cell>
          <cell r="CI715">
            <v>0</v>
          </cell>
          <cell r="CJ715">
            <v>0</v>
          </cell>
          <cell r="CK715">
            <v>0</v>
          </cell>
          <cell r="CL715">
            <v>1</v>
          </cell>
        </row>
        <row r="716">
          <cell r="B716" t="str">
            <v>e-government</v>
          </cell>
          <cell r="D716">
            <v>1.1000000000000001</v>
          </cell>
          <cell r="I716">
            <v>0.29596</v>
          </cell>
          <cell r="K716">
            <v>1.4876E-2</v>
          </cell>
          <cell r="CG716">
            <v>1</v>
          </cell>
          <cell r="CH716">
            <v>1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</row>
        <row r="717">
          <cell r="B717" t="str">
            <v>e-government</v>
          </cell>
          <cell r="D717">
            <v>1.1000000000000001</v>
          </cell>
          <cell r="I717">
            <v>0.38644000000000001</v>
          </cell>
          <cell r="K717">
            <v>1.866E-2</v>
          </cell>
          <cell r="CG717">
            <v>0</v>
          </cell>
          <cell r="CH717">
            <v>1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</row>
        <row r="718">
          <cell r="B718" t="str">
            <v>e-government</v>
          </cell>
          <cell r="D718">
            <v>1.1000000000000001</v>
          </cell>
          <cell r="I718">
            <v>8.9627999999999999E-2</v>
          </cell>
          <cell r="K718">
            <v>3.8788999999999997E-2</v>
          </cell>
          <cell r="CG718">
            <v>1</v>
          </cell>
          <cell r="CH718">
            <v>1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</row>
        <row r="719">
          <cell r="B719" t="str">
            <v>e-government</v>
          </cell>
          <cell r="D719">
            <v>1.1000000000000001</v>
          </cell>
          <cell r="I719">
            <v>0.29596</v>
          </cell>
          <cell r="K719">
            <v>1.4876E-2</v>
          </cell>
          <cell r="CG719">
            <v>1</v>
          </cell>
          <cell r="CH719">
            <v>1</v>
          </cell>
          <cell r="CI719">
            <v>1</v>
          </cell>
          <cell r="CJ719">
            <v>1</v>
          </cell>
          <cell r="CK719">
            <v>0</v>
          </cell>
          <cell r="CL719">
            <v>0</v>
          </cell>
        </row>
        <row r="720">
          <cell r="B720" t="str">
            <v>e-government</v>
          </cell>
          <cell r="D720">
            <v>2.2000000000000002</v>
          </cell>
          <cell r="I720">
            <v>0.15179000000000001</v>
          </cell>
          <cell r="K720">
            <v>7.1752999999999999E-3</v>
          </cell>
          <cell r="CG720">
            <v>1</v>
          </cell>
          <cell r="CH720">
            <v>1</v>
          </cell>
          <cell r="CI720">
            <v>0</v>
          </cell>
          <cell r="CJ720">
            <v>0</v>
          </cell>
          <cell r="CK720">
            <v>1</v>
          </cell>
          <cell r="CL720">
            <v>1</v>
          </cell>
        </row>
        <row r="721">
          <cell r="B721" t="str">
            <v>e-government</v>
          </cell>
          <cell r="D721">
            <v>2.4</v>
          </cell>
          <cell r="I721">
            <v>-3.4829000000000001E-3</v>
          </cell>
          <cell r="K721">
            <v>-3.985E-5</v>
          </cell>
          <cell r="CG721">
            <v>0</v>
          </cell>
          <cell r="CH721">
            <v>1</v>
          </cell>
          <cell r="CI721">
            <v>0</v>
          </cell>
          <cell r="CJ721">
            <v>0</v>
          </cell>
          <cell r="CK721">
            <v>1</v>
          </cell>
          <cell r="CL721">
            <v>1</v>
          </cell>
        </row>
        <row r="722">
          <cell r="B722" t="str">
            <v>e-government</v>
          </cell>
          <cell r="D722">
            <v>2.5</v>
          </cell>
          <cell r="I722">
            <v>0.33078999999999997</v>
          </cell>
          <cell r="K722">
            <v>1.4231000000000001E-2</v>
          </cell>
          <cell r="CG722">
            <v>0</v>
          </cell>
          <cell r="CH722">
            <v>1</v>
          </cell>
          <cell r="CI722">
            <v>0</v>
          </cell>
          <cell r="CJ722">
            <v>0</v>
          </cell>
          <cell r="CK722">
            <v>1</v>
          </cell>
          <cell r="CL722">
            <v>1</v>
          </cell>
        </row>
        <row r="723">
          <cell r="B723" t="str">
            <v>e-government</v>
          </cell>
          <cell r="D723">
            <v>2.5</v>
          </cell>
          <cell r="I723">
            <v>3.4790000000000001</v>
          </cell>
          <cell r="K723">
            <v>1.0696000000000001E-2</v>
          </cell>
          <cell r="CG723">
            <v>0</v>
          </cell>
          <cell r="CH723">
            <v>1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</row>
        <row r="724">
          <cell r="B724" t="str">
            <v>e-government</v>
          </cell>
          <cell r="D724">
            <v>2.9</v>
          </cell>
          <cell r="I724">
            <v>0.28728999999999999</v>
          </cell>
          <cell r="K724">
            <v>2.4657999999999999E-2</v>
          </cell>
          <cell r="CG724">
            <v>1</v>
          </cell>
          <cell r="CH724">
            <v>1</v>
          </cell>
          <cell r="CI724">
            <v>0</v>
          </cell>
          <cell r="CJ724">
            <v>0</v>
          </cell>
          <cell r="CK724">
            <v>1</v>
          </cell>
          <cell r="CL724">
            <v>1</v>
          </cell>
        </row>
        <row r="725">
          <cell r="B725" t="str">
            <v>e-government</v>
          </cell>
          <cell r="D725">
            <v>4.0999999999999996</v>
          </cell>
          <cell r="I725">
            <v>0.31414999999999998</v>
          </cell>
          <cell r="K725">
            <v>4.4413999999999998</v>
          </cell>
          <cell r="CG725">
            <v>1</v>
          </cell>
          <cell r="CH725">
            <v>1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</row>
        <row r="726">
          <cell r="B726" t="str">
            <v>e-government</v>
          </cell>
          <cell r="D726">
            <v>4.0999999999999996</v>
          </cell>
          <cell r="I726">
            <v>0.22799</v>
          </cell>
          <cell r="K726">
            <v>4.2309000000000001</v>
          </cell>
          <cell r="CG726">
            <v>1</v>
          </cell>
          <cell r="CH726">
            <v>1</v>
          </cell>
          <cell r="CI726">
            <v>0</v>
          </cell>
          <cell r="CJ726">
            <v>0</v>
          </cell>
          <cell r="CK726">
            <v>1</v>
          </cell>
          <cell r="CL726">
            <v>1</v>
          </cell>
        </row>
        <row r="727">
          <cell r="B727" t="str">
            <v>e-government</v>
          </cell>
          <cell r="D727">
            <v>4.5</v>
          </cell>
          <cell r="I727">
            <v>0.52334000000000003</v>
          </cell>
          <cell r="K727">
            <v>2.5146000000000002E-2</v>
          </cell>
          <cell r="CG727">
            <v>1</v>
          </cell>
          <cell r="CH727">
            <v>1</v>
          </cell>
          <cell r="CI727">
            <v>0</v>
          </cell>
          <cell r="CJ727">
            <v>0</v>
          </cell>
          <cell r="CK727">
            <v>1</v>
          </cell>
          <cell r="CL727">
            <v>1</v>
          </cell>
        </row>
        <row r="728">
          <cell r="B728" t="str">
            <v>e-government</v>
          </cell>
          <cell r="D728">
            <v>1.1000000000000001</v>
          </cell>
          <cell r="I728">
            <v>3.2086999999999997E-2</v>
          </cell>
          <cell r="K728">
            <v>1.5379E-2</v>
          </cell>
          <cell r="CG728">
            <v>1</v>
          </cell>
          <cell r="CH728">
            <v>1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</row>
        <row r="729">
          <cell r="B729" t="str">
            <v>e-government</v>
          </cell>
          <cell r="D729">
            <v>1.1000000000000001</v>
          </cell>
          <cell r="I729">
            <v>2.6365E-2</v>
          </cell>
          <cell r="K729">
            <v>9.6786000000000007E-3</v>
          </cell>
          <cell r="CG729">
            <v>1</v>
          </cell>
          <cell r="CH729">
            <v>1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</row>
        <row r="730">
          <cell r="B730" t="str">
            <v>e-government</v>
          </cell>
          <cell r="D730">
            <v>1.1000000000000001</v>
          </cell>
          <cell r="I730">
            <v>0.12404</v>
          </cell>
          <cell r="K730">
            <v>2.3234999999999999E-2</v>
          </cell>
          <cell r="CG730">
            <v>1</v>
          </cell>
          <cell r="CH730">
            <v>1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</row>
        <row r="731">
          <cell r="B731" t="str">
            <v>e-government</v>
          </cell>
          <cell r="D731">
            <v>1.1000000000000001</v>
          </cell>
          <cell r="I731">
            <v>6.2164999999999998E-2</v>
          </cell>
          <cell r="K731">
            <v>1.5379E-2</v>
          </cell>
          <cell r="CG731">
            <v>1</v>
          </cell>
          <cell r="CH731">
            <v>1</v>
          </cell>
          <cell r="CI731">
            <v>0</v>
          </cell>
          <cell r="CJ731">
            <v>1</v>
          </cell>
          <cell r="CK731">
            <v>0</v>
          </cell>
          <cell r="CL731">
            <v>0</v>
          </cell>
        </row>
        <row r="732">
          <cell r="B732" t="str">
            <v>e-government</v>
          </cell>
          <cell r="D732">
            <v>2.2000000000000002</v>
          </cell>
          <cell r="I732">
            <v>6.3210000000000002E-2</v>
          </cell>
          <cell r="K732">
            <v>1.7078E-3</v>
          </cell>
          <cell r="CG732">
            <v>1</v>
          </cell>
          <cell r="CH732">
            <v>1</v>
          </cell>
          <cell r="CI732">
            <v>0</v>
          </cell>
          <cell r="CJ732">
            <v>0</v>
          </cell>
          <cell r="CK732">
            <v>0</v>
          </cell>
          <cell r="CL732">
            <v>1</v>
          </cell>
        </row>
        <row r="733">
          <cell r="B733" t="str">
            <v>e-government</v>
          </cell>
          <cell r="D733">
            <v>2.4</v>
          </cell>
          <cell r="I733">
            <v>-5.1409999999999997E-2</v>
          </cell>
          <cell r="K733">
            <v>-2.0395999999999999E-3</v>
          </cell>
          <cell r="CG733">
            <v>1</v>
          </cell>
          <cell r="CH733">
            <v>1</v>
          </cell>
          <cell r="CI733">
            <v>0</v>
          </cell>
          <cell r="CJ733">
            <v>0</v>
          </cell>
          <cell r="CK733">
            <v>0</v>
          </cell>
          <cell r="CL733">
            <v>1</v>
          </cell>
        </row>
        <row r="734">
          <cell r="B734" t="str">
            <v>e-government</v>
          </cell>
          <cell r="D734">
            <v>2.5</v>
          </cell>
          <cell r="I734">
            <v>37.667000000000002</v>
          </cell>
          <cell r="K734">
            <v>1.456E-2</v>
          </cell>
          <cell r="CG734">
            <v>0</v>
          </cell>
          <cell r="CH734">
            <v>1</v>
          </cell>
          <cell r="CI734">
            <v>0</v>
          </cell>
          <cell r="CJ734">
            <v>0</v>
          </cell>
          <cell r="CK734">
            <v>0</v>
          </cell>
          <cell r="CL734">
            <v>1</v>
          </cell>
        </row>
        <row r="735">
          <cell r="B735" t="str">
            <v>e-government</v>
          </cell>
          <cell r="D735">
            <v>2.5</v>
          </cell>
          <cell r="I735">
            <v>20.401</v>
          </cell>
          <cell r="K735">
            <v>1.5458E-2</v>
          </cell>
          <cell r="CG735">
            <v>1</v>
          </cell>
          <cell r="CH735">
            <v>1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</row>
        <row r="736">
          <cell r="B736" t="str">
            <v>e-government</v>
          </cell>
          <cell r="D736">
            <v>2.9</v>
          </cell>
          <cell r="I736">
            <v>0.18895000000000001</v>
          </cell>
          <cell r="K736">
            <v>3.1401999999999999E-2</v>
          </cell>
          <cell r="CG736">
            <v>1</v>
          </cell>
          <cell r="CH736">
            <v>1</v>
          </cell>
          <cell r="CI736">
            <v>0</v>
          </cell>
          <cell r="CJ736">
            <v>0</v>
          </cell>
          <cell r="CK736">
            <v>0</v>
          </cell>
          <cell r="CL736">
            <v>1</v>
          </cell>
        </row>
        <row r="737">
          <cell r="B737" t="str">
            <v>e-government</v>
          </cell>
          <cell r="D737">
            <v>4.0999999999999996</v>
          </cell>
          <cell r="I737">
            <v>0.14057</v>
          </cell>
          <cell r="K737">
            <v>4.0917000000000003</v>
          </cell>
          <cell r="CG737">
            <v>1</v>
          </cell>
          <cell r="CH737">
            <v>1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</row>
        <row r="738">
          <cell r="B738" t="str">
            <v>e-government</v>
          </cell>
          <cell r="D738">
            <v>4.0999999999999996</v>
          </cell>
          <cell r="I738">
            <v>0.14324999999999999</v>
          </cell>
          <cell r="K738">
            <v>3.8085</v>
          </cell>
          <cell r="CG738">
            <v>1</v>
          </cell>
          <cell r="CH738">
            <v>1</v>
          </cell>
          <cell r="CI738">
            <v>0</v>
          </cell>
          <cell r="CJ738">
            <v>0</v>
          </cell>
          <cell r="CK738">
            <v>0</v>
          </cell>
          <cell r="CL738">
            <v>1</v>
          </cell>
        </row>
        <row r="739">
          <cell r="B739" t="str">
            <v>e-government</v>
          </cell>
          <cell r="D739">
            <v>4.5</v>
          </cell>
          <cell r="I739">
            <v>0.49182999999999999</v>
          </cell>
          <cell r="K739">
            <v>5.1837000000000001E-2</v>
          </cell>
          <cell r="CG739">
            <v>1</v>
          </cell>
          <cell r="CH739">
            <v>1</v>
          </cell>
          <cell r="CI739">
            <v>0</v>
          </cell>
          <cell r="CJ739">
            <v>0</v>
          </cell>
          <cell r="CK739">
            <v>0</v>
          </cell>
          <cell r="CL739">
            <v>1</v>
          </cell>
        </row>
        <row r="740">
          <cell r="B740" t="str">
            <v>energy community</v>
          </cell>
          <cell r="D740">
            <v>3.3</v>
          </cell>
          <cell r="I740">
            <v>0.22255</v>
          </cell>
          <cell r="K740">
            <v>195.47</v>
          </cell>
          <cell r="CG740">
            <v>1</v>
          </cell>
          <cell r="CH740">
            <v>1</v>
          </cell>
          <cell r="CI740">
            <v>0</v>
          </cell>
          <cell r="CJ740">
            <v>0</v>
          </cell>
          <cell r="CK740">
            <v>1</v>
          </cell>
          <cell r="CL740">
            <v>1</v>
          </cell>
        </row>
        <row r="741">
          <cell r="B741" t="str">
            <v>energy community</v>
          </cell>
          <cell r="D741">
            <v>1.1000000000000001</v>
          </cell>
          <cell r="I741">
            <v>0.27762999999999999</v>
          </cell>
          <cell r="K741">
            <v>11742</v>
          </cell>
          <cell r="CG741">
            <v>1</v>
          </cell>
          <cell r="CH741">
            <v>1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</row>
        <row r="742">
          <cell r="B742" t="str">
            <v>energy community</v>
          </cell>
          <cell r="D742">
            <v>1.1000000000000001</v>
          </cell>
          <cell r="I742">
            <v>0.28641</v>
          </cell>
          <cell r="K742">
            <v>1.3669000000000001E-3</v>
          </cell>
          <cell r="CG742">
            <v>1</v>
          </cell>
          <cell r="CH742">
            <v>1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</row>
        <row r="743">
          <cell r="B743" t="str">
            <v>energy community</v>
          </cell>
          <cell r="D743">
            <v>1.1000000000000001</v>
          </cell>
          <cell r="I743">
            <v>0.49976999999999999</v>
          </cell>
          <cell r="K743">
            <v>22.417000000000002</v>
          </cell>
          <cell r="CG743">
            <v>1</v>
          </cell>
          <cell r="CH743">
            <v>1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</row>
        <row r="744">
          <cell r="B744" t="str">
            <v>energy community</v>
          </cell>
          <cell r="D744">
            <v>1.1000000000000001</v>
          </cell>
          <cell r="I744">
            <v>0.43106</v>
          </cell>
          <cell r="K744">
            <v>13.009</v>
          </cell>
          <cell r="CG744">
            <v>1</v>
          </cell>
          <cell r="CH744">
            <v>1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</row>
        <row r="745">
          <cell r="B745" t="str">
            <v>energy community</v>
          </cell>
          <cell r="D745">
            <v>1.1000000000000001</v>
          </cell>
          <cell r="I745">
            <v>0.43876999999999999</v>
          </cell>
          <cell r="K745">
            <v>1.4686000000000001E-4</v>
          </cell>
          <cell r="CG745">
            <v>1</v>
          </cell>
          <cell r="CH745">
            <v>1</v>
          </cell>
          <cell r="CI745">
            <v>1</v>
          </cell>
          <cell r="CJ745">
            <v>1</v>
          </cell>
          <cell r="CK745">
            <v>0</v>
          </cell>
          <cell r="CL745">
            <v>0</v>
          </cell>
        </row>
        <row r="746">
          <cell r="B746" t="str">
            <v>energy community</v>
          </cell>
          <cell r="D746">
            <v>2.5</v>
          </cell>
          <cell r="I746">
            <v>0.42413000000000001</v>
          </cell>
          <cell r="K746">
            <v>1.8495999999999999E-2</v>
          </cell>
          <cell r="CG746">
            <v>1</v>
          </cell>
          <cell r="CH746">
            <v>1</v>
          </cell>
          <cell r="CI746">
            <v>0</v>
          </cell>
          <cell r="CJ746">
            <v>0</v>
          </cell>
          <cell r="CK746">
            <v>1</v>
          </cell>
          <cell r="CL746">
            <v>1</v>
          </cell>
        </row>
        <row r="747">
          <cell r="B747" t="str">
            <v>energy community</v>
          </cell>
          <cell r="D747">
            <v>2.5</v>
          </cell>
          <cell r="I747">
            <v>0.83909</v>
          </cell>
          <cell r="K747">
            <v>3.1692000000000001E-3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</row>
        <row r="748">
          <cell r="B748" t="str">
            <v>energy community</v>
          </cell>
          <cell r="D748">
            <v>2.95</v>
          </cell>
          <cell r="I748">
            <v>1.5142</v>
          </cell>
          <cell r="K748">
            <v>17.341999999999999</v>
          </cell>
          <cell r="CG748">
            <v>1</v>
          </cell>
          <cell r="CH748">
            <v>1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</row>
        <row r="749">
          <cell r="B749" t="str">
            <v>energy community</v>
          </cell>
          <cell r="D749">
            <v>2.95</v>
          </cell>
          <cell r="I749">
            <v>1.5601</v>
          </cell>
          <cell r="K749">
            <v>400.62</v>
          </cell>
          <cell r="CG749">
            <v>1</v>
          </cell>
          <cell r="CH749">
            <v>1</v>
          </cell>
          <cell r="CI749">
            <v>0</v>
          </cell>
          <cell r="CJ749">
            <v>0</v>
          </cell>
          <cell r="CK749">
            <v>1</v>
          </cell>
          <cell r="CL749">
            <v>1</v>
          </cell>
        </row>
        <row r="750">
          <cell r="B750" t="str">
            <v>energy community</v>
          </cell>
          <cell r="D750">
            <v>2.95</v>
          </cell>
          <cell r="I750">
            <v>0.46129999999999999</v>
          </cell>
          <cell r="K750">
            <v>0.51405999999999996</v>
          </cell>
          <cell r="CG750">
            <v>1</v>
          </cell>
          <cell r="CH750">
            <v>1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</row>
        <row r="751">
          <cell r="B751" t="str">
            <v>energy community</v>
          </cell>
          <cell r="D751">
            <v>2.9</v>
          </cell>
          <cell r="I751">
            <v>0.34125</v>
          </cell>
          <cell r="K751">
            <v>11.727</v>
          </cell>
          <cell r="CG751">
            <v>1</v>
          </cell>
          <cell r="CH751">
            <v>1</v>
          </cell>
          <cell r="CI751">
            <v>0</v>
          </cell>
          <cell r="CJ751">
            <v>0</v>
          </cell>
          <cell r="CK751">
            <v>1</v>
          </cell>
          <cell r="CL751">
            <v>1</v>
          </cell>
        </row>
        <row r="752">
          <cell r="B752" t="str">
            <v>energy community</v>
          </cell>
          <cell r="D752">
            <v>4.0999999999999996</v>
          </cell>
          <cell r="I752">
            <v>17.486000000000001</v>
          </cell>
          <cell r="K752">
            <v>0.82857000000000003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1</v>
          </cell>
          <cell r="CL752">
            <v>1</v>
          </cell>
        </row>
        <row r="753">
          <cell r="B753" t="str">
            <v>energy community</v>
          </cell>
          <cell r="D753">
            <v>4.0999999999999996</v>
          </cell>
          <cell r="I753">
            <v>18.919</v>
          </cell>
          <cell r="K753">
            <v>50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</row>
        <row r="754">
          <cell r="B754" t="str">
            <v>firm ESG reporting</v>
          </cell>
          <cell r="D754">
            <v>1.1000000000000001</v>
          </cell>
          <cell r="I754">
            <v>0.81408999999999998</v>
          </cell>
          <cell r="K754">
            <v>14.679</v>
          </cell>
          <cell r="CG754">
            <v>1</v>
          </cell>
          <cell r="CH754">
            <v>1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</row>
        <row r="755">
          <cell r="B755" t="str">
            <v>firm ESG reporting</v>
          </cell>
          <cell r="D755">
            <v>1.1000000000000001</v>
          </cell>
          <cell r="I755">
            <v>0.34955000000000003</v>
          </cell>
          <cell r="K755">
            <v>4.0062E-2</v>
          </cell>
          <cell r="CG755">
            <v>1</v>
          </cell>
          <cell r="CH755">
            <v>1</v>
          </cell>
          <cell r="CI755">
            <v>0</v>
          </cell>
          <cell r="CJ755">
            <v>1</v>
          </cell>
          <cell r="CK755">
            <v>0</v>
          </cell>
          <cell r="CL755">
            <v>0</v>
          </cell>
          <cell r="CS755">
            <v>1</v>
          </cell>
          <cell r="CT755">
            <v>0.34955000000000003</v>
          </cell>
          <cell r="CU755">
            <v>4.0062E-2</v>
          </cell>
        </row>
        <row r="756">
          <cell r="B756" t="str">
            <v>firm ESG reporting</v>
          </cell>
          <cell r="D756">
            <v>1.1000000000000001</v>
          </cell>
          <cell r="I756">
            <v>0.31002999999999997</v>
          </cell>
          <cell r="K756">
            <v>88.777000000000001</v>
          </cell>
          <cell r="CG756">
            <v>1</v>
          </cell>
          <cell r="CH756">
            <v>1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</row>
        <row r="757">
          <cell r="B757" t="str">
            <v>firm ESG reporting</v>
          </cell>
          <cell r="D757">
            <v>1.1000000000000001</v>
          </cell>
          <cell r="I757">
            <v>0.41926000000000002</v>
          </cell>
          <cell r="K757">
            <v>5.2095000000000002E-2</v>
          </cell>
          <cell r="CG757">
            <v>1</v>
          </cell>
          <cell r="CH757">
            <v>1</v>
          </cell>
          <cell r="CI757">
            <v>0</v>
          </cell>
          <cell r="CJ757">
            <v>1</v>
          </cell>
          <cell r="CK757">
            <v>0</v>
          </cell>
          <cell r="CL757">
            <v>0</v>
          </cell>
          <cell r="CS757">
            <v>1</v>
          </cell>
          <cell r="CT757">
            <v>0.41926000000000002</v>
          </cell>
          <cell r="CU757">
            <v>5.2095000000000002E-2</v>
          </cell>
        </row>
        <row r="758">
          <cell r="B758" t="str">
            <v>firm ESG reporting</v>
          </cell>
          <cell r="D758">
            <v>1.1000000000000001</v>
          </cell>
          <cell r="I758">
            <v>0.39011000000000001</v>
          </cell>
          <cell r="K758">
            <v>96.989000000000004</v>
          </cell>
          <cell r="CG758">
            <v>1</v>
          </cell>
          <cell r="CH758">
            <v>1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</row>
        <row r="759">
          <cell r="B759" t="str">
            <v>firm ESG reporting</v>
          </cell>
          <cell r="D759">
            <v>1.1000000000000001</v>
          </cell>
          <cell r="I759">
            <v>0.39011000000000001</v>
          </cell>
          <cell r="K759">
            <v>5.2482000000000001E-2</v>
          </cell>
          <cell r="CG759">
            <v>1</v>
          </cell>
          <cell r="CH759">
            <v>1</v>
          </cell>
          <cell r="CI759">
            <v>1</v>
          </cell>
          <cell r="CJ759">
            <v>1</v>
          </cell>
          <cell r="CK759">
            <v>0</v>
          </cell>
          <cell r="CL759">
            <v>0</v>
          </cell>
        </row>
        <row r="760">
          <cell r="B760" t="str">
            <v>firm ESG reporting</v>
          </cell>
          <cell r="D760">
            <v>1.1000000000000001</v>
          </cell>
          <cell r="I760">
            <v>1.4836</v>
          </cell>
          <cell r="K760">
            <v>7.8333E-2</v>
          </cell>
          <cell r="CG760">
            <v>1</v>
          </cell>
          <cell r="CH760">
            <v>1</v>
          </cell>
          <cell r="CI760">
            <v>0</v>
          </cell>
          <cell r="CJ760">
            <v>1</v>
          </cell>
          <cell r="CK760">
            <v>0</v>
          </cell>
          <cell r="CL760">
            <v>0</v>
          </cell>
        </row>
        <row r="761">
          <cell r="B761" t="str">
            <v>firm ESG reporting</v>
          </cell>
          <cell r="D761">
            <v>1.1000000000000001</v>
          </cell>
          <cell r="I761">
            <v>3.7499999999999999E-2</v>
          </cell>
          <cell r="K761">
            <v>14.167</v>
          </cell>
          <cell r="CG761">
            <v>0</v>
          </cell>
          <cell r="CH761">
            <v>1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</row>
        <row r="762">
          <cell r="B762" t="str">
            <v>firm ESG reporting</v>
          </cell>
          <cell r="D762">
            <v>1.1000000000000001</v>
          </cell>
          <cell r="I762">
            <v>0.26388</v>
          </cell>
          <cell r="K762">
            <v>2.6831000000000001E-2</v>
          </cell>
          <cell r="CG762">
            <v>1</v>
          </cell>
          <cell r="CH762">
            <v>1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</row>
        <row r="763">
          <cell r="B763" t="str">
            <v>firm ESG reporting</v>
          </cell>
          <cell r="D763">
            <v>1.1000000000000001</v>
          </cell>
          <cell r="I763">
            <v>0.41225000000000001</v>
          </cell>
          <cell r="K763">
            <v>281.79000000000002</v>
          </cell>
          <cell r="CG763">
            <v>1</v>
          </cell>
          <cell r="CH763">
            <v>1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</row>
        <row r="764">
          <cell r="B764" t="str">
            <v>firm ESG reporting</v>
          </cell>
          <cell r="D764">
            <v>3.3</v>
          </cell>
          <cell r="I764">
            <v>0.42760999999999999</v>
          </cell>
          <cell r="K764">
            <v>5.5068999999999999</v>
          </cell>
          <cell r="CG764">
            <v>1</v>
          </cell>
          <cell r="CH764">
            <v>1</v>
          </cell>
          <cell r="CI764">
            <v>0</v>
          </cell>
          <cell r="CJ764">
            <v>0</v>
          </cell>
          <cell r="CK764">
            <v>1</v>
          </cell>
          <cell r="CL764">
            <v>1</v>
          </cell>
        </row>
        <row r="765">
          <cell r="B765" t="str">
            <v>firm ESG reporting</v>
          </cell>
          <cell r="D765">
            <v>4.0999999999999996</v>
          </cell>
          <cell r="I765">
            <v>2.5405000000000002</v>
          </cell>
          <cell r="K765">
            <v>4.6840999999999999</v>
          </cell>
          <cell r="CG765">
            <v>1</v>
          </cell>
          <cell r="CH765">
            <v>1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</row>
        <row r="766">
          <cell r="B766" t="str">
            <v>firm ESG reporting</v>
          </cell>
          <cell r="D766">
            <v>4.0999999999999996</v>
          </cell>
          <cell r="I766">
            <v>3.1143999999999998</v>
          </cell>
          <cell r="K766">
            <v>4.6917999999999997</v>
          </cell>
          <cell r="CG766">
            <v>1</v>
          </cell>
          <cell r="CH766">
            <v>1</v>
          </cell>
          <cell r="CI766">
            <v>0</v>
          </cell>
          <cell r="CJ766">
            <v>0</v>
          </cell>
          <cell r="CK766">
            <v>0</v>
          </cell>
          <cell r="CL766">
            <v>1</v>
          </cell>
        </row>
        <row r="767">
          <cell r="B767" t="str">
            <v>firm ESG reporting</v>
          </cell>
          <cell r="D767">
            <v>4.2</v>
          </cell>
          <cell r="I767">
            <v>-0.34410000000000002</v>
          </cell>
          <cell r="K767">
            <v>-4.1241E-2</v>
          </cell>
          <cell r="CG767">
            <v>1</v>
          </cell>
          <cell r="CH767">
            <v>1</v>
          </cell>
          <cell r="CI767">
            <v>0</v>
          </cell>
          <cell r="CJ767">
            <v>0</v>
          </cell>
          <cell r="CK767">
            <v>0</v>
          </cell>
          <cell r="CL767">
            <v>1</v>
          </cell>
        </row>
        <row r="768">
          <cell r="B768" t="str">
            <v>firm ESG reporting</v>
          </cell>
          <cell r="D768">
            <v>4.2</v>
          </cell>
          <cell r="I768">
            <v>3.1800999999999999</v>
          </cell>
          <cell r="K768">
            <v>3.7388999999999999E-2</v>
          </cell>
          <cell r="CG768">
            <v>0</v>
          </cell>
          <cell r="CH768">
            <v>1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</row>
        <row r="769">
          <cell r="B769" t="str">
            <v>firm ESG reporting</v>
          </cell>
          <cell r="D769">
            <v>1.1000000000000001</v>
          </cell>
          <cell r="I769">
            <v>0.50710999999999995</v>
          </cell>
          <cell r="K769">
            <v>57.404000000000003</v>
          </cell>
          <cell r="CG769">
            <v>1</v>
          </cell>
          <cell r="CH769">
            <v>1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</row>
        <row r="770">
          <cell r="B770" t="str">
            <v>firm ESG reporting</v>
          </cell>
          <cell r="D770">
            <v>1.1000000000000001</v>
          </cell>
          <cell r="I770">
            <v>0.81408999999999998</v>
          </cell>
          <cell r="K770">
            <v>5.5716000000000002E-2</v>
          </cell>
          <cell r="CG770">
            <v>1</v>
          </cell>
          <cell r="CH770">
            <v>1</v>
          </cell>
          <cell r="CI770">
            <v>0</v>
          </cell>
          <cell r="CJ770">
            <v>1</v>
          </cell>
          <cell r="CK770">
            <v>0</v>
          </cell>
          <cell r="CL770">
            <v>0</v>
          </cell>
          <cell r="CO770" t="str">
            <v>foo_glo_4.1Sal_d239_m153</v>
          </cell>
          <cell r="CP770" t="e">
            <v>#N/A</v>
          </cell>
          <cell r="CQ770">
            <v>2</v>
          </cell>
          <cell r="CS770">
            <v>1</v>
          </cell>
          <cell r="CT770">
            <v>0.81408999999999998</v>
          </cell>
          <cell r="CU770">
            <v>5.5716000000000002E-2</v>
          </cell>
        </row>
        <row r="771">
          <cell r="B771" t="str">
            <v>firm ESG reporting</v>
          </cell>
          <cell r="D771">
            <v>1.1000000000000001</v>
          </cell>
          <cell r="I771">
            <v>0.32090999999999997</v>
          </cell>
          <cell r="K771">
            <v>56.752000000000002</v>
          </cell>
          <cell r="CG771">
            <v>0</v>
          </cell>
          <cell r="CH771">
            <v>1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</row>
        <row r="772">
          <cell r="B772" t="str">
            <v>firm ESG reporting</v>
          </cell>
          <cell r="D772">
            <v>1.1000000000000001</v>
          </cell>
          <cell r="I772">
            <v>0.98282000000000003</v>
          </cell>
          <cell r="K772">
            <v>15.769</v>
          </cell>
          <cell r="CG772">
            <v>1</v>
          </cell>
          <cell r="CH772">
            <v>1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</row>
        <row r="773">
          <cell r="B773" t="str">
            <v>food waste reduction</v>
          </cell>
          <cell r="D773">
            <v>1.1000000000000001</v>
          </cell>
          <cell r="I773">
            <v>5.9403999999999998E-2</v>
          </cell>
          <cell r="K773">
            <v>5.2423999999999999</v>
          </cell>
          <cell r="CG773">
            <v>0</v>
          </cell>
          <cell r="CH773">
            <v>1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</row>
        <row r="774">
          <cell r="B774" t="str">
            <v>food waste reduction</v>
          </cell>
          <cell r="D774">
            <v>3.3</v>
          </cell>
          <cell r="I774">
            <v>0.29887000000000002</v>
          </cell>
          <cell r="K774">
            <v>46.62</v>
          </cell>
          <cell r="CG774">
            <v>1</v>
          </cell>
          <cell r="CH774">
            <v>1</v>
          </cell>
          <cell r="CI774">
            <v>0</v>
          </cell>
          <cell r="CJ774">
            <v>0</v>
          </cell>
          <cell r="CK774">
            <v>1</v>
          </cell>
          <cell r="CL774">
            <v>1</v>
          </cell>
        </row>
        <row r="775">
          <cell r="B775" t="str">
            <v>food waste reduction</v>
          </cell>
          <cell r="D775">
            <v>4.0999999999999996</v>
          </cell>
          <cell r="I775">
            <v>0.28050000000000003</v>
          </cell>
          <cell r="K775">
            <v>5.2934000000000001</v>
          </cell>
          <cell r="CG775">
            <v>1</v>
          </cell>
          <cell r="CH775">
            <v>1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</row>
        <row r="776">
          <cell r="B776" t="str">
            <v>food waste reduction</v>
          </cell>
          <cell r="D776">
            <v>4.0999999999999996</v>
          </cell>
          <cell r="I776">
            <v>0.25014999999999998</v>
          </cell>
          <cell r="K776">
            <v>4.9569000000000001</v>
          </cell>
          <cell r="CG776">
            <v>1</v>
          </cell>
          <cell r="CH776">
            <v>1</v>
          </cell>
          <cell r="CI776">
            <v>0</v>
          </cell>
          <cell r="CJ776">
            <v>0</v>
          </cell>
          <cell r="CK776">
            <v>0</v>
          </cell>
          <cell r="CL776">
            <v>1</v>
          </cell>
        </row>
        <row r="777">
          <cell r="B777" t="str">
            <v>food waste reduction</v>
          </cell>
          <cell r="D777">
            <v>1.1000000000000001</v>
          </cell>
          <cell r="I777">
            <v>-2.5893999999999999E-3</v>
          </cell>
          <cell r="K777">
            <v>-0.39306999999999997</v>
          </cell>
          <cell r="CG777">
            <v>0</v>
          </cell>
          <cell r="CH777">
            <v>1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</row>
        <row r="778">
          <cell r="B778" t="str">
            <v>food waste reduction</v>
          </cell>
          <cell r="D778">
            <v>1.1000000000000001</v>
          </cell>
          <cell r="I778">
            <v>2.0670999999999998E-2</v>
          </cell>
          <cell r="K778">
            <v>-9.9598999999999998E-4</v>
          </cell>
          <cell r="CG778">
            <v>1</v>
          </cell>
          <cell r="CH778">
            <v>1</v>
          </cell>
          <cell r="CI778">
            <v>1</v>
          </cell>
          <cell r="CJ778">
            <v>1</v>
          </cell>
          <cell r="CK778">
            <v>0</v>
          </cell>
          <cell r="CL778">
            <v>0</v>
          </cell>
        </row>
        <row r="779">
          <cell r="B779" t="str">
            <v>food waste reduction</v>
          </cell>
          <cell r="D779">
            <v>4.0999999999999996</v>
          </cell>
          <cell r="I779">
            <v>0.19164999999999999</v>
          </cell>
          <cell r="K779">
            <v>4.673</v>
          </cell>
          <cell r="CG779">
            <v>1</v>
          </cell>
          <cell r="CH779">
            <v>1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</row>
        <row r="780">
          <cell r="B780" t="str">
            <v>food waste reduction</v>
          </cell>
          <cell r="D780">
            <v>4.0999999999999996</v>
          </cell>
          <cell r="I780">
            <v>0.19164999999999999</v>
          </cell>
          <cell r="K780">
            <v>4.673</v>
          </cell>
          <cell r="CG780">
            <v>1</v>
          </cell>
          <cell r="CH780">
            <v>1</v>
          </cell>
          <cell r="CI780">
            <v>0</v>
          </cell>
          <cell r="CJ780">
            <v>0</v>
          </cell>
          <cell r="CK780">
            <v>1</v>
          </cell>
          <cell r="CL780">
            <v>1</v>
          </cell>
        </row>
        <row r="781">
          <cell r="B781" t="str">
            <v>microfinance</v>
          </cell>
          <cell r="D781">
            <v>1.1000000000000001</v>
          </cell>
          <cell r="I781">
            <v>0.26178000000000001</v>
          </cell>
          <cell r="K781">
            <v>345080000</v>
          </cell>
          <cell r="CG781">
            <v>1</v>
          </cell>
          <cell r="CH781">
            <v>1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</row>
        <row r="782">
          <cell r="B782" t="str">
            <v>microfinance</v>
          </cell>
          <cell r="D782">
            <v>1.1000000000000001</v>
          </cell>
          <cell r="I782">
            <v>0.72065999999999997</v>
          </cell>
          <cell r="K782">
            <v>626470</v>
          </cell>
          <cell r="CG782">
            <v>1</v>
          </cell>
          <cell r="CH782">
            <v>1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</row>
        <row r="783">
          <cell r="B783" t="str">
            <v>microfinance</v>
          </cell>
          <cell r="D783">
            <v>1.1000000000000001</v>
          </cell>
          <cell r="I783">
            <v>0.16012000000000001</v>
          </cell>
          <cell r="K783">
            <v>368890000</v>
          </cell>
          <cell r="CG783">
            <v>1</v>
          </cell>
          <cell r="CH783">
            <v>1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</row>
        <row r="784">
          <cell r="B784" t="str">
            <v>microfinance</v>
          </cell>
          <cell r="D784">
            <v>1.1000000000000001</v>
          </cell>
          <cell r="I784">
            <v>0.60206999999999999</v>
          </cell>
          <cell r="K784">
            <v>1084000</v>
          </cell>
          <cell r="CG784">
            <v>1</v>
          </cell>
          <cell r="CH784">
            <v>1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</row>
        <row r="785">
          <cell r="B785" t="str">
            <v>microfinance</v>
          </cell>
          <cell r="D785">
            <v>1.1000000000000001</v>
          </cell>
          <cell r="I785">
            <v>0.77259999999999995</v>
          </cell>
          <cell r="K785">
            <v>3.2778E-3</v>
          </cell>
          <cell r="CG785">
            <v>0</v>
          </cell>
          <cell r="CH785">
            <v>1</v>
          </cell>
          <cell r="CI785">
            <v>0</v>
          </cell>
          <cell r="CJ785">
            <v>1</v>
          </cell>
          <cell r="CK785">
            <v>0</v>
          </cell>
          <cell r="CL785">
            <v>0</v>
          </cell>
        </row>
        <row r="786">
          <cell r="B786" t="str">
            <v>microfinance</v>
          </cell>
          <cell r="D786">
            <v>2.1</v>
          </cell>
          <cell r="I786">
            <v>-0.14799000000000001</v>
          </cell>
          <cell r="K786">
            <v>-9.4629999999999992E-3</v>
          </cell>
          <cell r="CG786">
            <v>1</v>
          </cell>
          <cell r="CH786">
            <v>1</v>
          </cell>
          <cell r="CI786">
            <v>0</v>
          </cell>
          <cell r="CJ786">
            <v>0</v>
          </cell>
          <cell r="CK786">
            <v>0</v>
          </cell>
          <cell r="CL786">
            <v>1</v>
          </cell>
        </row>
        <row r="787">
          <cell r="B787" t="str">
            <v>microfinance</v>
          </cell>
          <cell r="D787">
            <v>2.7</v>
          </cell>
          <cell r="I787">
            <v>-7.1925999999999999E-4</v>
          </cell>
          <cell r="K787">
            <v>-1.3323E-4</v>
          </cell>
          <cell r="CG787">
            <v>0</v>
          </cell>
          <cell r="CH787">
            <v>1</v>
          </cell>
          <cell r="CI787">
            <v>0</v>
          </cell>
          <cell r="CJ787">
            <v>0</v>
          </cell>
          <cell r="CK787">
            <v>0</v>
          </cell>
          <cell r="CL787">
            <v>1</v>
          </cell>
        </row>
        <row r="788">
          <cell r="B788" t="str">
            <v>microfinance</v>
          </cell>
          <cell r="D788">
            <v>3.2</v>
          </cell>
          <cell r="I788">
            <v>29.573</v>
          </cell>
          <cell r="K788">
            <v>963.61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</row>
        <row r="789">
          <cell r="B789" t="str">
            <v>microfinance</v>
          </cell>
          <cell r="D789">
            <v>3.2</v>
          </cell>
          <cell r="I789">
            <v>0.60370000000000001</v>
          </cell>
          <cell r="K789">
            <v>2.0528E-3</v>
          </cell>
          <cell r="CG789">
            <v>1</v>
          </cell>
          <cell r="CH789">
            <v>1</v>
          </cell>
          <cell r="CI789">
            <v>0</v>
          </cell>
          <cell r="CJ789">
            <v>0</v>
          </cell>
          <cell r="CK789">
            <v>0</v>
          </cell>
          <cell r="CL789">
            <v>1</v>
          </cell>
        </row>
        <row r="790">
          <cell r="B790" t="str">
            <v>microfinance</v>
          </cell>
          <cell r="D790">
            <v>4.0999999999999996</v>
          </cell>
          <cell r="I790">
            <v>-2.7021E-2</v>
          </cell>
          <cell r="K790">
            <v>-0.40778999999999999</v>
          </cell>
          <cell r="CG790">
            <v>1</v>
          </cell>
          <cell r="CH790">
            <v>1</v>
          </cell>
          <cell r="CI790">
            <v>0</v>
          </cell>
          <cell r="CJ790">
            <v>0</v>
          </cell>
          <cell r="CK790">
            <v>0</v>
          </cell>
          <cell r="CL790">
            <v>1</v>
          </cell>
        </row>
        <row r="791">
          <cell r="B791" t="str">
            <v>microfinance</v>
          </cell>
          <cell r="D791">
            <v>4.0999999999999996</v>
          </cell>
          <cell r="K791">
            <v>100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</row>
        <row r="792">
          <cell r="B792" t="str">
            <v>microfinance</v>
          </cell>
          <cell r="D792">
            <v>3.3</v>
          </cell>
          <cell r="I792">
            <v>0.26566000000000001</v>
          </cell>
          <cell r="K792">
            <v>82.995000000000005</v>
          </cell>
          <cell r="CG792">
            <v>1</v>
          </cell>
          <cell r="CH792">
            <v>1</v>
          </cell>
          <cell r="CI792">
            <v>0</v>
          </cell>
          <cell r="CJ792">
            <v>0</v>
          </cell>
          <cell r="CK792">
            <v>1</v>
          </cell>
          <cell r="CL792">
            <v>1</v>
          </cell>
        </row>
        <row r="793">
          <cell r="B793" t="str">
            <v>microfinance</v>
          </cell>
          <cell r="D793">
            <v>3.5</v>
          </cell>
          <cell r="I793">
            <v>0.13603999999999999</v>
          </cell>
          <cell r="K793">
            <v>9.0875000000000004</v>
          </cell>
          <cell r="CG793">
            <v>1</v>
          </cell>
          <cell r="CH793">
            <v>1</v>
          </cell>
          <cell r="CI793">
            <v>0</v>
          </cell>
          <cell r="CJ793">
            <v>0</v>
          </cell>
          <cell r="CK793">
            <v>0</v>
          </cell>
          <cell r="CL793">
            <v>1</v>
          </cell>
        </row>
        <row r="794">
          <cell r="B794" t="str">
            <v>microfinance</v>
          </cell>
          <cell r="D794">
            <v>3.5</v>
          </cell>
          <cell r="I794">
            <v>0.22597</v>
          </cell>
          <cell r="K794">
            <v>0.18748000000000001</v>
          </cell>
          <cell r="CG794">
            <v>1</v>
          </cell>
          <cell r="CH794">
            <v>1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</row>
        <row r="795">
          <cell r="B795" t="str">
            <v>microfinance</v>
          </cell>
          <cell r="D795">
            <v>3.5</v>
          </cell>
          <cell r="I795">
            <v>0.47422999999999998</v>
          </cell>
          <cell r="K795">
            <v>0.59577999999999998</v>
          </cell>
          <cell r="CG795">
            <v>1</v>
          </cell>
          <cell r="CH795">
            <v>1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</row>
        <row r="796">
          <cell r="B796" t="str">
            <v>microfinance</v>
          </cell>
          <cell r="D796">
            <v>3.5</v>
          </cell>
          <cell r="I796">
            <v>0.48663000000000001</v>
          </cell>
          <cell r="K796">
            <v>7.2327000000000004</v>
          </cell>
          <cell r="CG796">
            <v>1</v>
          </cell>
          <cell r="CH796">
            <v>1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</row>
        <row r="797">
          <cell r="B797" t="str">
            <v>microfinance</v>
          </cell>
          <cell r="D797">
            <v>3.5</v>
          </cell>
          <cell r="I797">
            <v>21.5</v>
          </cell>
          <cell r="K797">
            <v>52.1</v>
          </cell>
          <cell r="CG797">
            <v>1</v>
          </cell>
          <cell r="CH797">
            <v>1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</row>
        <row r="798">
          <cell r="B798" t="str">
            <v>microfinance</v>
          </cell>
          <cell r="D798">
            <v>3.5</v>
          </cell>
          <cell r="I798">
            <v>0.44629999999999997</v>
          </cell>
          <cell r="K798">
            <v>1.7814000000000001</v>
          </cell>
          <cell r="CG798">
            <v>1</v>
          </cell>
          <cell r="CH798">
            <v>1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</row>
        <row r="799">
          <cell r="B799" t="str">
            <v>microfinance</v>
          </cell>
          <cell r="D799">
            <v>3.5</v>
          </cell>
          <cell r="I799">
            <v>0.12917999999999999</v>
          </cell>
          <cell r="K799">
            <v>140.36000000000001</v>
          </cell>
          <cell r="CG799">
            <v>1</v>
          </cell>
          <cell r="CH799">
            <v>1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</row>
        <row r="800">
          <cell r="B800" t="str">
            <v>microfinance</v>
          </cell>
          <cell r="D800">
            <v>3.5</v>
          </cell>
          <cell r="I800">
            <v>0.13364000000000001</v>
          </cell>
          <cell r="K800">
            <v>9.0831999999999997</v>
          </cell>
          <cell r="CG800">
            <v>1</v>
          </cell>
          <cell r="CH800">
            <v>1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</row>
        <row r="801">
          <cell r="B801" t="str">
            <v>microfinance</v>
          </cell>
          <cell r="D801">
            <v>3.5</v>
          </cell>
          <cell r="I801">
            <v>0.13603999999999999</v>
          </cell>
          <cell r="K801">
            <v>9.0875000000000004</v>
          </cell>
          <cell r="CG801">
            <v>1</v>
          </cell>
          <cell r="CH801">
            <v>1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</row>
        <row r="802">
          <cell r="B802" t="str">
            <v>microfinance</v>
          </cell>
          <cell r="D802">
            <v>3.5</v>
          </cell>
          <cell r="I802">
            <v>7.0890999999999996E-2</v>
          </cell>
          <cell r="K802">
            <v>0.39255000000000001</v>
          </cell>
          <cell r="CG802">
            <v>1</v>
          </cell>
          <cell r="CH802">
            <v>1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</row>
        <row r="803">
          <cell r="B803" t="str">
            <v>microfinance</v>
          </cell>
          <cell r="D803">
            <v>3.5</v>
          </cell>
          <cell r="I803">
            <v>0.26910000000000001</v>
          </cell>
          <cell r="K803">
            <v>6.7095000000000002</v>
          </cell>
          <cell r="CG803">
            <v>1</v>
          </cell>
          <cell r="CH803">
            <v>1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</row>
        <row r="804">
          <cell r="B804" t="str">
            <v>microfinance</v>
          </cell>
          <cell r="D804">
            <v>3.5</v>
          </cell>
          <cell r="I804">
            <v>0.26085000000000003</v>
          </cell>
          <cell r="K804">
            <v>0.59711000000000003</v>
          </cell>
          <cell r="CG804">
            <v>1</v>
          </cell>
          <cell r="CH804">
            <v>1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</row>
        <row r="805">
          <cell r="B805" t="str">
            <v>microfinance</v>
          </cell>
          <cell r="D805">
            <v>3.5</v>
          </cell>
          <cell r="I805">
            <v>0.25907000000000002</v>
          </cell>
          <cell r="K805">
            <v>56.581000000000003</v>
          </cell>
          <cell r="CG805">
            <v>1</v>
          </cell>
          <cell r="CH805">
            <v>1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</row>
        <row r="806">
          <cell r="B806" t="str">
            <v>microfinance</v>
          </cell>
          <cell r="D806">
            <v>3.5</v>
          </cell>
          <cell r="I806">
            <v>0.30431000000000002</v>
          </cell>
          <cell r="K806">
            <v>7.5372000000000003</v>
          </cell>
          <cell r="CG806">
            <v>1</v>
          </cell>
          <cell r="CH806">
            <v>1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</row>
        <row r="807">
          <cell r="B807" t="str">
            <v>microfinance</v>
          </cell>
          <cell r="D807">
            <v>3.5</v>
          </cell>
          <cell r="I807">
            <v>0.28606999999999999</v>
          </cell>
          <cell r="K807">
            <v>538.21</v>
          </cell>
          <cell r="CG807">
            <v>1</v>
          </cell>
          <cell r="CH807">
            <v>1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</row>
        <row r="808">
          <cell r="B808" t="str">
            <v>microfinance</v>
          </cell>
          <cell r="D808">
            <v>3.5</v>
          </cell>
          <cell r="I808">
            <v>2.3010000000000002</v>
          </cell>
          <cell r="K808">
            <v>43.012999999999998</v>
          </cell>
          <cell r="CG808">
            <v>0</v>
          </cell>
          <cell r="CH808">
            <v>1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</row>
        <row r="809">
          <cell r="B809" t="str">
            <v>microfinance</v>
          </cell>
          <cell r="D809">
            <v>3.5</v>
          </cell>
          <cell r="I809">
            <v>0.23977999999999999</v>
          </cell>
          <cell r="K809">
            <v>20.001999999999999</v>
          </cell>
          <cell r="CG809">
            <v>1</v>
          </cell>
          <cell r="CH809">
            <v>1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</row>
        <row r="810">
          <cell r="B810" t="str">
            <v>microfinance</v>
          </cell>
          <cell r="D810">
            <v>3.5</v>
          </cell>
          <cell r="I810">
            <v>0.36369000000000001</v>
          </cell>
          <cell r="K810">
            <v>1.6828000000000001</v>
          </cell>
          <cell r="CG810">
            <v>1</v>
          </cell>
          <cell r="CH810">
            <v>1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</row>
        <row r="811">
          <cell r="B811" t="str">
            <v>microfinance</v>
          </cell>
          <cell r="D811">
            <v>1.1000000000000001</v>
          </cell>
          <cell r="I811">
            <v>0.28138000000000002</v>
          </cell>
          <cell r="K811">
            <v>1077200000</v>
          </cell>
          <cell r="CG811">
            <v>0</v>
          </cell>
          <cell r="CH811">
            <v>1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</row>
        <row r="812">
          <cell r="B812" t="str">
            <v>microfinance</v>
          </cell>
          <cell r="D812">
            <v>1.1000000000000001</v>
          </cell>
          <cell r="I812">
            <v>0.76610999999999996</v>
          </cell>
          <cell r="K812">
            <v>2394900</v>
          </cell>
          <cell r="CG812">
            <v>1</v>
          </cell>
          <cell r="CH812">
            <v>1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</row>
        <row r="813">
          <cell r="B813" t="str">
            <v>microfinance</v>
          </cell>
          <cell r="D813">
            <v>1.1000000000000001</v>
          </cell>
          <cell r="I813">
            <v>0.28138000000000002</v>
          </cell>
          <cell r="K813">
            <v>1077200000</v>
          </cell>
          <cell r="CG813">
            <v>0</v>
          </cell>
          <cell r="CH813">
            <v>1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</row>
        <row r="814">
          <cell r="B814" t="str">
            <v>microfinance</v>
          </cell>
          <cell r="D814">
            <v>1.1000000000000001</v>
          </cell>
          <cell r="I814">
            <v>0.77163999999999999</v>
          </cell>
          <cell r="K814">
            <v>2852800</v>
          </cell>
          <cell r="CG814">
            <v>1</v>
          </cell>
          <cell r="CH814">
            <v>1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</row>
        <row r="815">
          <cell r="B815" t="str">
            <v>microfinance</v>
          </cell>
          <cell r="D815">
            <v>1.1000000000000001</v>
          </cell>
          <cell r="I815">
            <v>0.85224999999999995</v>
          </cell>
          <cell r="K815">
            <v>1.7687E-3</v>
          </cell>
          <cell r="CG815">
            <v>1</v>
          </cell>
          <cell r="CH815">
            <v>1</v>
          </cell>
          <cell r="CI815">
            <v>1</v>
          </cell>
          <cell r="CJ815">
            <v>1</v>
          </cell>
          <cell r="CK815">
            <v>0</v>
          </cell>
          <cell r="CL815">
            <v>0</v>
          </cell>
        </row>
        <row r="816">
          <cell r="B816" t="str">
            <v>microfinance</v>
          </cell>
          <cell r="D816">
            <v>2.1</v>
          </cell>
          <cell r="I816">
            <v>-9.7127000000000005E-2</v>
          </cell>
          <cell r="K816">
            <v>-1.7486999999999999E-2</v>
          </cell>
          <cell r="CG816">
            <v>1</v>
          </cell>
          <cell r="CH816">
            <v>1</v>
          </cell>
          <cell r="CI816">
            <v>0</v>
          </cell>
          <cell r="CJ816">
            <v>0</v>
          </cell>
          <cell r="CK816">
            <v>1</v>
          </cell>
          <cell r="CL816">
            <v>1</v>
          </cell>
        </row>
        <row r="817">
          <cell r="B817" t="str">
            <v>microfinance</v>
          </cell>
          <cell r="D817">
            <v>2.7</v>
          </cell>
          <cell r="I817">
            <v>-3.7250999999999999E-2</v>
          </cell>
          <cell r="K817">
            <v>-5.5212000000000004E-3</v>
          </cell>
          <cell r="CG817">
            <v>1</v>
          </cell>
          <cell r="CH817">
            <v>1</v>
          </cell>
          <cell r="CI817">
            <v>0</v>
          </cell>
          <cell r="CJ817">
            <v>0</v>
          </cell>
          <cell r="CK817">
            <v>1</v>
          </cell>
          <cell r="CL817">
            <v>1</v>
          </cell>
        </row>
        <row r="818">
          <cell r="B818" t="str">
            <v>microfinance</v>
          </cell>
          <cell r="D818">
            <v>3.2</v>
          </cell>
          <cell r="I818">
            <v>-0.25144</v>
          </cell>
          <cell r="K818">
            <v>-2.0676E-2</v>
          </cell>
          <cell r="CG818">
            <v>1</v>
          </cell>
          <cell r="CH818">
            <v>1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</row>
        <row r="819">
          <cell r="B819" t="str">
            <v>microfinance</v>
          </cell>
          <cell r="D819">
            <v>3.2</v>
          </cell>
          <cell r="I819">
            <v>4.7255999999999999E-2</v>
          </cell>
          <cell r="K819">
            <v>6.0352000000000001E-3</v>
          </cell>
          <cell r="CG819">
            <v>1</v>
          </cell>
          <cell r="CH819">
            <v>1</v>
          </cell>
          <cell r="CI819">
            <v>0</v>
          </cell>
          <cell r="CJ819">
            <v>0</v>
          </cell>
          <cell r="CK819">
            <v>1</v>
          </cell>
          <cell r="CL819">
            <v>1</v>
          </cell>
        </row>
        <row r="820">
          <cell r="B820" t="str">
            <v>microfinance</v>
          </cell>
          <cell r="D820">
            <v>3.5</v>
          </cell>
          <cell r="I820">
            <v>0.12138</v>
          </cell>
          <cell r="K820">
            <v>1.0947</v>
          </cell>
          <cell r="CG820">
            <v>1</v>
          </cell>
          <cell r="CH820">
            <v>1</v>
          </cell>
          <cell r="CI820">
            <v>0</v>
          </cell>
          <cell r="CJ820">
            <v>0</v>
          </cell>
          <cell r="CK820">
            <v>1</v>
          </cell>
          <cell r="CL820">
            <v>1</v>
          </cell>
        </row>
        <row r="821">
          <cell r="B821" t="str">
            <v>microfinance</v>
          </cell>
          <cell r="D821">
            <v>3.5</v>
          </cell>
          <cell r="I821">
            <v>0.44148999999999999</v>
          </cell>
          <cell r="K821">
            <v>4.7431000000000001E-3</v>
          </cell>
          <cell r="CG821">
            <v>1</v>
          </cell>
          <cell r="CH821">
            <v>1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</row>
        <row r="822">
          <cell r="B822" t="str">
            <v>microfinance</v>
          </cell>
          <cell r="D822">
            <v>3.5</v>
          </cell>
          <cell r="I822">
            <v>0.49148999999999998</v>
          </cell>
          <cell r="K822">
            <v>0.18195</v>
          </cell>
          <cell r="CG822">
            <v>1</v>
          </cell>
          <cell r="CH822">
            <v>1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</row>
        <row r="823">
          <cell r="B823" t="str">
            <v>microfinance</v>
          </cell>
          <cell r="D823">
            <v>3.5</v>
          </cell>
          <cell r="I823">
            <v>0.22863</v>
          </cell>
          <cell r="K823">
            <v>3.0823</v>
          </cell>
          <cell r="CG823">
            <v>1</v>
          </cell>
          <cell r="CH823">
            <v>1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</row>
        <row r="824">
          <cell r="B824" t="str">
            <v>microfinance</v>
          </cell>
          <cell r="D824">
            <v>3.5</v>
          </cell>
          <cell r="I824">
            <v>1.8753</v>
          </cell>
          <cell r="K824">
            <v>16.263000000000002</v>
          </cell>
          <cell r="CG824">
            <v>1</v>
          </cell>
          <cell r="CH824">
            <v>1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</row>
        <row r="825">
          <cell r="B825" t="str">
            <v>microfinance</v>
          </cell>
          <cell r="D825">
            <v>3.5</v>
          </cell>
          <cell r="I825">
            <v>0.53513999999999995</v>
          </cell>
          <cell r="K825">
            <v>0.39539000000000002</v>
          </cell>
          <cell r="CG825">
            <v>1</v>
          </cell>
          <cell r="CH825">
            <v>1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</row>
        <row r="826">
          <cell r="B826" t="str">
            <v>microfinance</v>
          </cell>
          <cell r="D826">
            <v>3.5</v>
          </cell>
          <cell r="I826">
            <v>0.12315</v>
          </cell>
          <cell r="K826">
            <v>21.023</v>
          </cell>
          <cell r="CG826">
            <v>1</v>
          </cell>
          <cell r="CH826">
            <v>1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</row>
        <row r="827">
          <cell r="B827" t="str">
            <v>microfinance</v>
          </cell>
          <cell r="D827">
            <v>3.5</v>
          </cell>
          <cell r="I827">
            <v>0.11953999999999999</v>
          </cell>
          <cell r="K827">
            <v>1.1132</v>
          </cell>
          <cell r="CG827">
            <v>1</v>
          </cell>
          <cell r="CH827">
            <v>1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</row>
        <row r="828">
          <cell r="B828" t="str">
            <v>microfinance</v>
          </cell>
          <cell r="D828">
            <v>3.5</v>
          </cell>
          <cell r="I828">
            <v>0.12138</v>
          </cell>
          <cell r="K828">
            <v>1.0947</v>
          </cell>
          <cell r="CG828">
            <v>1</v>
          </cell>
          <cell r="CH828">
            <v>1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</row>
        <row r="829">
          <cell r="B829" t="str">
            <v>microfinance</v>
          </cell>
          <cell r="D829">
            <v>3.5</v>
          </cell>
          <cell r="I829">
            <v>14.209</v>
          </cell>
          <cell r="K829">
            <v>4.5384000000000001E-2</v>
          </cell>
          <cell r="CG829">
            <v>0</v>
          </cell>
          <cell r="CH829">
            <v>1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</row>
        <row r="830">
          <cell r="B830" t="str">
            <v>microfinance</v>
          </cell>
          <cell r="D830">
            <v>3.5</v>
          </cell>
          <cell r="I830">
            <v>0.2848</v>
          </cell>
          <cell r="K830">
            <v>2.11</v>
          </cell>
          <cell r="CG830">
            <v>1</v>
          </cell>
          <cell r="CH830">
            <v>1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</row>
        <row r="831">
          <cell r="B831" t="str">
            <v>microfinance</v>
          </cell>
          <cell r="D831">
            <v>3.5</v>
          </cell>
          <cell r="I831">
            <v>0.16521</v>
          </cell>
          <cell r="K831">
            <v>0.19148999999999999</v>
          </cell>
          <cell r="CG831">
            <v>1</v>
          </cell>
          <cell r="CH831">
            <v>1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</row>
        <row r="832">
          <cell r="B832" t="str">
            <v>microfinance</v>
          </cell>
          <cell r="D832">
            <v>3.5</v>
          </cell>
          <cell r="I832">
            <v>0.19175</v>
          </cell>
          <cell r="K832">
            <v>27.158000000000001</v>
          </cell>
          <cell r="CG832">
            <v>1</v>
          </cell>
          <cell r="CH832">
            <v>1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</row>
        <row r="833">
          <cell r="B833" t="str">
            <v>microfinance</v>
          </cell>
          <cell r="D833">
            <v>3.5</v>
          </cell>
          <cell r="I833">
            <v>0.22187000000000001</v>
          </cell>
          <cell r="K833">
            <v>3.5110000000000001</v>
          </cell>
          <cell r="CG833">
            <v>1</v>
          </cell>
          <cell r="CH833">
            <v>1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</row>
        <row r="834">
          <cell r="B834" t="str">
            <v>microfinance</v>
          </cell>
          <cell r="D834">
            <v>3.5</v>
          </cell>
          <cell r="I834">
            <v>0.33201000000000003</v>
          </cell>
          <cell r="K834">
            <v>125.6</v>
          </cell>
          <cell r="CG834">
            <v>1</v>
          </cell>
          <cell r="CH834">
            <v>1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</row>
        <row r="835">
          <cell r="B835" t="str">
            <v>microfinance</v>
          </cell>
          <cell r="D835">
            <v>3.5</v>
          </cell>
          <cell r="I835">
            <v>1.2182999999999999</v>
          </cell>
          <cell r="K835">
            <v>16.344999999999999</v>
          </cell>
          <cell r="CG835">
            <v>1</v>
          </cell>
          <cell r="CH835">
            <v>1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</row>
        <row r="836">
          <cell r="B836" t="str">
            <v>microfinance</v>
          </cell>
          <cell r="D836">
            <v>3.5</v>
          </cell>
          <cell r="I836">
            <v>0.27766000000000002</v>
          </cell>
          <cell r="K836">
            <v>4.4314</v>
          </cell>
          <cell r="CG836">
            <v>1</v>
          </cell>
          <cell r="CH836">
            <v>1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</row>
        <row r="837">
          <cell r="B837" t="str">
            <v>microfinance</v>
          </cell>
          <cell r="D837">
            <v>3.5</v>
          </cell>
          <cell r="I837">
            <v>0.19184999999999999</v>
          </cell>
          <cell r="K837">
            <v>0.40912999999999999</v>
          </cell>
          <cell r="CG837">
            <v>1</v>
          </cell>
          <cell r="CH837">
            <v>1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</row>
        <row r="838">
          <cell r="B838" t="str">
            <v>microfinance</v>
          </cell>
          <cell r="D838">
            <v>4.0999999999999996</v>
          </cell>
          <cell r="I838">
            <v>-2.5684999999999998</v>
          </cell>
          <cell r="K838">
            <v>-2.8249</v>
          </cell>
          <cell r="CG838">
            <v>1</v>
          </cell>
          <cell r="CH838">
            <v>1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</row>
        <row r="839">
          <cell r="B839" t="str">
            <v>microfinance</v>
          </cell>
          <cell r="D839">
            <v>4.0999999999999996</v>
          </cell>
          <cell r="I839">
            <v>0.25313000000000002</v>
          </cell>
          <cell r="K839">
            <v>12.605</v>
          </cell>
          <cell r="CG839">
            <v>1</v>
          </cell>
          <cell r="CH839">
            <v>1</v>
          </cell>
          <cell r="CI839">
            <v>0</v>
          </cell>
          <cell r="CJ839">
            <v>0</v>
          </cell>
          <cell r="CK839">
            <v>1</v>
          </cell>
          <cell r="CL839">
            <v>1</v>
          </cell>
        </row>
        <row r="840">
          <cell r="B840" t="str">
            <v>microfinance</v>
          </cell>
          <cell r="D840">
            <v>1.1000000000000001</v>
          </cell>
          <cell r="I840">
            <v>20.263999999999999</v>
          </cell>
          <cell r="K840">
            <v>172890000</v>
          </cell>
          <cell r="CG840">
            <v>0</v>
          </cell>
          <cell r="CH840">
            <v>1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</row>
        <row r="841">
          <cell r="B841" t="str">
            <v>microfinance</v>
          </cell>
          <cell r="D841">
            <v>1.1000000000000001</v>
          </cell>
          <cell r="I841">
            <v>20.422000000000001</v>
          </cell>
          <cell r="K841">
            <v>113530</v>
          </cell>
          <cell r="CG841">
            <v>0</v>
          </cell>
          <cell r="CH841">
            <v>1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</row>
        <row r="842">
          <cell r="B842" t="str">
            <v>microfinance</v>
          </cell>
          <cell r="D842">
            <v>1.1000000000000001</v>
          </cell>
          <cell r="I842">
            <v>2.3540000000000001</v>
          </cell>
          <cell r="K842">
            <v>126610000</v>
          </cell>
          <cell r="CG842">
            <v>0</v>
          </cell>
          <cell r="CH842">
            <v>1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</row>
        <row r="843">
          <cell r="B843" t="str">
            <v>microfinance</v>
          </cell>
          <cell r="D843">
            <v>1.1000000000000001</v>
          </cell>
          <cell r="I843">
            <v>1.7822</v>
          </cell>
          <cell r="K843">
            <v>191740</v>
          </cell>
          <cell r="CG843">
            <v>1</v>
          </cell>
          <cell r="CH843">
            <v>1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</row>
        <row r="844">
          <cell r="B844" t="str">
            <v>microfinance</v>
          </cell>
          <cell r="D844">
            <v>1.1000000000000001</v>
          </cell>
          <cell r="I844">
            <v>20.686</v>
          </cell>
          <cell r="K844">
            <v>5.6619999999999999E-4</v>
          </cell>
          <cell r="CG844">
            <v>0</v>
          </cell>
          <cell r="CH844">
            <v>1</v>
          </cell>
          <cell r="CI844">
            <v>0</v>
          </cell>
          <cell r="CJ844">
            <v>1</v>
          </cell>
          <cell r="CK844">
            <v>0</v>
          </cell>
          <cell r="CL844">
            <v>0</v>
          </cell>
        </row>
        <row r="845">
          <cell r="B845" t="str">
            <v>microfinance</v>
          </cell>
          <cell r="D845">
            <v>2.1</v>
          </cell>
          <cell r="I845">
            <v>-7.0793999999999996E-2</v>
          </cell>
          <cell r="K845">
            <v>-2.8565</v>
          </cell>
          <cell r="CG845">
            <v>1</v>
          </cell>
          <cell r="CH845">
            <v>1</v>
          </cell>
          <cell r="CI845">
            <v>0</v>
          </cell>
          <cell r="CJ845">
            <v>0</v>
          </cell>
          <cell r="CK845">
            <v>0</v>
          </cell>
          <cell r="CL845">
            <v>1</v>
          </cell>
        </row>
        <row r="846">
          <cell r="B846" t="str">
            <v>microfinance</v>
          </cell>
          <cell r="D846">
            <v>2.7</v>
          </cell>
          <cell r="I846">
            <v>0.40300000000000002</v>
          </cell>
          <cell r="K846">
            <v>2.6135999999999999</v>
          </cell>
          <cell r="CG846">
            <v>1</v>
          </cell>
          <cell r="CH846">
            <v>1</v>
          </cell>
          <cell r="CI846">
            <v>0</v>
          </cell>
          <cell r="CJ846">
            <v>0</v>
          </cell>
          <cell r="CK846">
            <v>0</v>
          </cell>
          <cell r="CL846">
            <v>1</v>
          </cell>
        </row>
        <row r="847">
          <cell r="B847" t="str">
            <v>microfinance</v>
          </cell>
          <cell r="D847">
            <v>3.2</v>
          </cell>
          <cell r="I847">
            <v>-0.45950999999999997</v>
          </cell>
          <cell r="K847">
            <v>-9.2265999999999997E-3</v>
          </cell>
          <cell r="CG847">
            <v>1</v>
          </cell>
          <cell r="CH847">
            <v>1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</row>
        <row r="848">
          <cell r="B848" t="str">
            <v>microfinance</v>
          </cell>
          <cell r="D848">
            <v>3.2</v>
          </cell>
          <cell r="I848">
            <v>-1.8644999999999998E-2</v>
          </cell>
          <cell r="K848">
            <v>-1.2788000000000001E-2</v>
          </cell>
          <cell r="CG848">
            <v>1</v>
          </cell>
          <cell r="CH848">
            <v>1</v>
          </cell>
          <cell r="CI848">
            <v>0</v>
          </cell>
          <cell r="CJ848">
            <v>0</v>
          </cell>
          <cell r="CK848">
            <v>0</v>
          </cell>
          <cell r="CL848">
            <v>1</v>
          </cell>
        </row>
        <row r="849">
          <cell r="B849" t="str">
            <v>microfinance</v>
          </cell>
          <cell r="D849">
            <v>3.5</v>
          </cell>
          <cell r="I849">
            <v>0.17177000000000001</v>
          </cell>
          <cell r="K849">
            <v>0.39591999999999999</v>
          </cell>
          <cell r="CG849">
            <v>1</v>
          </cell>
          <cell r="CH849">
            <v>1</v>
          </cell>
          <cell r="CI849">
            <v>0</v>
          </cell>
          <cell r="CJ849">
            <v>0</v>
          </cell>
          <cell r="CK849">
            <v>0</v>
          </cell>
          <cell r="CL849">
            <v>1</v>
          </cell>
        </row>
        <row r="850">
          <cell r="B850" t="str">
            <v>microfinance</v>
          </cell>
          <cell r="D850">
            <v>3.5</v>
          </cell>
          <cell r="I850">
            <v>26.643999999999998</v>
          </cell>
          <cell r="K850">
            <v>1.0671999999999999E-2</v>
          </cell>
          <cell r="CG850">
            <v>0</v>
          </cell>
          <cell r="CH850">
            <v>1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</row>
        <row r="851">
          <cell r="B851" t="str">
            <v>microfinance</v>
          </cell>
          <cell r="D851">
            <v>3.5</v>
          </cell>
          <cell r="I851">
            <v>47.773000000000003</v>
          </cell>
          <cell r="K851">
            <v>7.3781000000000003E-3</v>
          </cell>
          <cell r="CG851">
            <v>0</v>
          </cell>
          <cell r="CH851">
            <v>1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</row>
        <row r="852">
          <cell r="B852" t="str">
            <v>microfinance</v>
          </cell>
          <cell r="D852">
            <v>3.5</v>
          </cell>
          <cell r="I852">
            <v>91.83</v>
          </cell>
          <cell r="K852">
            <v>6.3652999999999995E-4</v>
          </cell>
          <cell r="CG852">
            <v>0</v>
          </cell>
          <cell r="CH852">
            <v>1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</row>
        <row r="853">
          <cell r="B853" t="str">
            <v>microfinance</v>
          </cell>
          <cell r="D853">
            <v>3.5</v>
          </cell>
          <cell r="I853">
            <v>25.434999999999999</v>
          </cell>
          <cell r="K853">
            <v>0.17716999999999999</v>
          </cell>
          <cell r="CG853">
            <v>0</v>
          </cell>
          <cell r="CH853">
            <v>1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</row>
        <row r="854">
          <cell r="B854" t="str">
            <v>microfinance</v>
          </cell>
          <cell r="D854">
            <v>3.5</v>
          </cell>
          <cell r="I854">
            <v>20.315999999999999</v>
          </cell>
          <cell r="K854">
            <v>3.8471999999999999E-2</v>
          </cell>
          <cell r="CG854">
            <v>1</v>
          </cell>
          <cell r="CH854">
            <v>1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</row>
        <row r="855">
          <cell r="B855" t="str">
            <v>microfinance</v>
          </cell>
          <cell r="D855">
            <v>3.5</v>
          </cell>
          <cell r="I855">
            <v>0.1384</v>
          </cell>
          <cell r="K855">
            <v>5.4950999999999999</v>
          </cell>
          <cell r="CG855">
            <v>1</v>
          </cell>
          <cell r="CH855">
            <v>1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</row>
        <row r="856">
          <cell r="B856" t="str">
            <v>microfinance</v>
          </cell>
          <cell r="D856">
            <v>3.5</v>
          </cell>
          <cell r="I856">
            <v>0.16436999999999999</v>
          </cell>
          <cell r="K856">
            <v>0.38707999999999998</v>
          </cell>
          <cell r="CG856">
            <v>1</v>
          </cell>
          <cell r="CH856">
            <v>1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</row>
        <row r="857">
          <cell r="B857" t="str">
            <v>microfinance</v>
          </cell>
          <cell r="D857">
            <v>3.5</v>
          </cell>
          <cell r="I857">
            <v>0.17177000000000001</v>
          </cell>
          <cell r="K857">
            <v>0.39591999999999999</v>
          </cell>
          <cell r="CG857">
            <v>1</v>
          </cell>
          <cell r="CH857">
            <v>1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</row>
        <row r="858">
          <cell r="B858" t="str">
            <v>microfinance</v>
          </cell>
          <cell r="D858">
            <v>3.5</v>
          </cell>
          <cell r="I858">
            <v>11.305</v>
          </cell>
          <cell r="K858">
            <v>3.6946E-2</v>
          </cell>
          <cell r="CG858">
            <v>0</v>
          </cell>
          <cell r="CH858">
            <v>1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</row>
        <row r="859">
          <cell r="B859" t="str">
            <v>microfinance</v>
          </cell>
          <cell r="D859">
            <v>3.5</v>
          </cell>
          <cell r="I859">
            <v>0.57513999999999998</v>
          </cell>
          <cell r="K859">
            <v>0.12161</v>
          </cell>
          <cell r="CG859">
            <v>1</v>
          </cell>
          <cell r="CH859">
            <v>1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</row>
        <row r="860">
          <cell r="B860" t="str">
            <v>microfinance</v>
          </cell>
          <cell r="D860">
            <v>3.5</v>
          </cell>
          <cell r="I860">
            <v>21.122</v>
          </cell>
          <cell r="K860">
            <v>1.2903E-2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</row>
        <row r="861">
          <cell r="B861" t="str">
            <v>microfinance</v>
          </cell>
          <cell r="D861">
            <v>3.5</v>
          </cell>
          <cell r="I861">
            <v>15.544</v>
          </cell>
          <cell r="K861">
            <v>2.1286999999999999E-3</v>
          </cell>
          <cell r="CG861">
            <v>1</v>
          </cell>
          <cell r="CH861">
            <v>1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</row>
        <row r="862">
          <cell r="B862" t="str">
            <v>microfinance</v>
          </cell>
          <cell r="D862">
            <v>3.5</v>
          </cell>
          <cell r="I862">
            <v>12.667</v>
          </cell>
          <cell r="K862">
            <v>7.6650000000000004E-4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</row>
        <row r="863">
          <cell r="B863" t="str">
            <v>microfinance</v>
          </cell>
          <cell r="D863">
            <v>3.5</v>
          </cell>
          <cell r="I863">
            <v>0.54793000000000003</v>
          </cell>
          <cell r="K863">
            <v>2.4279999999999999</v>
          </cell>
          <cell r="CG863">
            <v>1</v>
          </cell>
          <cell r="CH863">
            <v>1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</row>
        <row r="864">
          <cell r="B864" t="str">
            <v>microfinance</v>
          </cell>
          <cell r="D864">
            <v>3.5</v>
          </cell>
          <cell r="I864">
            <v>7.3551000000000002</v>
          </cell>
          <cell r="K864">
            <v>0.30252000000000001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</row>
        <row r="865">
          <cell r="B865" t="str">
            <v>microfinance</v>
          </cell>
          <cell r="D865">
            <v>3.5</v>
          </cell>
          <cell r="I865">
            <v>0.20222999999999999</v>
          </cell>
          <cell r="K865">
            <v>0.5</v>
          </cell>
          <cell r="CG865">
            <v>1</v>
          </cell>
          <cell r="CH865">
            <v>1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</row>
        <row r="866">
          <cell r="B866" t="str">
            <v>microfinance</v>
          </cell>
          <cell r="D866">
            <v>3.5</v>
          </cell>
          <cell r="I866">
            <v>21.242000000000001</v>
          </cell>
          <cell r="K866">
            <v>4.1700000000000001E-2</v>
          </cell>
          <cell r="CG866">
            <v>0</v>
          </cell>
          <cell r="CH866">
            <v>1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</row>
        <row r="867">
          <cell r="B867" t="str">
            <v>microfinance</v>
          </cell>
          <cell r="D867">
            <v>4.0999999999999996</v>
          </cell>
          <cell r="I867">
            <v>-0.11294999999999999</v>
          </cell>
          <cell r="K867">
            <v>4.6712999999999998E-2</v>
          </cell>
          <cell r="CG867">
            <v>0</v>
          </cell>
          <cell r="CH867">
            <v>1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</row>
        <row r="868">
          <cell r="B868" t="str">
            <v>microfinance</v>
          </cell>
          <cell r="D868">
            <v>4.0999999999999996</v>
          </cell>
          <cell r="I868">
            <v>2.8287</v>
          </cell>
          <cell r="K868">
            <v>24.885000000000002</v>
          </cell>
          <cell r="CG868">
            <v>0</v>
          </cell>
          <cell r="CH868">
            <v>1</v>
          </cell>
          <cell r="CI868">
            <v>0</v>
          </cell>
          <cell r="CJ868">
            <v>0</v>
          </cell>
          <cell r="CK868">
            <v>0</v>
          </cell>
          <cell r="CL868">
            <v>1</v>
          </cell>
        </row>
        <row r="869">
          <cell r="B869" t="str">
            <v>non-cash transactions</v>
          </cell>
          <cell r="D869">
            <v>1.1000000000000001</v>
          </cell>
          <cell r="I869">
            <v>5.3179999999999998E-2</v>
          </cell>
          <cell r="K869">
            <v>7.8638E-2</v>
          </cell>
          <cell r="CG869">
            <v>1</v>
          </cell>
          <cell r="CH869">
            <v>1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</row>
        <row r="870">
          <cell r="B870" t="str">
            <v>non-cash transactions</v>
          </cell>
          <cell r="D870">
            <v>1.1000000000000001</v>
          </cell>
          <cell r="I870">
            <v>0.14477999999999999</v>
          </cell>
          <cell r="K870">
            <v>97.965000000000003</v>
          </cell>
          <cell r="CG870">
            <v>1</v>
          </cell>
          <cell r="CH870">
            <v>1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</row>
        <row r="871">
          <cell r="B871" t="str">
            <v>non-cash transactions</v>
          </cell>
          <cell r="D871">
            <v>3.3</v>
          </cell>
          <cell r="I871">
            <v>0.35565999999999998</v>
          </cell>
          <cell r="K871">
            <v>6.3224</v>
          </cell>
          <cell r="CG871">
            <v>1</v>
          </cell>
          <cell r="CH871">
            <v>1</v>
          </cell>
          <cell r="CI871">
            <v>0</v>
          </cell>
          <cell r="CJ871">
            <v>0</v>
          </cell>
          <cell r="CK871">
            <v>1</v>
          </cell>
          <cell r="CL871">
            <v>1</v>
          </cell>
        </row>
        <row r="872">
          <cell r="B872" t="str">
            <v>non-cash transactions</v>
          </cell>
          <cell r="D872">
            <v>4.0999999999999996</v>
          </cell>
          <cell r="I872">
            <v>0.84874000000000005</v>
          </cell>
          <cell r="K872">
            <v>5.4871999999999996</v>
          </cell>
          <cell r="CG872">
            <v>1</v>
          </cell>
          <cell r="CH872">
            <v>1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</row>
        <row r="873">
          <cell r="B873" t="str">
            <v>non-cash transactions</v>
          </cell>
          <cell r="D873">
            <v>4.0999999999999996</v>
          </cell>
          <cell r="I873">
            <v>0.93445</v>
          </cell>
          <cell r="K873">
            <v>5.4348999999999998</v>
          </cell>
          <cell r="CG873">
            <v>1</v>
          </cell>
          <cell r="CH873">
            <v>1</v>
          </cell>
          <cell r="CI873">
            <v>0</v>
          </cell>
          <cell r="CJ873">
            <v>0</v>
          </cell>
          <cell r="CK873">
            <v>0</v>
          </cell>
          <cell r="CL873">
            <v>1</v>
          </cell>
        </row>
        <row r="874">
          <cell r="B874" t="str">
            <v>non-cash transactions</v>
          </cell>
          <cell r="D874">
            <v>4.2</v>
          </cell>
          <cell r="I874">
            <v>5.6973000000000003E-2</v>
          </cell>
          <cell r="K874">
            <v>2.9582000000000001E-2</v>
          </cell>
          <cell r="CG874">
            <v>1</v>
          </cell>
          <cell r="CH874">
            <v>1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</row>
        <row r="875">
          <cell r="B875" t="str">
            <v>non-cash transactions</v>
          </cell>
          <cell r="D875">
            <v>4.2</v>
          </cell>
          <cell r="I875">
            <v>6.5415000000000001E-2</v>
          </cell>
          <cell r="K875">
            <v>1.0684</v>
          </cell>
          <cell r="CG875">
            <v>1</v>
          </cell>
          <cell r="CH875">
            <v>1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</row>
        <row r="876">
          <cell r="B876" t="str">
            <v>non-cash transactions</v>
          </cell>
          <cell r="D876">
            <v>4.2</v>
          </cell>
          <cell r="I876">
            <v>0.60119999999999996</v>
          </cell>
          <cell r="K876">
            <v>5.8244999999999996</v>
          </cell>
          <cell r="CG876">
            <v>1</v>
          </cell>
          <cell r="CH876">
            <v>1</v>
          </cell>
          <cell r="CI876">
            <v>0</v>
          </cell>
          <cell r="CJ876">
            <v>0</v>
          </cell>
          <cell r="CK876">
            <v>1</v>
          </cell>
          <cell r="CL876">
            <v>1</v>
          </cell>
        </row>
        <row r="877">
          <cell r="B877" t="str">
            <v>non-cash transactions</v>
          </cell>
          <cell r="D877">
            <v>4.2</v>
          </cell>
          <cell r="I877">
            <v>5.6973000000000003E-2</v>
          </cell>
          <cell r="K877">
            <v>2.9582000000000001E-2</v>
          </cell>
          <cell r="CG877">
            <v>1</v>
          </cell>
          <cell r="CH877">
            <v>1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</row>
        <row r="878">
          <cell r="B878" t="str">
            <v>non-cash transactions</v>
          </cell>
          <cell r="D878">
            <v>4.2</v>
          </cell>
          <cell r="I878">
            <v>6.5415000000000001E-2</v>
          </cell>
          <cell r="K878">
            <v>1.0684</v>
          </cell>
          <cell r="CG878">
            <v>1</v>
          </cell>
          <cell r="CH878">
            <v>1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</row>
        <row r="879">
          <cell r="B879" t="str">
            <v>non-cash transactions</v>
          </cell>
          <cell r="D879">
            <v>4.2</v>
          </cell>
          <cell r="I879">
            <v>0.60119999999999996</v>
          </cell>
          <cell r="K879">
            <v>5.8244999999999996</v>
          </cell>
          <cell r="CG879">
            <v>1</v>
          </cell>
          <cell r="CH879">
            <v>1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</row>
        <row r="880">
          <cell r="B880" t="str">
            <v>non-cash transactions</v>
          </cell>
          <cell r="D880">
            <v>1.1000000000000001</v>
          </cell>
          <cell r="I880">
            <v>-0.1361</v>
          </cell>
          <cell r="K880">
            <v>-2.3453999999999999E-2</v>
          </cell>
          <cell r="CG880">
            <v>1</v>
          </cell>
          <cell r="CH880">
            <v>1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</row>
        <row r="881">
          <cell r="B881" t="str">
            <v>non-cash transactions</v>
          </cell>
          <cell r="D881">
            <v>1.1000000000000001</v>
          </cell>
          <cell r="I881">
            <v>0.24737999999999999</v>
          </cell>
          <cell r="K881">
            <v>2.3453999999999999E-2</v>
          </cell>
          <cell r="CG881">
            <v>1</v>
          </cell>
          <cell r="CH881">
            <v>1</v>
          </cell>
          <cell r="CI881">
            <v>1</v>
          </cell>
          <cell r="CJ881">
            <v>1</v>
          </cell>
          <cell r="CK881">
            <v>0</v>
          </cell>
          <cell r="CL881">
            <v>0</v>
          </cell>
        </row>
        <row r="882">
          <cell r="B882" t="str">
            <v>non-cash transactions</v>
          </cell>
          <cell r="D882">
            <v>4.5</v>
          </cell>
          <cell r="I882">
            <v>-0.13897000000000001</v>
          </cell>
          <cell r="K882">
            <v>-160.76</v>
          </cell>
          <cell r="CG882">
            <v>1</v>
          </cell>
          <cell r="CH882">
            <v>1</v>
          </cell>
          <cell r="CI882">
            <v>0</v>
          </cell>
          <cell r="CJ882">
            <v>0</v>
          </cell>
          <cell r="CK882">
            <v>1</v>
          </cell>
          <cell r="CL882">
            <v>1</v>
          </cell>
        </row>
        <row r="883">
          <cell r="B883" t="str">
            <v>non-cash transactions</v>
          </cell>
          <cell r="D883">
            <v>4.5</v>
          </cell>
          <cell r="I883">
            <v>-8.9892E-2</v>
          </cell>
          <cell r="K883">
            <v>-506.64</v>
          </cell>
          <cell r="CG883">
            <v>0</v>
          </cell>
          <cell r="CH883">
            <v>1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</row>
        <row r="884">
          <cell r="B884" t="str">
            <v>non-cash transactions</v>
          </cell>
          <cell r="D884">
            <v>1.1000000000000001</v>
          </cell>
          <cell r="I884">
            <v>-0.48593999999999998</v>
          </cell>
          <cell r="K884">
            <v>-2.7E-2</v>
          </cell>
          <cell r="CG884">
            <v>1</v>
          </cell>
          <cell r="CH884">
            <v>1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</row>
        <row r="885">
          <cell r="B885" t="str">
            <v>non-cash transactions</v>
          </cell>
          <cell r="D885">
            <v>1.1000000000000001</v>
          </cell>
          <cell r="I885">
            <v>-0.12967999999999999</v>
          </cell>
          <cell r="K885">
            <v>-1.7994E-2</v>
          </cell>
          <cell r="CG885">
            <v>1</v>
          </cell>
          <cell r="CH885">
            <v>1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</row>
        <row r="886">
          <cell r="B886" t="str">
            <v>non-cash transactions</v>
          </cell>
          <cell r="D886">
            <v>1.1000000000000001</v>
          </cell>
          <cell r="I886">
            <v>-0.31988</v>
          </cell>
          <cell r="K886">
            <v>-3.6731E-2</v>
          </cell>
          <cell r="CG886">
            <v>1</v>
          </cell>
          <cell r="CH886">
            <v>1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</row>
        <row r="887">
          <cell r="B887" t="str">
            <v>non-cash transactions</v>
          </cell>
          <cell r="D887">
            <v>1.1000000000000001</v>
          </cell>
          <cell r="I887">
            <v>0.16672999999999999</v>
          </cell>
          <cell r="K887">
            <v>3.6731E-2</v>
          </cell>
          <cell r="CG887">
            <v>1</v>
          </cell>
          <cell r="CH887">
            <v>1</v>
          </cell>
          <cell r="CI887">
            <v>0</v>
          </cell>
          <cell r="CJ887">
            <v>1</v>
          </cell>
          <cell r="CK887">
            <v>0</v>
          </cell>
          <cell r="CL887">
            <v>0</v>
          </cell>
        </row>
        <row r="888">
          <cell r="B888" t="str">
            <v>non-cash transactions</v>
          </cell>
          <cell r="D888">
            <v>2.5</v>
          </cell>
          <cell r="I888">
            <v>-0.80552999999999997</v>
          </cell>
          <cell r="K888">
            <v>-4.7463999999999996E-3</v>
          </cell>
          <cell r="CG888">
            <v>0</v>
          </cell>
          <cell r="CH888">
            <v>1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</row>
        <row r="889">
          <cell r="B889" t="str">
            <v>non-cash transactions</v>
          </cell>
          <cell r="D889">
            <v>2.5</v>
          </cell>
          <cell r="I889">
            <v>6.7579E-2</v>
          </cell>
          <cell r="K889">
            <v>2.0072E-2</v>
          </cell>
          <cell r="CG889">
            <v>1</v>
          </cell>
          <cell r="CH889">
            <v>1</v>
          </cell>
          <cell r="CI889">
            <v>0</v>
          </cell>
          <cell r="CJ889">
            <v>0</v>
          </cell>
          <cell r="CK889">
            <v>0</v>
          </cell>
          <cell r="CL889">
            <v>1</v>
          </cell>
        </row>
        <row r="890">
          <cell r="B890" t="str">
            <v>non-cash transactions</v>
          </cell>
          <cell r="D890">
            <v>2.9</v>
          </cell>
          <cell r="I890">
            <v>0.31696000000000002</v>
          </cell>
          <cell r="K890">
            <v>1881500</v>
          </cell>
          <cell r="CG890">
            <v>1</v>
          </cell>
          <cell r="CH890">
            <v>1</v>
          </cell>
          <cell r="CI890">
            <v>0</v>
          </cell>
          <cell r="CJ890">
            <v>0</v>
          </cell>
          <cell r="CK890">
            <v>0</v>
          </cell>
          <cell r="CL890">
            <v>1</v>
          </cell>
        </row>
        <row r="891">
          <cell r="B891" t="str">
            <v>non-cash transactions</v>
          </cell>
          <cell r="D891">
            <v>4.0999999999999996</v>
          </cell>
          <cell r="I891">
            <v>0.12609999999999999</v>
          </cell>
          <cell r="K891">
            <v>4.2922000000000002</v>
          </cell>
          <cell r="CG891">
            <v>1</v>
          </cell>
          <cell r="CH891">
            <v>1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</row>
        <row r="892">
          <cell r="B892" t="str">
            <v>non-cash transactions</v>
          </cell>
          <cell r="D892">
            <v>4.0999999999999996</v>
          </cell>
          <cell r="I892">
            <v>0.12609999999999999</v>
          </cell>
          <cell r="K892">
            <v>4.2922000000000002</v>
          </cell>
          <cell r="CG892">
            <v>1</v>
          </cell>
          <cell r="CH892">
            <v>1</v>
          </cell>
          <cell r="CI892">
            <v>0</v>
          </cell>
          <cell r="CJ892">
            <v>0</v>
          </cell>
          <cell r="CK892">
            <v>0</v>
          </cell>
          <cell r="CL892">
            <v>1</v>
          </cell>
        </row>
        <row r="893">
          <cell r="B893" t="str">
            <v>non-cash transactions</v>
          </cell>
          <cell r="D893">
            <v>4.5</v>
          </cell>
          <cell r="I893">
            <v>0.38906000000000002</v>
          </cell>
          <cell r="K893">
            <v>109080</v>
          </cell>
          <cell r="CG893">
            <v>1</v>
          </cell>
          <cell r="CH893">
            <v>1</v>
          </cell>
          <cell r="CI893">
            <v>0</v>
          </cell>
          <cell r="CJ893">
            <v>0</v>
          </cell>
          <cell r="CK893">
            <v>0</v>
          </cell>
          <cell r="CL893">
            <v>1</v>
          </cell>
        </row>
        <row r="894">
          <cell r="B894" t="str">
            <v>non-cash transactions</v>
          </cell>
          <cell r="D894">
            <v>1.1000000000000001</v>
          </cell>
          <cell r="I894">
            <v>-0.13854</v>
          </cell>
          <cell r="K894">
            <v>-2.3473000000000001E-2</v>
          </cell>
          <cell r="CG894">
            <v>1</v>
          </cell>
          <cell r="CH894">
            <v>1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</row>
        <row r="895">
          <cell r="B895" t="str">
            <v>non-cash transactions</v>
          </cell>
          <cell r="D895">
            <v>1.1000000000000001</v>
          </cell>
          <cell r="I895">
            <v>0.14824999999999999</v>
          </cell>
          <cell r="K895">
            <v>2.3473000000000001E-2</v>
          </cell>
          <cell r="CG895">
            <v>1</v>
          </cell>
          <cell r="CH895">
            <v>1</v>
          </cell>
          <cell r="CI895">
            <v>0</v>
          </cell>
          <cell r="CJ895">
            <v>1</v>
          </cell>
          <cell r="CK895">
            <v>0</v>
          </cell>
          <cell r="CL895">
            <v>0</v>
          </cell>
        </row>
        <row r="896">
          <cell r="B896" t="str">
            <v>non-cash transactions</v>
          </cell>
          <cell r="D896">
            <v>3.2</v>
          </cell>
          <cell r="I896">
            <v>-0.53513999999999995</v>
          </cell>
          <cell r="K896">
            <v>-3.5332000000000002E-2</v>
          </cell>
          <cell r="CG896">
            <v>1</v>
          </cell>
          <cell r="CH896">
            <v>1</v>
          </cell>
          <cell r="CI896">
            <v>0</v>
          </cell>
          <cell r="CJ896">
            <v>0</v>
          </cell>
          <cell r="CK896">
            <v>0</v>
          </cell>
          <cell r="CL896">
            <v>1</v>
          </cell>
        </row>
        <row r="897">
          <cell r="B897" t="str">
            <v>non-cash transactions</v>
          </cell>
          <cell r="D897">
            <v>3.2</v>
          </cell>
          <cell r="I897">
            <v>-0.1386</v>
          </cell>
          <cell r="K897">
            <v>-2.6339000000000001E-2</v>
          </cell>
          <cell r="CG897">
            <v>1</v>
          </cell>
          <cell r="CH897">
            <v>1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</row>
        <row r="898">
          <cell r="B898" t="str">
            <v>non-cash transactions</v>
          </cell>
          <cell r="D898">
            <v>3.2</v>
          </cell>
          <cell r="I898">
            <v>-0.19102</v>
          </cell>
          <cell r="K898">
            <v>-1.9051999999999999E-2</v>
          </cell>
          <cell r="CG898">
            <v>1</v>
          </cell>
          <cell r="CH898">
            <v>1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</row>
        <row r="899">
          <cell r="B899" t="str">
            <v>non-cash transactions</v>
          </cell>
          <cell r="D899">
            <v>3.2</v>
          </cell>
          <cell r="I899">
            <v>-0.15379000000000001</v>
          </cell>
          <cell r="K899">
            <v>-1.2895999999999999E-2</v>
          </cell>
          <cell r="CG899">
            <v>1</v>
          </cell>
          <cell r="CH899">
            <v>1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</row>
        <row r="900">
          <cell r="B900" t="str">
            <v>non-cash transactions</v>
          </cell>
          <cell r="D900">
            <v>3.2</v>
          </cell>
          <cell r="I900">
            <v>-9.8355999999999999E-2</v>
          </cell>
          <cell r="K900">
            <v>-9.9515999999999997E-3</v>
          </cell>
          <cell r="CG900">
            <v>1</v>
          </cell>
          <cell r="CH900">
            <v>1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</row>
        <row r="901">
          <cell r="B901" t="str">
            <v>non-cash transactions</v>
          </cell>
          <cell r="D901">
            <v>3.2</v>
          </cell>
          <cell r="I901">
            <v>-0.11108999999999999</v>
          </cell>
          <cell r="K901">
            <v>-9.9507999999999992E-3</v>
          </cell>
          <cell r="CG901">
            <v>1</v>
          </cell>
          <cell r="CH901">
            <v>1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</row>
        <row r="902">
          <cell r="B902" t="str">
            <v>non-cash transactions</v>
          </cell>
          <cell r="D902">
            <v>3.2</v>
          </cell>
          <cell r="I902">
            <v>-0.14726</v>
          </cell>
          <cell r="K902">
            <v>-1.1879000000000001E-2</v>
          </cell>
          <cell r="CG902">
            <v>1</v>
          </cell>
          <cell r="CH902">
            <v>1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</row>
        <row r="903">
          <cell r="B903" t="str">
            <v>non-cash transactions</v>
          </cell>
          <cell r="D903">
            <v>3.2</v>
          </cell>
          <cell r="I903">
            <v>-0.18076999999999999</v>
          </cell>
          <cell r="K903">
            <v>-1.4767000000000001E-2</v>
          </cell>
          <cell r="CG903">
            <v>1</v>
          </cell>
          <cell r="CH903">
            <v>1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</row>
        <row r="904">
          <cell r="B904" t="str">
            <v>non-cash transactions</v>
          </cell>
          <cell r="D904">
            <v>3.2</v>
          </cell>
          <cell r="I904">
            <v>-8.0576999999999996E-2</v>
          </cell>
          <cell r="K904">
            <v>-7.0349000000000002E-3</v>
          </cell>
          <cell r="CG904">
            <v>1</v>
          </cell>
          <cell r="CH904">
            <v>1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</row>
        <row r="905">
          <cell r="B905" t="str">
            <v>non-cash transactions</v>
          </cell>
          <cell r="D905">
            <v>4.0999999999999996</v>
          </cell>
          <cell r="I905">
            <v>0.50961000000000001</v>
          </cell>
          <cell r="K905">
            <v>4.1451000000000002</v>
          </cell>
          <cell r="CG905">
            <v>1</v>
          </cell>
          <cell r="CH905">
            <v>1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</row>
        <row r="906">
          <cell r="B906" t="str">
            <v>non-cash transactions</v>
          </cell>
          <cell r="D906">
            <v>4.0999999999999996</v>
          </cell>
          <cell r="I906">
            <v>0.435</v>
          </cell>
          <cell r="K906">
            <v>3.7755000000000001</v>
          </cell>
          <cell r="CG906">
            <v>1</v>
          </cell>
          <cell r="CH906">
            <v>1</v>
          </cell>
          <cell r="CI906">
            <v>0</v>
          </cell>
          <cell r="CJ906">
            <v>0</v>
          </cell>
          <cell r="CK906">
            <v>0</v>
          </cell>
          <cell r="CL906">
            <v>1</v>
          </cell>
        </row>
        <row r="907">
          <cell r="B907" t="str">
            <v>organic food consumption</v>
          </cell>
          <cell r="D907">
            <v>1.1000000000000001</v>
          </cell>
          <cell r="I907">
            <v>0.12714</v>
          </cell>
          <cell r="K907">
            <v>102.88</v>
          </cell>
          <cell r="CG907">
            <v>1</v>
          </cell>
          <cell r="CH907">
            <v>1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</row>
        <row r="908">
          <cell r="B908" t="str">
            <v>organic food consumption</v>
          </cell>
          <cell r="D908">
            <v>1.1000000000000001</v>
          </cell>
          <cell r="I908">
            <v>5.7688999999999997E-2</v>
          </cell>
          <cell r="K908">
            <v>3.9940000000000002E-3</v>
          </cell>
          <cell r="CG908">
            <v>1</v>
          </cell>
          <cell r="CH908">
            <v>1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</row>
        <row r="909">
          <cell r="B909" t="str">
            <v>organic food consumption</v>
          </cell>
          <cell r="D909">
            <v>1.1000000000000001</v>
          </cell>
          <cell r="I909">
            <v>6.3067999999999999E-2</v>
          </cell>
          <cell r="K909">
            <v>3.9940000000000002E-3</v>
          </cell>
          <cell r="CG909">
            <v>1</v>
          </cell>
          <cell r="CH909">
            <v>1</v>
          </cell>
          <cell r="CI909">
            <v>0</v>
          </cell>
          <cell r="CJ909">
            <v>1</v>
          </cell>
          <cell r="CK909">
            <v>0</v>
          </cell>
          <cell r="CL909">
            <v>0</v>
          </cell>
        </row>
        <row r="910">
          <cell r="B910" t="str">
            <v>organic food consumption</v>
          </cell>
          <cell r="D910">
            <v>2.2000000000000002</v>
          </cell>
          <cell r="I910">
            <v>1.8599000000000001E-2</v>
          </cell>
          <cell r="K910">
            <v>0.61495</v>
          </cell>
          <cell r="CG910">
            <v>1</v>
          </cell>
          <cell r="CH910">
            <v>1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</row>
        <row r="911">
          <cell r="B911" t="str">
            <v>organic food consumption</v>
          </cell>
          <cell r="D911">
            <v>2.2000000000000002</v>
          </cell>
          <cell r="I911">
            <v>2.9166000000000001E-2</v>
          </cell>
          <cell r="K911">
            <v>0.30308000000000002</v>
          </cell>
          <cell r="CG911">
            <v>1</v>
          </cell>
          <cell r="CH911">
            <v>1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</row>
        <row r="912">
          <cell r="B912" t="str">
            <v>organic food consumption</v>
          </cell>
          <cell r="D912">
            <v>2.2000000000000002</v>
          </cell>
          <cell r="I912">
            <v>1.6060999999999999E-2</v>
          </cell>
          <cell r="K912">
            <v>0.51388</v>
          </cell>
          <cell r="CG912">
            <v>1</v>
          </cell>
          <cell r="CH912">
            <v>1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</row>
        <row r="913">
          <cell r="B913" t="str">
            <v>organic food consumption</v>
          </cell>
          <cell r="D913">
            <v>2.2000000000000002</v>
          </cell>
          <cell r="I913">
            <v>2.6065999999999999E-2</v>
          </cell>
          <cell r="K913">
            <v>0.38252000000000003</v>
          </cell>
          <cell r="CG913">
            <v>1</v>
          </cell>
          <cell r="CH913">
            <v>1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</row>
        <row r="914">
          <cell r="B914" t="str">
            <v>organic food consumption</v>
          </cell>
          <cell r="D914">
            <v>2.2000000000000002</v>
          </cell>
          <cell r="I914">
            <v>3.9025999999999998E-2</v>
          </cell>
          <cell r="K914">
            <v>0.82723999999999998</v>
          </cell>
          <cell r="CG914">
            <v>1</v>
          </cell>
          <cell r="CH914">
            <v>1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</row>
        <row r="915">
          <cell r="B915" t="str">
            <v>organic food consumption</v>
          </cell>
          <cell r="D915">
            <v>2.2000000000000002</v>
          </cell>
          <cell r="I915">
            <v>2.0900999999999999E-2</v>
          </cell>
          <cell r="K915">
            <v>0.82143999999999995</v>
          </cell>
          <cell r="CG915">
            <v>1</v>
          </cell>
          <cell r="CH915">
            <v>1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</row>
        <row r="916">
          <cell r="B916" t="str">
            <v>organic food consumption</v>
          </cell>
          <cell r="D916">
            <v>2.2000000000000002</v>
          </cell>
          <cell r="I916">
            <v>0.12870000000000001</v>
          </cell>
          <cell r="K916">
            <v>11.327999999999999</v>
          </cell>
          <cell r="CG916">
            <v>1</v>
          </cell>
          <cell r="CH916">
            <v>1</v>
          </cell>
          <cell r="CI916">
            <v>0</v>
          </cell>
          <cell r="CJ916">
            <v>0</v>
          </cell>
          <cell r="CK916">
            <v>0</v>
          </cell>
          <cell r="CL916">
            <v>1</v>
          </cell>
          <cell r="CM916" t="str">
            <v>moved from 1.1</v>
          </cell>
        </row>
        <row r="917">
          <cell r="B917" t="str">
            <v>organic food consumption</v>
          </cell>
          <cell r="D917">
            <v>2.5</v>
          </cell>
          <cell r="I917">
            <v>-0.19641</v>
          </cell>
          <cell r="K917">
            <v>-0.89327999999999996</v>
          </cell>
          <cell r="CG917">
            <v>0</v>
          </cell>
          <cell r="CH917">
            <v>1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</row>
        <row r="918">
          <cell r="B918" t="str">
            <v>organic food consumption</v>
          </cell>
          <cell r="D918">
            <v>2.5</v>
          </cell>
          <cell r="I918">
            <v>0.13594999999999999</v>
          </cell>
          <cell r="K918">
            <v>69.540999999999997</v>
          </cell>
          <cell r="CG918">
            <v>1</v>
          </cell>
          <cell r="CH918">
            <v>1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</row>
        <row r="919">
          <cell r="B919" t="str">
            <v>organic food consumption</v>
          </cell>
          <cell r="D919">
            <v>2.5</v>
          </cell>
          <cell r="I919">
            <v>1.4318000000000001E-2</v>
          </cell>
          <cell r="K919">
            <v>307.49</v>
          </cell>
          <cell r="CG919">
            <v>1</v>
          </cell>
          <cell r="CH919">
            <v>1</v>
          </cell>
          <cell r="CI919">
            <v>0</v>
          </cell>
          <cell r="CJ919">
            <v>0</v>
          </cell>
          <cell r="CK919">
            <v>0</v>
          </cell>
          <cell r="CL919">
            <v>1</v>
          </cell>
        </row>
        <row r="920">
          <cell r="B920" t="str">
            <v>organic food consumption</v>
          </cell>
          <cell r="D920">
            <v>3.5</v>
          </cell>
          <cell r="I920">
            <v>9.6694000000000002E-2</v>
          </cell>
          <cell r="K920">
            <v>0.20527000000000001</v>
          </cell>
          <cell r="CG920">
            <v>1</v>
          </cell>
          <cell r="CH920">
            <v>1</v>
          </cell>
          <cell r="CI920">
            <v>0</v>
          </cell>
          <cell r="CJ920">
            <v>0</v>
          </cell>
          <cell r="CK920">
            <v>0</v>
          </cell>
          <cell r="CL920">
            <v>1</v>
          </cell>
        </row>
        <row r="921">
          <cell r="B921" t="str">
            <v>organic food consumption</v>
          </cell>
          <cell r="D921">
            <v>3.5</v>
          </cell>
          <cell r="I921">
            <v>0.13539000000000001</v>
          </cell>
          <cell r="K921">
            <v>1.0671999999999999E-2</v>
          </cell>
          <cell r="CG921">
            <v>0</v>
          </cell>
          <cell r="CH921">
            <v>1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</row>
        <row r="922">
          <cell r="B922" t="str">
            <v>organic food consumption</v>
          </cell>
          <cell r="D922">
            <v>3.5</v>
          </cell>
          <cell r="I922">
            <v>17.427</v>
          </cell>
          <cell r="K922">
            <v>1.502E-2</v>
          </cell>
          <cell r="CG922">
            <v>0</v>
          </cell>
          <cell r="CH922">
            <v>1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</row>
        <row r="923">
          <cell r="B923" t="str">
            <v>organic food consumption</v>
          </cell>
          <cell r="D923">
            <v>3.5</v>
          </cell>
          <cell r="I923">
            <v>36.21</v>
          </cell>
          <cell r="K923">
            <v>3.3209E-4</v>
          </cell>
          <cell r="CG923">
            <v>0</v>
          </cell>
          <cell r="CH923">
            <v>1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</row>
        <row r="924">
          <cell r="B924" t="str">
            <v>organic food consumption</v>
          </cell>
          <cell r="D924">
            <v>3.5</v>
          </cell>
          <cell r="I924">
            <v>36.942999999999998</v>
          </cell>
          <cell r="K924">
            <v>9.1314E-4</v>
          </cell>
          <cell r="CG924">
            <v>0</v>
          </cell>
          <cell r="CH924">
            <v>1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</row>
        <row r="925">
          <cell r="B925" t="str">
            <v>organic food consumption</v>
          </cell>
          <cell r="D925">
            <v>3.5</v>
          </cell>
          <cell r="I925">
            <v>0.29135</v>
          </cell>
          <cell r="K925">
            <v>2.5692E-2</v>
          </cell>
          <cell r="CG925">
            <v>0</v>
          </cell>
          <cell r="CH925">
            <v>1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</row>
        <row r="926">
          <cell r="B926" t="str">
            <v>organic food consumption</v>
          </cell>
          <cell r="D926">
            <v>3.5</v>
          </cell>
          <cell r="I926">
            <v>0.11685</v>
          </cell>
          <cell r="K926">
            <v>2.4683999999999999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</row>
        <row r="927">
          <cell r="B927" t="str">
            <v>organic food consumption</v>
          </cell>
          <cell r="D927">
            <v>3.5</v>
          </cell>
          <cell r="I927">
            <v>8.2499000000000003E-2</v>
          </cell>
          <cell r="K927">
            <v>0.14595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</row>
        <row r="928">
          <cell r="B928" t="str">
            <v>organic food consumption</v>
          </cell>
          <cell r="D928">
            <v>3.5</v>
          </cell>
          <cell r="I928">
            <v>9.6694000000000002E-2</v>
          </cell>
          <cell r="K928">
            <v>0.20527000000000001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</row>
        <row r="929">
          <cell r="B929" t="str">
            <v>organic food consumption</v>
          </cell>
          <cell r="D929">
            <v>3.5</v>
          </cell>
          <cell r="I929">
            <v>1.3376999999999999</v>
          </cell>
          <cell r="K929">
            <v>2.1861999999999999E-2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</row>
        <row r="930">
          <cell r="B930" t="str">
            <v>organic food consumption</v>
          </cell>
          <cell r="D930">
            <v>3.5</v>
          </cell>
          <cell r="I930">
            <v>0.98809000000000002</v>
          </cell>
          <cell r="K930">
            <v>6.2714000000000006E-2</v>
          </cell>
          <cell r="CG930">
            <v>1</v>
          </cell>
          <cell r="CH930">
            <v>1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</row>
        <row r="931">
          <cell r="B931" t="str">
            <v>organic food consumption</v>
          </cell>
          <cell r="D931">
            <v>3.5</v>
          </cell>
          <cell r="I931">
            <v>9.6065000000000005</v>
          </cell>
          <cell r="K931">
            <v>1.4799E-2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</row>
        <row r="932">
          <cell r="B932" t="str">
            <v>organic food consumption</v>
          </cell>
          <cell r="D932">
            <v>3.5</v>
          </cell>
          <cell r="I932">
            <v>57.767000000000003</v>
          </cell>
          <cell r="K932">
            <v>3.8427999999999999E-3</v>
          </cell>
          <cell r="CG932">
            <v>0</v>
          </cell>
          <cell r="CH932">
            <v>1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</row>
        <row r="933">
          <cell r="B933" t="str">
            <v>organic food consumption</v>
          </cell>
          <cell r="D933">
            <v>3.5</v>
          </cell>
          <cell r="I933">
            <v>18.048999999999999</v>
          </cell>
          <cell r="K933">
            <v>7.6831000000000002E-4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</row>
        <row r="934">
          <cell r="B934" t="str">
            <v>organic food consumption</v>
          </cell>
          <cell r="D934">
            <v>3.5</v>
          </cell>
          <cell r="K934">
            <v>9.5758000000000006E-3</v>
          </cell>
          <cell r="CG934">
            <v>0</v>
          </cell>
          <cell r="CH934">
            <v>1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</row>
        <row r="935">
          <cell r="B935" t="str">
            <v>organic food consumption</v>
          </cell>
          <cell r="D935">
            <v>3.5</v>
          </cell>
          <cell r="K935">
            <v>1.8798E-3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</row>
        <row r="936">
          <cell r="B936" t="str">
            <v>organic food consumption</v>
          </cell>
          <cell r="D936">
            <v>3.5</v>
          </cell>
          <cell r="I936">
            <v>0.11197</v>
          </cell>
          <cell r="K936">
            <v>0.26468999999999998</v>
          </cell>
          <cell r="CG936">
            <v>1</v>
          </cell>
          <cell r="CH936">
            <v>1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</row>
        <row r="937">
          <cell r="B937" t="str">
            <v>organic food consumption</v>
          </cell>
          <cell r="D937">
            <v>3.5</v>
          </cell>
          <cell r="I937">
            <v>0.26219999999999999</v>
          </cell>
          <cell r="K937">
            <v>2.8389999999999999E-2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</row>
        <row r="938">
          <cell r="B938" t="str">
            <v>organic food consumption</v>
          </cell>
          <cell r="D938">
            <v>4.0999999999999996</v>
          </cell>
          <cell r="I938">
            <v>2.0768</v>
          </cell>
          <cell r="K938">
            <v>2.702</v>
          </cell>
          <cell r="CG938">
            <v>1</v>
          </cell>
          <cell r="CH938">
            <v>1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</row>
        <row r="939">
          <cell r="B939" t="str">
            <v>organic food consumption</v>
          </cell>
          <cell r="D939">
            <v>4.0999999999999996</v>
          </cell>
          <cell r="I939">
            <v>0.59157000000000004</v>
          </cell>
          <cell r="K939">
            <v>7.5149999999999997</v>
          </cell>
          <cell r="CG939">
            <v>1</v>
          </cell>
          <cell r="CH939">
            <v>1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</row>
        <row r="940">
          <cell r="B940" t="str">
            <v>organic food consumption</v>
          </cell>
          <cell r="D940">
            <v>4.5</v>
          </cell>
          <cell r="I940">
            <v>1.8602E-2</v>
          </cell>
          <cell r="K940">
            <v>10340</v>
          </cell>
          <cell r="CG940">
            <v>1</v>
          </cell>
          <cell r="CH940">
            <v>1</v>
          </cell>
          <cell r="CI940">
            <v>0</v>
          </cell>
          <cell r="CJ940">
            <v>0</v>
          </cell>
          <cell r="CK940">
            <v>0</v>
          </cell>
          <cell r="CL940">
            <v>1</v>
          </cell>
        </row>
        <row r="941">
          <cell r="B941" t="str">
            <v>organic food consumption</v>
          </cell>
          <cell r="D941">
            <v>4.5</v>
          </cell>
          <cell r="I941">
            <v>2.5965999999999999E-2</v>
          </cell>
          <cell r="K941">
            <v>5.2981E-3</v>
          </cell>
          <cell r="CG941">
            <v>1</v>
          </cell>
          <cell r="CH941">
            <v>1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</row>
        <row r="942">
          <cell r="B942" t="str">
            <v>organic food consumption</v>
          </cell>
          <cell r="D942">
            <v>1.1000000000000001</v>
          </cell>
          <cell r="I942">
            <v>0.10347000000000001</v>
          </cell>
          <cell r="K942">
            <v>222.79</v>
          </cell>
          <cell r="CG942">
            <v>1</v>
          </cell>
          <cell r="CH942">
            <v>1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</row>
        <row r="943">
          <cell r="B943" t="str">
            <v>organic food consumption</v>
          </cell>
          <cell r="D943">
            <v>1.1000000000000001</v>
          </cell>
          <cell r="I943">
            <v>2.3678000000000001E-2</v>
          </cell>
          <cell r="K943">
            <v>6.4835000000000001E-4</v>
          </cell>
          <cell r="CG943">
            <v>1</v>
          </cell>
          <cell r="CH943">
            <v>1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</row>
        <row r="944">
          <cell r="B944" t="str">
            <v>organic food consumption</v>
          </cell>
          <cell r="D944">
            <v>1.1000000000000001</v>
          </cell>
          <cell r="I944">
            <v>2.4840999999999998E-2</v>
          </cell>
          <cell r="K944">
            <v>6.4835000000000001E-4</v>
          </cell>
          <cell r="CG944">
            <v>1</v>
          </cell>
          <cell r="CH944">
            <v>1</v>
          </cell>
          <cell r="CI944">
            <v>0</v>
          </cell>
          <cell r="CJ944">
            <v>1</v>
          </cell>
          <cell r="CK944">
            <v>0</v>
          </cell>
          <cell r="CL944">
            <v>0</v>
          </cell>
        </row>
        <row r="945">
          <cell r="B945" t="str">
            <v>organic food consumption</v>
          </cell>
          <cell r="D945">
            <v>2.2000000000000002</v>
          </cell>
          <cell r="I945">
            <v>8.7828000000000003E-2</v>
          </cell>
          <cell r="K945">
            <v>6.7076000000000002</v>
          </cell>
          <cell r="CG945">
            <v>1</v>
          </cell>
          <cell r="CH945">
            <v>1</v>
          </cell>
          <cell r="CI945">
            <v>0</v>
          </cell>
          <cell r="CJ945">
            <v>0</v>
          </cell>
          <cell r="CK945">
            <v>0</v>
          </cell>
          <cell r="CL945">
            <v>1</v>
          </cell>
          <cell r="CM945" t="str">
            <v>moved from 1.1</v>
          </cell>
        </row>
        <row r="946">
          <cell r="B946" t="str">
            <v>organic food consumption</v>
          </cell>
          <cell r="D946">
            <v>2.5</v>
          </cell>
          <cell r="I946">
            <v>0.18004000000000001</v>
          </cell>
          <cell r="K946">
            <v>72.986000000000004</v>
          </cell>
          <cell r="CG946">
            <v>1</v>
          </cell>
          <cell r="CH946">
            <v>1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</row>
        <row r="947">
          <cell r="B947" t="str">
            <v>organic food consumption</v>
          </cell>
          <cell r="D947">
            <v>2.5</v>
          </cell>
          <cell r="I947">
            <v>3.7343000000000001E-2</v>
          </cell>
          <cell r="K947">
            <v>144.68</v>
          </cell>
          <cell r="CG947">
            <v>1</v>
          </cell>
          <cell r="CH947">
            <v>1</v>
          </cell>
          <cell r="CI947">
            <v>0</v>
          </cell>
          <cell r="CJ947">
            <v>0</v>
          </cell>
          <cell r="CK947">
            <v>0</v>
          </cell>
          <cell r="CL947">
            <v>1</v>
          </cell>
        </row>
        <row r="948">
          <cell r="B948" t="str">
            <v>organic food consumption</v>
          </cell>
          <cell r="D948">
            <v>3.5</v>
          </cell>
          <cell r="I948">
            <v>0.14846000000000001</v>
          </cell>
          <cell r="K948">
            <v>1.6145</v>
          </cell>
          <cell r="CG948">
            <v>1</v>
          </cell>
          <cell r="CH948">
            <v>1</v>
          </cell>
          <cell r="CI948">
            <v>0</v>
          </cell>
          <cell r="CJ948">
            <v>0</v>
          </cell>
          <cell r="CK948">
            <v>0</v>
          </cell>
          <cell r="CL948">
            <v>1</v>
          </cell>
        </row>
        <row r="949">
          <cell r="B949" t="str">
            <v>organic food consumption</v>
          </cell>
          <cell r="D949">
            <v>3.5</v>
          </cell>
          <cell r="I949">
            <v>0.28602</v>
          </cell>
          <cell r="K949">
            <v>4.9274999999999999E-2</v>
          </cell>
          <cell r="CG949">
            <v>0</v>
          </cell>
          <cell r="CH949">
            <v>1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</row>
        <row r="950">
          <cell r="B950" t="str">
            <v>organic food consumption</v>
          </cell>
          <cell r="D950">
            <v>3.5</v>
          </cell>
          <cell r="I950">
            <v>0.31955</v>
          </cell>
          <cell r="K950">
            <v>6.7984000000000003E-2</v>
          </cell>
          <cell r="CG950">
            <v>1</v>
          </cell>
          <cell r="CH950">
            <v>1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</row>
        <row r="951">
          <cell r="B951" t="str">
            <v>organic food consumption</v>
          </cell>
          <cell r="D951">
            <v>3.5</v>
          </cell>
          <cell r="I951">
            <v>34.923999999999999</v>
          </cell>
          <cell r="K951">
            <v>2.1366999999999998</v>
          </cell>
          <cell r="CG951">
            <v>0</v>
          </cell>
          <cell r="CH951">
            <v>1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</row>
        <row r="952">
          <cell r="B952" t="str">
            <v>organic food consumption</v>
          </cell>
          <cell r="D952">
            <v>3.5</v>
          </cell>
          <cell r="I952">
            <v>0.51988000000000001</v>
          </cell>
          <cell r="K952">
            <v>4.8533999999999997</v>
          </cell>
          <cell r="CG952">
            <v>1</v>
          </cell>
          <cell r="CH952">
            <v>1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</row>
        <row r="953">
          <cell r="B953" t="str">
            <v>organic food consumption</v>
          </cell>
          <cell r="D953">
            <v>3.5</v>
          </cell>
          <cell r="I953">
            <v>0.28527999999999998</v>
          </cell>
          <cell r="K953">
            <v>0.28155000000000002</v>
          </cell>
          <cell r="CG953">
            <v>1</v>
          </cell>
          <cell r="CH953">
            <v>1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</row>
        <row r="954">
          <cell r="B954" t="str">
            <v>organic food consumption</v>
          </cell>
          <cell r="D954">
            <v>3.5</v>
          </cell>
          <cell r="I954">
            <v>0.14183000000000001</v>
          </cell>
          <cell r="K954">
            <v>21.786000000000001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</row>
        <row r="955">
          <cell r="B955" t="str">
            <v>organic food consumption</v>
          </cell>
          <cell r="D955">
            <v>3.5</v>
          </cell>
          <cell r="I955">
            <v>0.14581</v>
          </cell>
          <cell r="K955">
            <v>1.6047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</row>
        <row r="956">
          <cell r="B956" t="str">
            <v>organic food consumption</v>
          </cell>
          <cell r="D956">
            <v>3.5</v>
          </cell>
          <cell r="I956">
            <v>0.14846000000000001</v>
          </cell>
          <cell r="K956">
            <v>1.6145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</row>
        <row r="957">
          <cell r="B957" t="str">
            <v>organic food consumption</v>
          </cell>
          <cell r="D957">
            <v>3.5</v>
          </cell>
          <cell r="I957">
            <v>8.6711999999999997E-2</v>
          </cell>
          <cell r="K957">
            <v>9.7631999999999997E-2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</row>
        <row r="958">
          <cell r="B958" t="str">
            <v>organic food consumption</v>
          </cell>
          <cell r="D958">
            <v>3.5</v>
          </cell>
          <cell r="I958">
            <v>0.21507000000000001</v>
          </cell>
          <cell r="K958">
            <v>0.62292000000000003</v>
          </cell>
          <cell r="CG958">
            <v>1</v>
          </cell>
          <cell r="CH958">
            <v>1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</row>
        <row r="959">
          <cell r="B959" t="str">
            <v>organic food consumption</v>
          </cell>
          <cell r="D959">
            <v>3.5</v>
          </cell>
          <cell r="I959">
            <v>0.23785999999999999</v>
          </cell>
          <cell r="K959">
            <v>6.7596000000000003E-2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</row>
        <row r="960">
          <cell r="B960" t="str">
            <v>organic food consumption</v>
          </cell>
          <cell r="D960">
            <v>3.5</v>
          </cell>
          <cell r="I960">
            <v>7.1921999999999997</v>
          </cell>
          <cell r="K960">
            <v>13.076000000000001</v>
          </cell>
          <cell r="CG960">
            <v>0</v>
          </cell>
          <cell r="CH960">
            <v>1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</row>
        <row r="961">
          <cell r="B961" t="str">
            <v>organic food consumption</v>
          </cell>
          <cell r="D961">
            <v>3.5</v>
          </cell>
          <cell r="I961">
            <v>5.4794999999999998</v>
          </cell>
          <cell r="K961">
            <v>3.1051000000000002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</row>
        <row r="962">
          <cell r="B962" t="str">
            <v>organic food consumption</v>
          </cell>
          <cell r="D962">
            <v>3.5</v>
          </cell>
          <cell r="I962">
            <v>0.33495999999999998</v>
          </cell>
          <cell r="K962">
            <v>49.110999999999997</v>
          </cell>
          <cell r="CG962">
            <v>1</v>
          </cell>
          <cell r="CH962">
            <v>1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</row>
        <row r="963">
          <cell r="B963" t="str">
            <v>organic food consumption</v>
          </cell>
          <cell r="D963">
            <v>3.5</v>
          </cell>
          <cell r="I963">
            <v>2.7528000000000001</v>
          </cell>
          <cell r="K963">
            <v>6.8007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</row>
        <row r="964">
          <cell r="B964" t="str">
            <v>organic food consumption</v>
          </cell>
          <cell r="D964">
            <v>3.5</v>
          </cell>
          <cell r="I964">
            <v>0.20218</v>
          </cell>
          <cell r="K964">
            <v>2.5501</v>
          </cell>
          <cell r="CG964">
            <v>1</v>
          </cell>
          <cell r="CH964">
            <v>1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</row>
        <row r="965">
          <cell r="B965" t="str">
            <v>organic food consumption</v>
          </cell>
          <cell r="D965">
            <v>3.5</v>
          </cell>
          <cell r="I965">
            <v>0.16980999999999999</v>
          </cell>
          <cell r="K965">
            <v>0.25366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</row>
        <row r="966">
          <cell r="B966" t="str">
            <v>organic food consumption</v>
          </cell>
          <cell r="D966">
            <v>4.0999999999999996</v>
          </cell>
          <cell r="I966">
            <v>-0.33183000000000001</v>
          </cell>
          <cell r="K966">
            <v>-4.9020999999999999</v>
          </cell>
          <cell r="CG966">
            <v>1</v>
          </cell>
          <cell r="CH966">
            <v>1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</row>
        <row r="967">
          <cell r="B967" t="str">
            <v>organic food consumption</v>
          </cell>
          <cell r="D967">
            <v>4.0999999999999996</v>
          </cell>
          <cell r="I967">
            <v>2.8510000000000001E-2</v>
          </cell>
          <cell r="K967">
            <v>2.5581</v>
          </cell>
          <cell r="CG967">
            <v>0</v>
          </cell>
          <cell r="CH967">
            <v>1</v>
          </cell>
          <cell r="CI967">
            <v>0</v>
          </cell>
          <cell r="CJ967">
            <v>0</v>
          </cell>
          <cell r="CK967">
            <v>0</v>
          </cell>
          <cell r="CL967">
            <v>1</v>
          </cell>
        </row>
        <row r="968">
          <cell r="B968" t="str">
            <v>organic food consumption</v>
          </cell>
          <cell r="D968">
            <v>4.5</v>
          </cell>
          <cell r="I968">
            <v>7.3556999999999997E-2</v>
          </cell>
          <cell r="K968">
            <v>50381</v>
          </cell>
          <cell r="CG968">
            <v>1</v>
          </cell>
          <cell r="CH968">
            <v>1</v>
          </cell>
          <cell r="CI968">
            <v>0</v>
          </cell>
          <cell r="CJ968">
            <v>0</v>
          </cell>
          <cell r="CK968">
            <v>0</v>
          </cell>
          <cell r="CL968">
            <v>1</v>
          </cell>
        </row>
        <row r="969">
          <cell r="B969" t="str">
            <v>organic food consumption</v>
          </cell>
          <cell r="D969">
            <v>4.5</v>
          </cell>
          <cell r="I969">
            <v>8.0496999999999999E-2</v>
          </cell>
          <cell r="K969">
            <v>9.4328000000000001E-4</v>
          </cell>
          <cell r="CG969">
            <v>1</v>
          </cell>
          <cell r="CH969">
            <v>1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</row>
        <row r="970">
          <cell r="B970" t="str">
            <v>organic food consumption</v>
          </cell>
          <cell r="D970">
            <v>1.1000000000000001</v>
          </cell>
          <cell r="I970">
            <v>0.13134999999999999</v>
          </cell>
          <cell r="K970">
            <v>95.527000000000001</v>
          </cell>
          <cell r="CG970">
            <v>1</v>
          </cell>
          <cell r="CH970">
            <v>1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</row>
        <row r="971">
          <cell r="B971" t="str">
            <v>organic food consumption</v>
          </cell>
          <cell r="D971">
            <v>1.1000000000000001</v>
          </cell>
          <cell r="I971">
            <v>0.13791999999999999</v>
          </cell>
          <cell r="K971">
            <v>5.6579000000000004E-3</v>
          </cell>
          <cell r="CG971">
            <v>1</v>
          </cell>
          <cell r="CH971">
            <v>1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</row>
        <row r="972">
          <cell r="B972" t="str">
            <v>organic food consumption</v>
          </cell>
          <cell r="D972">
            <v>1.1000000000000001</v>
          </cell>
          <cell r="I972">
            <v>0.13791999999999999</v>
          </cell>
          <cell r="K972">
            <v>5.6579000000000004E-3</v>
          </cell>
          <cell r="CG972">
            <v>1</v>
          </cell>
          <cell r="CH972">
            <v>1</v>
          </cell>
          <cell r="CI972">
            <v>1</v>
          </cell>
          <cell r="CJ972">
            <v>1</v>
          </cell>
          <cell r="CK972">
            <v>0</v>
          </cell>
          <cell r="CL972">
            <v>0</v>
          </cell>
        </row>
        <row r="973">
          <cell r="B973" t="str">
            <v>organic food consumption</v>
          </cell>
          <cell r="D973">
            <v>2.2000000000000002</v>
          </cell>
          <cell r="I973">
            <v>0.12476</v>
          </cell>
          <cell r="K973">
            <v>16.074000000000002</v>
          </cell>
          <cell r="CG973">
            <v>1</v>
          </cell>
          <cell r="CH973">
            <v>1</v>
          </cell>
          <cell r="CI973">
            <v>0</v>
          </cell>
          <cell r="CJ973">
            <v>0</v>
          </cell>
          <cell r="CK973">
            <v>1</v>
          </cell>
          <cell r="CL973">
            <v>1</v>
          </cell>
          <cell r="CM973" t="str">
            <v>moved from 1.1</v>
          </cell>
        </row>
        <row r="974">
          <cell r="B974" t="str">
            <v>organic food consumption</v>
          </cell>
          <cell r="D974">
            <v>2.5</v>
          </cell>
          <cell r="I974">
            <v>1.0771999999999999</v>
          </cell>
          <cell r="K974">
            <v>1.6107</v>
          </cell>
          <cell r="CG974">
            <v>0</v>
          </cell>
          <cell r="CH974">
            <v>1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</row>
        <row r="975">
          <cell r="B975" t="str">
            <v>organic food consumption</v>
          </cell>
          <cell r="D975">
            <v>2.5</v>
          </cell>
          <cell r="K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</row>
        <row r="976">
          <cell r="B976" t="str">
            <v>organic food consumption</v>
          </cell>
          <cell r="D976">
            <v>2.5</v>
          </cell>
          <cell r="I976">
            <v>1.2109E-2</v>
          </cell>
          <cell r="K976">
            <v>34.545999999999999</v>
          </cell>
          <cell r="CG976">
            <v>1</v>
          </cell>
          <cell r="CH976">
            <v>1</v>
          </cell>
          <cell r="CI976">
            <v>0</v>
          </cell>
          <cell r="CJ976">
            <v>0</v>
          </cell>
          <cell r="CK976">
            <v>1</v>
          </cell>
          <cell r="CL976">
            <v>1</v>
          </cell>
        </row>
        <row r="977">
          <cell r="B977" t="str">
            <v>organic food consumption</v>
          </cell>
          <cell r="D977">
            <v>3.5</v>
          </cell>
          <cell r="I977">
            <v>8.9738999999999999E-2</v>
          </cell>
          <cell r="K977">
            <v>0.29236000000000001</v>
          </cell>
          <cell r="CG977">
            <v>1</v>
          </cell>
          <cell r="CH977">
            <v>1</v>
          </cell>
          <cell r="CI977">
            <v>0</v>
          </cell>
          <cell r="CJ977">
            <v>0</v>
          </cell>
          <cell r="CK977">
            <v>1</v>
          </cell>
          <cell r="CL977">
            <v>1</v>
          </cell>
        </row>
        <row r="978">
          <cell r="B978" t="str">
            <v>organic food consumption</v>
          </cell>
          <cell r="D978">
            <v>3.5</v>
          </cell>
          <cell r="I978">
            <v>24.452000000000002</v>
          </cell>
          <cell r="K978">
            <v>6.1923999999999998E-3</v>
          </cell>
          <cell r="CG978">
            <v>0</v>
          </cell>
          <cell r="CH978">
            <v>1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</row>
        <row r="979">
          <cell r="B979" t="str">
            <v>organic food consumption</v>
          </cell>
          <cell r="D979">
            <v>3.5</v>
          </cell>
          <cell r="I979">
            <v>34.506</v>
          </cell>
          <cell r="K979">
            <v>2.4638E-2</v>
          </cell>
          <cell r="CG979">
            <v>1</v>
          </cell>
          <cell r="CH979">
            <v>1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</row>
        <row r="980">
          <cell r="B980" t="str">
            <v>organic food consumption</v>
          </cell>
          <cell r="D980">
            <v>3.5</v>
          </cell>
          <cell r="I980">
            <v>64.176000000000002</v>
          </cell>
          <cell r="K980">
            <v>1.0723999999999999E-2</v>
          </cell>
          <cell r="CG980">
            <v>0</v>
          </cell>
          <cell r="CH980">
            <v>1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</row>
        <row r="981">
          <cell r="B981" t="str">
            <v>organic food consumption</v>
          </cell>
          <cell r="D981">
            <v>3.5</v>
          </cell>
          <cell r="I981">
            <v>53.31</v>
          </cell>
          <cell r="K981">
            <v>6.8920999999999996E-2</v>
          </cell>
          <cell r="CG981">
            <v>0</v>
          </cell>
          <cell r="CH981">
            <v>1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</row>
        <row r="982">
          <cell r="B982" t="str">
            <v>organic food consumption</v>
          </cell>
          <cell r="D982">
            <v>3.5</v>
          </cell>
          <cell r="I982">
            <v>0.87995000000000001</v>
          </cell>
          <cell r="K982">
            <v>4.6377000000000002E-2</v>
          </cell>
          <cell r="CG982">
            <v>1</v>
          </cell>
          <cell r="CH982">
            <v>1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</row>
        <row r="983">
          <cell r="B983" t="str">
            <v>organic food consumption</v>
          </cell>
          <cell r="D983">
            <v>3.5</v>
          </cell>
          <cell r="I983">
            <v>0.11518</v>
          </cell>
          <cell r="K983">
            <v>4.9957000000000003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</row>
        <row r="984">
          <cell r="B984" t="str">
            <v>organic food consumption</v>
          </cell>
          <cell r="D984">
            <v>3.5</v>
          </cell>
          <cell r="I984">
            <v>8.8622000000000006E-2</v>
          </cell>
          <cell r="K984">
            <v>0.27045000000000002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</row>
        <row r="985">
          <cell r="B985" t="str">
            <v>organic food consumption</v>
          </cell>
          <cell r="D985">
            <v>3.5</v>
          </cell>
          <cell r="I985">
            <v>8.9738999999999999E-2</v>
          </cell>
          <cell r="K985">
            <v>0.29236000000000001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</row>
        <row r="986">
          <cell r="B986" t="str">
            <v>organic food consumption</v>
          </cell>
          <cell r="D986">
            <v>3.5</v>
          </cell>
          <cell r="I986">
            <v>6.7919999999999994E-2</v>
          </cell>
          <cell r="K986">
            <v>1.2753E-2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</row>
        <row r="987">
          <cell r="B987" t="str">
            <v>organic food consumption</v>
          </cell>
          <cell r="D987">
            <v>3.5</v>
          </cell>
          <cell r="I987">
            <v>0.54722000000000004</v>
          </cell>
          <cell r="K987">
            <v>0.11054</v>
          </cell>
          <cell r="CG987">
            <v>1</v>
          </cell>
          <cell r="CH987">
            <v>1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</row>
        <row r="988">
          <cell r="B988" t="str">
            <v>organic food consumption</v>
          </cell>
          <cell r="D988">
            <v>3.5</v>
          </cell>
          <cell r="I988">
            <v>0.50649</v>
          </cell>
          <cell r="K988">
            <v>2.2953999999999999E-2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</row>
        <row r="989">
          <cell r="B989" t="str">
            <v>organic food consumption</v>
          </cell>
          <cell r="D989">
            <v>3.5</v>
          </cell>
          <cell r="I989">
            <v>7.2865000000000002</v>
          </cell>
          <cell r="K989">
            <v>0.10680000000000001</v>
          </cell>
          <cell r="CG989">
            <v>0</v>
          </cell>
          <cell r="CH989">
            <v>1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</row>
        <row r="990">
          <cell r="B990" t="str">
            <v>organic food consumption</v>
          </cell>
          <cell r="D990">
            <v>3.5</v>
          </cell>
          <cell r="I990">
            <v>18.64</v>
          </cell>
          <cell r="K990">
            <v>1.7409000000000001E-2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</row>
        <row r="991">
          <cell r="B991" t="str">
            <v>organic food consumption</v>
          </cell>
          <cell r="D991">
            <v>3.5</v>
          </cell>
          <cell r="I991">
            <v>5.9447999999999999</v>
          </cell>
          <cell r="K991">
            <v>0.89678000000000002</v>
          </cell>
          <cell r="CG991">
            <v>1</v>
          </cell>
          <cell r="CH991">
            <v>1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</row>
        <row r="992">
          <cell r="B992" t="str">
            <v>organic food consumption</v>
          </cell>
          <cell r="D992">
            <v>3.5</v>
          </cell>
          <cell r="I992">
            <v>9.5216999999999992</v>
          </cell>
          <cell r="K992">
            <v>0.16841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</row>
        <row r="993">
          <cell r="B993" t="str">
            <v>organic food consumption</v>
          </cell>
          <cell r="D993">
            <v>3.5</v>
          </cell>
          <cell r="I993">
            <v>0.33139000000000002</v>
          </cell>
          <cell r="K993">
            <v>0.36244999999999999</v>
          </cell>
          <cell r="CG993">
            <v>1</v>
          </cell>
          <cell r="CH993">
            <v>1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</row>
        <row r="994">
          <cell r="B994" t="str">
            <v>organic food consumption</v>
          </cell>
          <cell r="D994">
            <v>3.5</v>
          </cell>
          <cell r="I994">
            <v>0.22781999999999999</v>
          </cell>
          <cell r="K994">
            <v>4.9682999999999998E-2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</row>
        <row r="995">
          <cell r="B995" t="str">
            <v>organic food consumption</v>
          </cell>
          <cell r="D995">
            <v>4.0999999999999996</v>
          </cell>
          <cell r="I995">
            <v>1.2857000000000001</v>
          </cell>
          <cell r="K995">
            <v>3.3220999999999998</v>
          </cell>
          <cell r="CG995">
            <v>1</v>
          </cell>
          <cell r="CH995">
            <v>1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</row>
        <row r="996">
          <cell r="B996" t="str">
            <v>organic food consumption</v>
          </cell>
          <cell r="D996">
            <v>4.0999999999999996</v>
          </cell>
          <cell r="I996">
            <v>0.82723999999999998</v>
          </cell>
          <cell r="K996">
            <v>8.9222999999999999</v>
          </cell>
          <cell r="CG996">
            <v>1</v>
          </cell>
          <cell r="CH996">
            <v>1</v>
          </cell>
          <cell r="CI996">
            <v>0</v>
          </cell>
          <cell r="CJ996">
            <v>0</v>
          </cell>
          <cell r="CK996">
            <v>1</v>
          </cell>
          <cell r="CL996">
            <v>1</v>
          </cell>
        </row>
        <row r="997">
          <cell r="B997" t="str">
            <v>organic food consumption</v>
          </cell>
          <cell r="D997">
            <v>4.5</v>
          </cell>
          <cell r="I997">
            <v>4.0098000000000002E-2</v>
          </cell>
          <cell r="K997">
            <v>6709.1</v>
          </cell>
          <cell r="CG997">
            <v>1</v>
          </cell>
          <cell r="CH997">
            <v>1</v>
          </cell>
          <cell r="CI997">
            <v>0</v>
          </cell>
          <cell r="CJ997">
            <v>0</v>
          </cell>
          <cell r="CK997">
            <v>1</v>
          </cell>
          <cell r="CL997">
            <v>1</v>
          </cell>
        </row>
        <row r="998">
          <cell r="B998" t="str">
            <v>organic food consumption</v>
          </cell>
          <cell r="D998">
            <v>4.5</v>
          </cell>
          <cell r="I998">
            <v>4.0606000000000003E-2</v>
          </cell>
          <cell r="K998">
            <v>2.5747999999999999E-3</v>
          </cell>
          <cell r="CG998">
            <v>1</v>
          </cell>
          <cell r="CH998">
            <v>1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</row>
        <row r="999">
          <cell r="B999" t="str">
            <v>organic food consumption</v>
          </cell>
          <cell r="D999">
            <v>3.3</v>
          </cell>
          <cell r="I999">
            <v>0.15436</v>
          </cell>
          <cell r="K999">
            <v>232.51</v>
          </cell>
          <cell r="CG999">
            <v>1</v>
          </cell>
          <cell r="CH999">
            <v>1</v>
          </cell>
          <cell r="CI999">
            <v>0</v>
          </cell>
          <cell r="CJ999">
            <v>0</v>
          </cell>
          <cell r="CK999">
            <v>1</v>
          </cell>
          <cell r="CL999">
            <v>1</v>
          </cell>
        </row>
        <row r="1000">
          <cell r="B1000" t="str">
            <v>organic food consumption</v>
          </cell>
          <cell r="D1000">
            <v>3.5</v>
          </cell>
          <cell r="I1000">
            <v>0.10511</v>
          </cell>
          <cell r="K1000">
            <v>26.913</v>
          </cell>
          <cell r="CG1000">
            <v>1</v>
          </cell>
          <cell r="CH1000">
            <v>1</v>
          </cell>
          <cell r="CI1000">
            <v>0</v>
          </cell>
          <cell r="CJ1000">
            <v>0</v>
          </cell>
          <cell r="CK1000">
            <v>0</v>
          </cell>
          <cell r="CL1000">
            <v>1</v>
          </cell>
        </row>
        <row r="1001">
          <cell r="B1001" t="str">
            <v>organic food consumption</v>
          </cell>
          <cell r="D1001">
            <v>3.5</v>
          </cell>
          <cell r="I1001">
            <v>0.15701999999999999</v>
          </cell>
          <cell r="K1001">
            <v>1.0269999999999999</v>
          </cell>
          <cell r="CG1001">
            <v>1</v>
          </cell>
          <cell r="CH1001">
            <v>1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</row>
        <row r="1002">
          <cell r="B1002" t="str">
            <v>organic food consumption</v>
          </cell>
          <cell r="D1002">
            <v>3.5</v>
          </cell>
          <cell r="I1002">
            <v>0.49080000000000001</v>
          </cell>
          <cell r="K1002">
            <v>2.2888000000000002</v>
          </cell>
          <cell r="CG1002">
            <v>1</v>
          </cell>
          <cell r="CH1002">
            <v>1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</row>
        <row r="1003">
          <cell r="B1003" t="str">
            <v>organic food consumption</v>
          </cell>
          <cell r="D1003">
            <v>3.5</v>
          </cell>
          <cell r="I1003">
            <v>21.04</v>
          </cell>
          <cell r="K1003">
            <v>12.29</v>
          </cell>
          <cell r="CG1003">
            <v>1</v>
          </cell>
          <cell r="CH1003">
            <v>1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</row>
        <row r="1004">
          <cell r="B1004" t="str">
            <v>organic food consumption</v>
          </cell>
          <cell r="D1004">
            <v>3.5</v>
          </cell>
          <cell r="I1004">
            <v>0.4022</v>
          </cell>
          <cell r="K1004">
            <v>99.712999999999994</v>
          </cell>
          <cell r="CG1004">
            <v>1</v>
          </cell>
          <cell r="CH1004">
            <v>1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</row>
        <row r="1005">
          <cell r="B1005" t="str">
            <v>organic food consumption</v>
          </cell>
          <cell r="D1005">
            <v>3.5</v>
          </cell>
          <cell r="I1005">
            <v>0.38624999999999998</v>
          </cell>
          <cell r="K1005">
            <v>4.1345000000000001</v>
          </cell>
          <cell r="CG1005">
            <v>1</v>
          </cell>
          <cell r="CH1005">
            <v>1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</row>
        <row r="1006">
          <cell r="B1006" t="str">
            <v>organic food consumption</v>
          </cell>
          <cell r="D1006">
            <v>3.5</v>
          </cell>
          <cell r="I1006">
            <v>0.10897</v>
          </cell>
          <cell r="K1006">
            <v>376.14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</row>
        <row r="1007">
          <cell r="B1007" t="str">
            <v>organic food consumption</v>
          </cell>
          <cell r="D1007">
            <v>3.5</v>
          </cell>
          <cell r="I1007">
            <v>0.10511</v>
          </cell>
          <cell r="K1007">
            <v>26.913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</row>
        <row r="1008">
          <cell r="B1008" t="str">
            <v>organic food consumption</v>
          </cell>
          <cell r="D1008">
            <v>3.5</v>
          </cell>
          <cell r="I1008">
            <v>0.10511</v>
          </cell>
          <cell r="K1008">
            <v>26.913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</row>
        <row r="1009">
          <cell r="B1009" t="str">
            <v>organic food consumption</v>
          </cell>
          <cell r="D1009">
            <v>3.5</v>
          </cell>
          <cell r="I1009">
            <v>8.0546999999999994E-2</v>
          </cell>
          <cell r="K1009">
            <v>1.5789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</row>
        <row r="1010">
          <cell r="B1010" t="str">
            <v>organic food consumption</v>
          </cell>
          <cell r="D1010">
            <v>3.5</v>
          </cell>
          <cell r="I1010">
            <v>0.28232000000000002</v>
          </cell>
          <cell r="K1010">
            <v>18.324000000000002</v>
          </cell>
          <cell r="CG1010">
            <v>1</v>
          </cell>
          <cell r="CH1010">
            <v>1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</row>
        <row r="1011">
          <cell r="B1011" t="str">
            <v>organic food consumption</v>
          </cell>
          <cell r="D1011">
            <v>3.5</v>
          </cell>
          <cell r="I1011">
            <v>0.26824999999999999</v>
          </cell>
          <cell r="K1011">
            <v>2.2298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</row>
        <row r="1012">
          <cell r="B1012" t="str">
            <v>organic food consumption</v>
          </cell>
          <cell r="D1012">
            <v>3.5</v>
          </cell>
          <cell r="I1012">
            <v>0.27729999999999999</v>
          </cell>
          <cell r="K1012">
            <v>112.28</v>
          </cell>
          <cell r="CG1012">
            <v>1</v>
          </cell>
          <cell r="CH1012">
            <v>1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</row>
        <row r="1013">
          <cell r="B1013" t="str">
            <v>organic food consumption</v>
          </cell>
          <cell r="D1013">
            <v>3.5</v>
          </cell>
          <cell r="I1013">
            <v>0.17715</v>
          </cell>
          <cell r="K1013">
            <v>12.52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</row>
        <row r="1014">
          <cell r="B1014" t="str">
            <v>organic food consumption</v>
          </cell>
          <cell r="D1014">
            <v>3.5</v>
          </cell>
          <cell r="I1014">
            <v>0.30512</v>
          </cell>
          <cell r="K1014">
            <v>1234.7</v>
          </cell>
          <cell r="CG1014">
            <v>1</v>
          </cell>
          <cell r="CH1014">
            <v>1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</row>
        <row r="1015">
          <cell r="B1015" t="str">
            <v>organic food consumption</v>
          </cell>
          <cell r="D1015">
            <v>3.5</v>
          </cell>
          <cell r="I1015">
            <v>0.59062000000000003</v>
          </cell>
          <cell r="K1015">
            <v>132.08000000000001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</row>
        <row r="1016">
          <cell r="B1016" t="str">
            <v>organic food consumption</v>
          </cell>
          <cell r="D1016">
            <v>3.5</v>
          </cell>
          <cell r="I1016">
            <v>0.20856</v>
          </cell>
          <cell r="K1016">
            <v>38.75</v>
          </cell>
          <cell r="CG1016">
            <v>1</v>
          </cell>
          <cell r="CH1016">
            <v>1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</row>
        <row r="1017">
          <cell r="B1017" t="str">
            <v>organic food consumption</v>
          </cell>
          <cell r="D1017">
            <v>3.5</v>
          </cell>
          <cell r="I1017">
            <v>0.20619999999999999</v>
          </cell>
          <cell r="K1017">
            <v>4.1196000000000002</v>
          </cell>
          <cell r="CG1017">
            <v>0</v>
          </cell>
          <cell r="CH1017">
            <v>0</v>
          </cell>
          <cell r="CI1017">
            <v>0</v>
          </cell>
          <cell r="CJ1017">
            <v>0</v>
          </cell>
          <cell r="CK1017">
            <v>0</v>
          </cell>
          <cell r="CL1017">
            <v>0</v>
          </cell>
        </row>
        <row r="1018">
          <cell r="B1018" t="str">
            <v>organic food consumption</v>
          </cell>
          <cell r="D1018">
            <v>1.1000000000000001</v>
          </cell>
          <cell r="I1018">
            <v>9.6670000000000006E-2</v>
          </cell>
          <cell r="K1018">
            <v>58.506999999999998</v>
          </cell>
          <cell r="CG1018">
            <v>1</v>
          </cell>
          <cell r="CH1018">
            <v>1</v>
          </cell>
          <cell r="CI1018">
            <v>0</v>
          </cell>
          <cell r="CJ1018">
            <v>0</v>
          </cell>
          <cell r="CK1018">
            <v>0</v>
          </cell>
          <cell r="CL1018">
            <v>0</v>
          </cell>
        </row>
        <row r="1019">
          <cell r="B1019" t="str">
            <v>organic food consumption</v>
          </cell>
          <cell r="D1019">
            <v>1.1000000000000001</v>
          </cell>
          <cell r="I1019">
            <v>2.4180000000000001</v>
          </cell>
          <cell r="K1019">
            <v>2.6197999999999998E-4</v>
          </cell>
          <cell r="CG1019">
            <v>0</v>
          </cell>
          <cell r="CH1019">
            <v>1</v>
          </cell>
          <cell r="CI1019">
            <v>0</v>
          </cell>
          <cell r="CJ1019">
            <v>0</v>
          </cell>
          <cell r="CK1019">
            <v>0</v>
          </cell>
          <cell r="CL1019">
            <v>0</v>
          </cell>
        </row>
        <row r="1020">
          <cell r="B1020" t="str">
            <v>organic food consumption</v>
          </cell>
          <cell r="D1020">
            <v>1.1000000000000001</v>
          </cell>
          <cell r="I1020">
            <v>2.4180000000000001</v>
          </cell>
          <cell r="K1020">
            <v>2.6197999999999998E-4</v>
          </cell>
          <cell r="CG1020">
            <v>0</v>
          </cell>
          <cell r="CH1020">
            <v>1</v>
          </cell>
          <cell r="CI1020">
            <v>0</v>
          </cell>
          <cell r="CJ1020">
            <v>1</v>
          </cell>
          <cell r="CK1020">
            <v>0</v>
          </cell>
          <cell r="CL1020">
            <v>0</v>
          </cell>
        </row>
        <row r="1021">
          <cell r="B1021" t="str">
            <v>organic food consumption</v>
          </cell>
          <cell r="D1021">
            <v>2.2000000000000002</v>
          </cell>
          <cell r="I1021">
            <v>0.11909</v>
          </cell>
          <cell r="K1021">
            <v>0.45738000000000001</v>
          </cell>
          <cell r="CG1021">
            <v>1</v>
          </cell>
          <cell r="CH1021">
            <v>1</v>
          </cell>
          <cell r="CI1021">
            <v>0</v>
          </cell>
          <cell r="CJ1021">
            <v>0</v>
          </cell>
          <cell r="CK1021">
            <v>0</v>
          </cell>
          <cell r="CL1021">
            <v>1</v>
          </cell>
          <cell r="CM1021" t="str">
            <v>moved from 1.1</v>
          </cell>
        </row>
        <row r="1022">
          <cell r="B1022" t="str">
            <v>organic food consumption</v>
          </cell>
          <cell r="D1022">
            <v>2.5</v>
          </cell>
          <cell r="I1022">
            <v>6.3175999999999996E-2</v>
          </cell>
          <cell r="K1022">
            <v>12.831</v>
          </cell>
          <cell r="CG1022">
            <v>1</v>
          </cell>
          <cell r="CH1022">
            <v>1</v>
          </cell>
          <cell r="CI1022">
            <v>0</v>
          </cell>
          <cell r="CJ1022">
            <v>0</v>
          </cell>
          <cell r="CK1022">
            <v>0</v>
          </cell>
          <cell r="CL1022">
            <v>0</v>
          </cell>
        </row>
        <row r="1023">
          <cell r="B1023" t="str">
            <v>organic food consumption</v>
          </cell>
          <cell r="D1023">
            <v>2.5</v>
          </cell>
          <cell r="I1023">
            <v>7.7214000000000005E-2</v>
          </cell>
          <cell r="K1023">
            <v>162.52000000000001</v>
          </cell>
          <cell r="CG1023">
            <v>1</v>
          </cell>
          <cell r="CH1023">
            <v>1</v>
          </cell>
          <cell r="CI1023">
            <v>0</v>
          </cell>
          <cell r="CJ1023">
            <v>0</v>
          </cell>
          <cell r="CK1023">
            <v>0</v>
          </cell>
          <cell r="CL1023">
            <v>0</v>
          </cell>
        </row>
        <row r="1024">
          <cell r="B1024" t="str">
            <v>organic food consumption</v>
          </cell>
          <cell r="D1024">
            <v>2.5</v>
          </cell>
          <cell r="I1024">
            <v>1.0487E-2</v>
          </cell>
          <cell r="K1024">
            <v>28.754999999999999</v>
          </cell>
          <cell r="CG1024">
            <v>0</v>
          </cell>
          <cell r="CH1024">
            <v>1</v>
          </cell>
          <cell r="CI1024">
            <v>0</v>
          </cell>
          <cell r="CJ1024">
            <v>0</v>
          </cell>
          <cell r="CK1024">
            <v>0</v>
          </cell>
          <cell r="CL1024">
            <v>1</v>
          </cell>
        </row>
        <row r="1025">
          <cell r="B1025" t="str">
            <v>organic food consumption</v>
          </cell>
          <cell r="D1025">
            <v>3.5</v>
          </cell>
          <cell r="I1025">
            <v>6.2542E-2</v>
          </cell>
          <cell r="K1025">
            <v>0.27562999999999999</v>
          </cell>
          <cell r="CG1025">
            <v>1</v>
          </cell>
          <cell r="CH1025">
            <v>1</v>
          </cell>
          <cell r="CI1025">
            <v>0</v>
          </cell>
          <cell r="CJ1025">
            <v>0</v>
          </cell>
          <cell r="CK1025">
            <v>0</v>
          </cell>
          <cell r="CL1025">
            <v>1</v>
          </cell>
        </row>
        <row r="1026">
          <cell r="B1026" t="str">
            <v>organic food consumption</v>
          </cell>
          <cell r="D1026">
            <v>3.5</v>
          </cell>
          <cell r="I1026">
            <v>86.902000000000001</v>
          </cell>
          <cell r="K1026">
            <v>1.1726E-2</v>
          </cell>
          <cell r="CG1026">
            <v>0</v>
          </cell>
          <cell r="CH1026">
            <v>1</v>
          </cell>
          <cell r="CI1026">
            <v>0</v>
          </cell>
          <cell r="CJ1026">
            <v>0</v>
          </cell>
          <cell r="CK1026">
            <v>0</v>
          </cell>
          <cell r="CL1026">
            <v>0</v>
          </cell>
        </row>
        <row r="1027">
          <cell r="B1027" t="str">
            <v>organic food consumption</v>
          </cell>
          <cell r="D1027">
            <v>3.5</v>
          </cell>
          <cell r="I1027">
            <v>1.0435000000000001</v>
          </cell>
          <cell r="K1027">
            <v>4.0052999999999998E-2</v>
          </cell>
          <cell r="CG1027">
            <v>1</v>
          </cell>
          <cell r="CH1027">
            <v>1</v>
          </cell>
          <cell r="CI1027">
            <v>0</v>
          </cell>
          <cell r="CJ1027">
            <v>0</v>
          </cell>
          <cell r="CK1027">
            <v>0</v>
          </cell>
          <cell r="CL1027">
            <v>0</v>
          </cell>
        </row>
        <row r="1028">
          <cell r="B1028" t="str">
            <v>organic food consumption</v>
          </cell>
          <cell r="D1028">
            <v>3.5</v>
          </cell>
          <cell r="I1028">
            <v>1.0918000000000001</v>
          </cell>
          <cell r="K1028">
            <v>6.0858000000000002E-2</v>
          </cell>
          <cell r="CG1028">
            <v>1</v>
          </cell>
          <cell r="CH1028">
            <v>1</v>
          </cell>
          <cell r="CI1028">
            <v>0</v>
          </cell>
          <cell r="CJ1028">
            <v>0</v>
          </cell>
          <cell r="CK1028">
            <v>0</v>
          </cell>
          <cell r="CL1028">
            <v>0</v>
          </cell>
        </row>
        <row r="1029">
          <cell r="B1029" t="str">
            <v>organic food consumption</v>
          </cell>
          <cell r="D1029">
            <v>3.5</v>
          </cell>
          <cell r="I1029">
            <v>45.954999999999998</v>
          </cell>
          <cell r="K1029">
            <v>0.16144</v>
          </cell>
          <cell r="CG1029">
            <v>0</v>
          </cell>
          <cell r="CH1029">
            <v>1</v>
          </cell>
          <cell r="CI1029">
            <v>0</v>
          </cell>
          <cell r="CJ1029">
            <v>0</v>
          </cell>
          <cell r="CK1029">
            <v>0</v>
          </cell>
          <cell r="CL1029">
            <v>0</v>
          </cell>
        </row>
        <row r="1030">
          <cell r="B1030" t="str">
            <v>organic food consumption</v>
          </cell>
          <cell r="D1030">
            <v>3.5</v>
          </cell>
          <cell r="I1030">
            <v>0.65432999999999997</v>
          </cell>
          <cell r="K1030">
            <v>5.5072000000000003E-2</v>
          </cell>
          <cell r="CG1030">
            <v>1</v>
          </cell>
          <cell r="CH1030">
            <v>1</v>
          </cell>
          <cell r="CI1030">
            <v>0</v>
          </cell>
          <cell r="CJ1030">
            <v>0</v>
          </cell>
          <cell r="CK1030">
            <v>0</v>
          </cell>
          <cell r="CL1030">
            <v>0</v>
          </cell>
        </row>
        <row r="1031">
          <cell r="B1031" t="str">
            <v>organic food consumption</v>
          </cell>
          <cell r="D1031">
            <v>3.5</v>
          </cell>
          <cell r="I1031">
            <v>8.0692E-2</v>
          </cell>
          <cell r="K1031">
            <v>4.7236000000000002</v>
          </cell>
          <cell r="CG1031">
            <v>0</v>
          </cell>
          <cell r="CH1031">
            <v>0</v>
          </cell>
          <cell r="CI1031">
            <v>0</v>
          </cell>
          <cell r="CJ1031">
            <v>0</v>
          </cell>
          <cell r="CK1031">
            <v>0</v>
          </cell>
          <cell r="CL1031">
            <v>0</v>
          </cell>
        </row>
        <row r="1032">
          <cell r="B1032" t="str">
            <v>organic food consumption</v>
          </cell>
          <cell r="D1032">
            <v>3.5</v>
          </cell>
          <cell r="I1032">
            <v>6.4144000000000007E-2</v>
          </cell>
          <cell r="K1032">
            <v>0.25596000000000002</v>
          </cell>
          <cell r="CG1032">
            <v>0</v>
          </cell>
          <cell r="CH1032">
            <v>0</v>
          </cell>
          <cell r="CI1032">
            <v>0</v>
          </cell>
          <cell r="CJ1032">
            <v>0</v>
          </cell>
          <cell r="CK1032">
            <v>0</v>
          </cell>
          <cell r="CL1032">
            <v>0</v>
          </cell>
        </row>
        <row r="1033">
          <cell r="B1033" t="str">
            <v>organic food consumption</v>
          </cell>
          <cell r="D1033">
            <v>3.5</v>
          </cell>
          <cell r="I1033">
            <v>6.2542E-2</v>
          </cell>
          <cell r="K1033">
            <v>0.27562999999999999</v>
          </cell>
          <cell r="CG1033">
            <v>0</v>
          </cell>
          <cell r="CH1033">
            <v>0</v>
          </cell>
          <cell r="CI1033">
            <v>0</v>
          </cell>
          <cell r="CJ1033">
            <v>0</v>
          </cell>
          <cell r="CK1033">
            <v>0</v>
          </cell>
          <cell r="CL1033">
            <v>0</v>
          </cell>
        </row>
        <row r="1034">
          <cell r="B1034" t="str">
            <v>organic food consumption</v>
          </cell>
          <cell r="D1034">
            <v>3.5</v>
          </cell>
          <cell r="I1034">
            <v>7.2256</v>
          </cell>
          <cell r="K1034">
            <v>1.5428000000000001E-2</v>
          </cell>
          <cell r="CG1034">
            <v>0</v>
          </cell>
          <cell r="CH1034">
            <v>0</v>
          </cell>
          <cell r="CI1034">
            <v>0</v>
          </cell>
          <cell r="CJ1034">
            <v>0</v>
          </cell>
          <cell r="CK1034">
            <v>0</v>
          </cell>
          <cell r="CL1034">
            <v>0</v>
          </cell>
        </row>
        <row r="1035">
          <cell r="B1035" t="str">
            <v>organic food consumption</v>
          </cell>
          <cell r="D1035">
            <v>3.5</v>
          </cell>
          <cell r="I1035">
            <v>0.72521000000000002</v>
          </cell>
          <cell r="K1035">
            <v>0.16904</v>
          </cell>
          <cell r="CG1035">
            <v>1</v>
          </cell>
          <cell r="CH1035">
            <v>1</v>
          </cell>
          <cell r="CI1035">
            <v>0</v>
          </cell>
          <cell r="CJ1035">
            <v>0</v>
          </cell>
          <cell r="CK1035">
            <v>0</v>
          </cell>
          <cell r="CL1035">
            <v>0</v>
          </cell>
        </row>
        <row r="1036">
          <cell r="B1036" t="str">
            <v>organic food consumption</v>
          </cell>
          <cell r="D1036">
            <v>3.5</v>
          </cell>
          <cell r="I1036">
            <v>0.50634999999999997</v>
          </cell>
          <cell r="K1036">
            <v>2.7956000000000002E-2</v>
          </cell>
          <cell r="CG1036">
            <v>0</v>
          </cell>
          <cell r="CH1036">
            <v>0</v>
          </cell>
          <cell r="CI1036">
            <v>0</v>
          </cell>
          <cell r="CJ1036">
            <v>0</v>
          </cell>
          <cell r="CK1036">
            <v>0</v>
          </cell>
          <cell r="CL1036">
            <v>0</v>
          </cell>
        </row>
        <row r="1037">
          <cell r="B1037" t="str">
            <v>organic food consumption</v>
          </cell>
          <cell r="D1037">
            <v>3.5</v>
          </cell>
          <cell r="I1037">
            <v>0.80971000000000004</v>
          </cell>
          <cell r="K1037">
            <v>0.19732</v>
          </cell>
          <cell r="CG1037">
            <v>1</v>
          </cell>
          <cell r="CH1037">
            <v>1</v>
          </cell>
          <cell r="CI1037">
            <v>0</v>
          </cell>
          <cell r="CJ1037">
            <v>0</v>
          </cell>
          <cell r="CK1037">
            <v>0</v>
          </cell>
          <cell r="CL1037">
            <v>0</v>
          </cell>
        </row>
        <row r="1038">
          <cell r="B1038" t="str">
            <v>organic food consumption</v>
          </cell>
          <cell r="D1038">
            <v>3.5</v>
          </cell>
          <cell r="I1038">
            <v>0.46500000000000002</v>
          </cell>
          <cell r="K1038">
            <v>5.8658000000000002E-2</v>
          </cell>
          <cell r="CG1038">
            <v>0</v>
          </cell>
          <cell r="CH1038">
            <v>0</v>
          </cell>
          <cell r="CI1038">
            <v>0</v>
          </cell>
          <cell r="CJ1038">
            <v>0</v>
          </cell>
          <cell r="CK1038">
            <v>0</v>
          </cell>
          <cell r="CL1038">
            <v>0</v>
          </cell>
        </row>
        <row r="1039">
          <cell r="B1039" t="str">
            <v>organic food consumption</v>
          </cell>
          <cell r="D1039">
            <v>3.5</v>
          </cell>
          <cell r="I1039">
            <v>6.8555000000000001</v>
          </cell>
          <cell r="K1039">
            <v>2.0451999999999999</v>
          </cell>
          <cell r="CG1039">
            <v>1</v>
          </cell>
          <cell r="CH1039">
            <v>1</v>
          </cell>
          <cell r="CI1039">
            <v>0</v>
          </cell>
          <cell r="CJ1039">
            <v>0</v>
          </cell>
          <cell r="CK1039">
            <v>0</v>
          </cell>
          <cell r="CL1039">
            <v>0</v>
          </cell>
        </row>
        <row r="1040">
          <cell r="B1040" t="str">
            <v>organic food consumption</v>
          </cell>
          <cell r="D1040">
            <v>3.5</v>
          </cell>
          <cell r="K1040">
            <v>0.32890999999999998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  <cell r="CL1040">
            <v>0</v>
          </cell>
        </row>
        <row r="1041">
          <cell r="B1041" t="str">
            <v>organic food consumption</v>
          </cell>
          <cell r="D1041">
            <v>3.5</v>
          </cell>
          <cell r="I1041">
            <v>0.26039000000000001</v>
          </cell>
          <cell r="K1041">
            <v>0.34755999999999998</v>
          </cell>
          <cell r="CG1041">
            <v>1</v>
          </cell>
          <cell r="CH1041">
            <v>1</v>
          </cell>
          <cell r="CI1041">
            <v>0</v>
          </cell>
          <cell r="CJ1041">
            <v>0</v>
          </cell>
          <cell r="CK1041">
            <v>0</v>
          </cell>
          <cell r="CL1041">
            <v>0</v>
          </cell>
        </row>
        <row r="1042">
          <cell r="B1042" t="str">
            <v>organic food consumption</v>
          </cell>
          <cell r="D1042">
            <v>3.5</v>
          </cell>
          <cell r="I1042">
            <v>0.33764</v>
          </cell>
          <cell r="K1042">
            <v>4.4971999999999998E-2</v>
          </cell>
          <cell r="CG1042">
            <v>0</v>
          </cell>
          <cell r="CH1042">
            <v>0</v>
          </cell>
          <cell r="CI1042">
            <v>0</v>
          </cell>
          <cell r="CJ1042">
            <v>0</v>
          </cell>
          <cell r="CK1042">
            <v>0</v>
          </cell>
          <cell r="CL1042">
            <v>0</v>
          </cell>
        </row>
        <row r="1043">
          <cell r="B1043" t="str">
            <v>organic food consumption</v>
          </cell>
          <cell r="D1043">
            <v>4.0999999999999996</v>
          </cell>
          <cell r="I1043">
            <v>1.3765000000000001</v>
          </cell>
          <cell r="K1043">
            <v>2.6932</v>
          </cell>
          <cell r="CG1043">
            <v>1</v>
          </cell>
          <cell r="CH1043">
            <v>1</v>
          </cell>
          <cell r="CI1043">
            <v>0</v>
          </cell>
          <cell r="CJ1043">
            <v>0</v>
          </cell>
          <cell r="CK1043">
            <v>0</v>
          </cell>
          <cell r="CL1043">
            <v>0</v>
          </cell>
        </row>
        <row r="1044">
          <cell r="B1044" t="str">
            <v>organic food consumption</v>
          </cell>
          <cell r="D1044">
            <v>4.0999999999999996</v>
          </cell>
          <cell r="I1044">
            <v>0.74070000000000003</v>
          </cell>
          <cell r="K1044">
            <v>16.280999999999999</v>
          </cell>
          <cell r="CG1044">
            <v>1</v>
          </cell>
          <cell r="CH1044">
            <v>1</v>
          </cell>
          <cell r="CI1044">
            <v>0</v>
          </cell>
          <cell r="CJ1044">
            <v>0</v>
          </cell>
          <cell r="CK1044">
            <v>0</v>
          </cell>
          <cell r="CL1044">
            <v>1</v>
          </cell>
        </row>
        <row r="1045">
          <cell r="B1045" t="str">
            <v>organic food consumption</v>
          </cell>
          <cell r="D1045">
            <v>4.5</v>
          </cell>
          <cell r="I1045">
            <v>2.0014E-3</v>
          </cell>
          <cell r="K1045">
            <v>19.805</v>
          </cell>
          <cell r="CG1045">
            <v>0</v>
          </cell>
          <cell r="CH1045">
            <v>1</v>
          </cell>
          <cell r="CI1045">
            <v>0</v>
          </cell>
          <cell r="CJ1045">
            <v>0</v>
          </cell>
          <cell r="CK1045">
            <v>0</v>
          </cell>
          <cell r="CL1045">
            <v>1</v>
          </cell>
        </row>
        <row r="1046">
          <cell r="B1046" t="str">
            <v>organic food consumption</v>
          </cell>
          <cell r="D1046">
            <v>4.5</v>
          </cell>
          <cell r="I1046">
            <v>-8.4752000000000004E-3</v>
          </cell>
          <cell r="K1046">
            <v>-2.1738999999999999E-3</v>
          </cell>
          <cell r="CG1046">
            <v>0</v>
          </cell>
          <cell r="CH1046">
            <v>0</v>
          </cell>
          <cell r="CI1046">
            <v>0</v>
          </cell>
          <cell r="CJ1046">
            <v>0</v>
          </cell>
          <cell r="CK1046">
            <v>0</v>
          </cell>
          <cell r="CL1046">
            <v>0</v>
          </cell>
        </row>
        <row r="1047">
          <cell r="B1047" t="str">
            <v>organic food consumption</v>
          </cell>
          <cell r="D1047">
            <v>1.1000000000000001</v>
          </cell>
          <cell r="I1047">
            <v>9.8236000000000004E-2</v>
          </cell>
          <cell r="K1047">
            <v>149.82</v>
          </cell>
          <cell r="CG1047">
            <v>1</v>
          </cell>
          <cell r="CH1047">
            <v>1</v>
          </cell>
          <cell r="CI1047">
            <v>0</v>
          </cell>
          <cell r="CJ1047">
            <v>0</v>
          </cell>
          <cell r="CK1047">
            <v>0</v>
          </cell>
          <cell r="CL1047">
            <v>0</v>
          </cell>
        </row>
        <row r="1048">
          <cell r="B1048" t="str">
            <v>organic food consumption</v>
          </cell>
          <cell r="D1048">
            <v>1.1000000000000001</v>
          </cell>
          <cell r="I1048">
            <v>9.8497000000000001E-2</v>
          </cell>
          <cell r="K1048">
            <v>4.5535000000000003E-3</v>
          </cell>
          <cell r="CG1048">
            <v>1</v>
          </cell>
          <cell r="CH1048">
            <v>1</v>
          </cell>
          <cell r="CI1048">
            <v>0</v>
          </cell>
          <cell r="CJ1048">
            <v>0</v>
          </cell>
          <cell r="CK1048">
            <v>0</v>
          </cell>
          <cell r="CL1048">
            <v>0</v>
          </cell>
        </row>
        <row r="1049">
          <cell r="B1049" t="str">
            <v>organic food consumption</v>
          </cell>
          <cell r="D1049">
            <v>1.1000000000000001</v>
          </cell>
          <cell r="I1049">
            <v>9.8497000000000001E-2</v>
          </cell>
          <cell r="K1049">
            <v>4.5535000000000003E-3</v>
          </cell>
          <cell r="CG1049">
            <v>1</v>
          </cell>
          <cell r="CH1049">
            <v>1</v>
          </cell>
          <cell r="CI1049">
            <v>0</v>
          </cell>
          <cell r="CJ1049">
            <v>1</v>
          </cell>
          <cell r="CK1049">
            <v>0</v>
          </cell>
          <cell r="CL1049">
            <v>0</v>
          </cell>
        </row>
        <row r="1050">
          <cell r="B1050" t="str">
            <v>organic food consumption</v>
          </cell>
          <cell r="D1050">
            <v>2.2000000000000002</v>
          </cell>
          <cell r="I1050">
            <v>8.6049E-2</v>
          </cell>
          <cell r="K1050">
            <v>16.495999999999999</v>
          </cell>
          <cell r="CG1050">
            <v>1</v>
          </cell>
          <cell r="CH1050">
            <v>1</v>
          </cell>
          <cell r="CI1050">
            <v>0</v>
          </cell>
          <cell r="CJ1050">
            <v>0</v>
          </cell>
          <cell r="CK1050">
            <v>0</v>
          </cell>
          <cell r="CL1050">
            <v>1</v>
          </cell>
          <cell r="CM1050" t="str">
            <v>moved from 1.1</v>
          </cell>
        </row>
        <row r="1051">
          <cell r="B1051" t="str">
            <v>organic food consumption</v>
          </cell>
          <cell r="D1051">
            <v>2.5</v>
          </cell>
          <cell r="I1051">
            <v>4.7315000000000003E-2</v>
          </cell>
          <cell r="K1051">
            <v>22.678999999999998</v>
          </cell>
          <cell r="CG1051">
            <v>0</v>
          </cell>
          <cell r="CH1051">
            <v>1</v>
          </cell>
          <cell r="CI1051">
            <v>0</v>
          </cell>
          <cell r="CJ1051">
            <v>0</v>
          </cell>
          <cell r="CK1051">
            <v>0</v>
          </cell>
          <cell r="CL1051">
            <v>0</v>
          </cell>
        </row>
        <row r="1052">
          <cell r="B1052" t="str">
            <v>organic food consumption</v>
          </cell>
          <cell r="D1052">
            <v>2.5</v>
          </cell>
          <cell r="I1052">
            <v>2.5153999999999999E-2</v>
          </cell>
          <cell r="K1052">
            <v>33.106999999999999</v>
          </cell>
          <cell r="CG1052">
            <v>1</v>
          </cell>
          <cell r="CH1052">
            <v>1</v>
          </cell>
          <cell r="CI1052">
            <v>0</v>
          </cell>
          <cell r="CJ1052">
            <v>0</v>
          </cell>
          <cell r="CK1052">
            <v>0</v>
          </cell>
          <cell r="CL1052">
            <v>0</v>
          </cell>
        </row>
        <row r="1053">
          <cell r="B1053" t="str">
            <v>organic food consumption</v>
          </cell>
          <cell r="D1053">
            <v>2.5</v>
          </cell>
          <cell r="I1053">
            <v>1.3922E-2</v>
          </cell>
          <cell r="K1053">
            <v>85.317999999999998</v>
          </cell>
          <cell r="CG1053">
            <v>1</v>
          </cell>
          <cell r="CH1053">
            <v>1</v>
          </cell>
          <cell r="CI1053">
            <v>0</v>
          </cell>
          <cell r="CJ1053">
            <v>0</v>
          </cell>
          <cell r="CK1053">
            <v>0</v>
          </cell>
          <cell r="CL1053">
            <v>1</v>
          </cell>
        </row>
        <row r="1054">
          <cell r="B1054" t="str">
            <v>organic food consumption</v>
          </cell>
          <cell r="D1054">
            <v>3.5</v>
          </cell>
          <cell r="I1054">
            <v>0.14194000000000001</v>
          </cell>
          <cell r="K1054">
            <v>0.31133</v>
          </cell>
          <cell r="CG1054">
            <v>1</v>
          </cell>
          <cell r="CH1054">
            <v>1</v>
          </cell>
          <cell r="CI1054">
            <v>0</v>
          </cell>
          <cell r="CJ1054">
            <v>0</v>
          </cell>
          <cell r="CK1054">
            <v>0</v>
          </cell>
          <cell r="CL1054">
            <v>1</v>
          </cell>
        </row>
        <row r="1055">
          <cell r="B1055" t="str">
            <v>organic food consumption</v>
          </cell>
          <cell r="D1055">
            <v>3.5</v>
          </cell>
          <cell r="I1055">
            <v>61.000999999999998</v>
          </cell>
          <cell r="K1055">
            <v>1.4493000000000001E-2</v>
          </cell>
          <cell r="CG1055">
            <v>0</v>
          </cell>
          <cell r="CH1055">
            <v>1</v>
          </cell>
          <cell r="CI1055">
            <v>0</v>
          </cell>
          <cell r="CJ1055">
            <v>0</v>
          </cell>
          <cell r="CK1055">
            <v>0</v>
          </cell>
          <cell r="CL1055">
            <v>0</v>
          </cell>
        </row>
        <row r="1056">
          <cell r="B1056" t="str">
            <v>organic food consumption</v>
          </cell>
          <cell r="D1056">
            <v>3.5</v>
          </cell>
          <cell r="I1056">
            <v>51.655000000000001</v>
          </cell>
          <cell r="K1056">
            <v>5.1251999999999999E-2</v>
          </cell>
          <cell r="CG1056">
            <v>0</v>
          </cell>
          <cell r="CH1056">
            <v>1</v>
          </cell>
          <cell r="CI1056">
            <v>0</v>
          </cell>
          <cell r="CJ1056">
            <v>0</v>
          </cell>
          <cell r="CK1056">
            <v>0</v>
          </cell>
          <cell r="CL1056">
            <v>0</v>
          </cell>
        </row>
        <row r="1057">
          <cell r="B1057" t="str">
            <v>organic food consumption</v>
          </cell>
          <cell r="D1057">
            <v>3.5</v>
          </cell>
          <cell r="I1057">
            <v>0.77734000000000003</v>
          </cell>
          <cell r="K1057">
            <v>0.24323</v>
          </cell>
          <cell r="CG1057">
            <v>1</v>
          </cell>
          <cell r="CH1057">
            <v>1</v>
          </cell>
          <cell r="CI1057">
            <v>0</v>
          </cell>
          <cell r="CJ1057">
            <v>0</v>
          </cell>
          <cell r="CK1057">
            <v>0</v>
          </cell>
          <cell r="CL1057">
            <v>0</v>
          </cell>
        </row>
        <row r="1058">
          <cell r="B1058" t="str">
            <v>organic food consumption</v>
          </cell>
          <cell r="D1058">
            <v>3.5</v>
          </cell>
          <cell r="I1058">
            <v>0.78217000000000003</v>
          </cell>
          <cell r="K1058">
            <v>0.25581999999999999</v>
          </cell>
          <cell r="CG1058">
            <v>0</v>
          </cell>
          <cell r="CH1058">
            <v>1</v>
          </cell>
          <cell r="CI1058">
            <v>0</v>
          </cell>
          <cell r="CJ1058">
            <v>0</v>
          </cell>
          <cell r="CK1058">
            <v>0</v>
          </cell>
          <cell r="CL1058">
            <v>0</v>
          </cell>
        </row>
        <row r="1059">
          <cell r="B1059" t="str">
            <v>organic food consumption</v>
          </cell>
          <cell r="D1059">
            <v>3.5</v>
          </cell>
          <cell r="I1059">
            <v>0.85246</v>
          </cell>
          <cell r="K1059">
            <v>7.7733999999999998E-2</v>
          </cell>
          <cell r="CG1059">
            <v>1</v>
          </cell>
          <cell r="CH1059">
            <v>1</v>
          </cell>
          <cell r="CI1059">
            <v>0</v>
          </cell>
          <cell r="CJ1059">
            <v>0</v>
          </cell>
          <cell r="CK1059">
            <v>0</v>
          </cell>
          <cell r="CL1059">
            <v>0</v>
          </cell>
        </row>
        <row r="1060">
          <cell r="B1060" t="str">
            <v>organic food consumption</v>
          </cell>
          <cell r="D1060">
            <v>3.5</v>
          </cell>
          <cell r="I1060">
            <v>0.13316</v>
          </cell>
          <cell r="K1060">
            <v>3.7103000000000002</v>
          </cell>
          <cell r="CG1060">
            <v>0</v>
          </cell>
          <cell r="CH1060">
            <v>0</v>
          </cell>
          <cell r="CI1060">
            <v>0</v>
          </cell>
          <cell r="CJ1060">
            <v>0</v>
          </cell>
          <cell r="CK1060">
            <v>0</v>
          </cell>
          <cell r="CL1060">
            <v>0</v>
          </cell>
        </row>
        <row r="1061">
          <cell r="B1061" t="str">
            <v>organic food consumption</v>
          </cell>
          <cell r="D1061">
            <v>3.5</v>
          </cell>
          <cell r="I1061">
            <v>0.13707</v>
          </cell>
          <cell r="K1061">
            <v>0.30514000000000002</v>
          </cell>
          <cell r="CG1061">
            <v>0</v>
          </cell>
          <cell r="CH1061">
            <v>0</v>
          </cell>
          <cell r="CI1061">
            <v>0</v>
          </cell>
          <cell r="CJ1061">
            <v>0</v>
          </cell>
          <cell r="CK1061">
            <v>0</v>
          </cell>
          <cell r="CL1061">
            <v>0</v>
          </cell>
        </row>
        <row r="1062">
          <cell r="B1062" t="str">
            <v>organic food consumption</v>
          </cell>
          <cell r="D1062">
            <v>3.5</v>
          </cell>
          <cell r="I1062">
            <v>0.14194000000000001</v>
          </cell>
          <cell r="K1062">
            <v>0.31133</v>
          </cell>
          <cell r="CG1062">
            <v>0</v>
          </cell>
          <cell r="CH1062">
            <v>0</v>
          </cell>
          <cell r="CI1062">
            <v>0</v>
          </cell>
          <cell r="CJ1062">
            <v>0</v>
          </cell>
          <cell r="CK1062">
            <v>0</v>
          </cell>
          <cell r="CL1062">
            <v>0</v>
          </cell>
        </row>
        <row r="1063">
          <cell r="B1063" t="str">
            <v>organic food consumption</v>
          </cell>
          <cell r="D1063">
            <v>3.5</v>
          </cell>
          <cell r="I1063">
            <v>0.44435000000000002</v>
          </cell>
          <cell r="K1063">
            <v>2.7501000000000001E-2</v>
          </cell>
          <cell r="CG1063">
            <v>0</v>
          </cell>
          <cell r="CH1063">
            <v>0</v>
          </cell>
          <cell r="CI1063">
            <v>0</v>
          </cell>
          <cell r="CJ1063">
            <v>0</v>
          </cell>
          <cell r="CK1063">
            <v>0</v>
          </cell>
          <cell r="CL1063">
            <v>0</v>
          </cell>
        </row>
        <row r="1064">
          <cell r="B1064" t="str">
            <v>organic food consumption</v>
          </cell>
          <cell r="D1064">
            <v>3.5</v>
          </cell>
          <cell r="I1064">
            <v>0.49903999999999998</v>
          </cell>
          <cell r="K1064">
            <v>0.44229000000000002</v>
          </cell>
          <cell r="CG1064">
            <v>1</v>
          </cell>
          <cell r="CH1064">
            <v>1</v>
          </cell>
          <cell r="CI1064">
            <v>0</v>
          </cell>
          <cell r="CJ1064">
            <v>0</v>
          </cell>
          <cell r="CK1064">
            <v>0</v>
          </cell>
          <cell r="CL1064">
            <v>0</v>
          </cell>
        </row>
        <row r="1065">
          <cell r="B1065" t="str">
            <v>organic food consumption</v>
          </cell>
          <cell r="D1065">
            <v>3.5</v>
          </cell>
          <cell r="I1065">
            <v>1.4514</v>
          </cell>
          <cell r="K1065">
            <v>4.7653000000000001E-2</v>
          </cell>
          <cell r="CG1065">
            <v>0</v>
          </cell>
          <cell r="CH1065">
            <v>0</v>
          </cell>
          <cell r="CI1065">
            <v>0</v>
          </cell>
          <cell r="CJ1065">
            <v>0</v>
          </cell>
          <cell r="CK1065">
            <v>0</v>
          </cell>
          <cell r="CL1065">
            <v>0</v>
          </cell>
        </row>
        <row r="1066">
          <cell r="B1066" t="str">
            <v>organic food consumption</v>
          </cell>
          <cell r="D1066">
            <v>3.5</v>
          </cell>
          <cell r="I1066">
            <v>0.53564999999999996</v>
          </cell>
          <cell r="K1066">
            <v>1.3076000000000001</v>
          </cell>
          <cell r="CG1066">
            <v>1</v>
          </cell>
          <cell r="CH1066">
            <v>1</v>
          </cell>
          <cell r="CI1066">
            <v>0</v>
          </cell>
          <cell r="CJ1066">
            <v>0</v>
          </cell>
          <cell r="CK1066">
            <v>0</v>
          </cell>
          <cell r="CL1066">
            <v>0</v>
          </cell>
        </row>
        <row r="1067">
          <cell r="B1067" t="str">
            <v>organic food consumption</v>
          </cell>
          <cell r="D1067">
            <v>3.5</v>
          </cell>
          <cell r="I1067">
            <v>0.29336000000000001</v>
          </cell>
          <cell r="K1067">
            <v>0.24798000000000001</v>
          </cell>
          <cell r="CG1067">
            <v>0</v>
          </cell>
          <cell r="CH1067">
            <v>0</v>
          </cell>
          <cell r="CI1067">
            <v>0</v>
          </cell>
          <cell r="CJ1067">
            <v>0</v>
          </cell>
          <cell r="CK1067">
            <v>0</v>
          </cell>
          <cell r="CL1067">
            <v>0</v>
          </cell>
        </row>
        <row r="1068">
          <cell r="B1068" t="str">
            <v>organic food consumption</v>
          </cell>
          <cell r="D1068">
            <v>3.5</v>
          </cell>
          <cell r="I1068">
            <v>0.54444999999999999</v>
          </cell>
          <cell r="K1068">
            <v>1.3962000000000001</v>
          </cell>
          <cell r="CG1068">
            <v>1</v>
          </cell>
          <cell r="CH1068">
            <v>1</v>
          </cell>
          <cell r="CI1068">
            <v>0</v>
          </cell>
          <cell r="CJ1068">
            <v>0</v>
          </cell>
          <cell r="CK1068">
            <v>0</v>
          </cell>
          <cell r="CL1068">
            <v>0</v>
          </cell>
        </row>
        <row r="1069">
          <cell r="B1069" t="str">
            <v>organic food consumption</v>
          </cell>
          <cell r="D1069">
            <v>3.5</v>
          </cell>
          <cell r="I1069">
            <v>0.31076999999999999</v>
          </cell>
          <cell r="K1069">
            <v>0.26328000000000001</v>
          </cell>
          <cell r="CG1069">
            <v>0</v>
          </cell>
          <cell r="CH1069">
            <v>0</v>
          </cell>
          <cell r="CI1069">
            <v>0</v>
          </cell>
          <cell r="CJ1069">
            <v>0</v>
          </cell>
          <cell r="CK1069">
            <v>0</v>
          </cell>
          <cell r="CL1069">
            <v>0</v>
          </cell>
        </row>
        <row r="1070">
          <cell r="B1070" t="str">
            <v>organic food consumption</v>
          </cell>
          <cell r="D1070">
            <v>3.5</v>
          </cell>
          <cell r="I1070">
            <v>0.40886</v>
          </cell>
          <cell r="K1070">
            <v>0.67181000000000002</v>
          </cell>
          <cell r="CG1070">
            <v>1</v>
          </cell>
          <cell r="CH1070">
            <v>1</v>
          </cell>
          <cell r="CI1070">
            <v>0</v>
          </cell>
          <cell r="CJ1070">
            <v>0</v>
          </cell>
          <cell r="CK1070">
            <v>0</v>
          </cell>
          <cell r="CL1070">
            <v>0</v>
          </cell>
        </row>
        <row r="1071">
          <cell r="B1071" t="str">
            <v>organic food consumption</v>
          </cell>
          <cell r="D1071">
            <v>3.5</v>
          </cell>
          <cell r="I1071">
            <v>0.45996999999999999</v>
          </cell>
          <cell r="K1071">
            <v>6.1404E-2</v>
          </cell>
          <cell r="CG1071">
            <v>0</v>
          </cell>
          <cell r="CH1071">
            <v>0</v>
          </cell>
          <cell r="CI1071">
            <v>0</v>
          </cell>
          <cell r="CJ1071">
            <v>0</v>
          </cell>
          <cell r="CK1071">
            <v>0</v>
          </cell>
          <cell r="CL1071">
            <v>0</v>
          </cell>
        </row>
        <row r="1072">
          <cell r="B1072" t="str">
            <v>organic food consumption</v>
          </cell>
          <cell r="D1072">
            <v>4.0999999999999996</v>
          </cell>
          <cell r="I1072">
            <v>1.0637000000000001</v>
          </cell>
          <cell r="K1072">
            <v>3.1223999999999998</v>
          </cell>
          <cell r="CG1072">
            <v>1</v>
          </cell>
          <cell r="CH1072">
            <v>1</v>
          </cell>
          <cell r="CI1072">
            <v>0</v>
          </cell>
          <cell r="CJ1072">
            <v>0</v>
          </cell>
          <cell r="CK1072">
            <v>0</v>
          </cell>
          <cell r="CL1072">
            <v>0</v>
          </cell>
        </row>
        <row r="1073">
          <cell r="B1073" t="str">
            <v>organic food consumption</v>
          </cell>
          <cell r="D1073">
            <v>4.0999999999999996</v>
          </cell>
          <cell r="I1073">
            <v>0.41446</v>
          </cell>
          <cell r="K1073">
            <v>8.4253</v>
          </cell>
          <cell r="CG1073">
            <v>1</v>
          </cell>
          <cell r="CH1073">
            <v>1</v>
          </cell>
          <cell r="CI1073">
            <v>0</v>
          </cell>
          <cell r="CJ1073">
            <v>0</v>
          </cell>
          <cell r="CK1073">
            <v>0</v>
          </cell>
          <cell r="CL1073">
            <v>1</v>
          </cell>
        </row>
        <row r="1074">
          <cell r="B1074" t="str">
            <v>organic food consumption</v>
          </cell>
          <cell r="D1074">
            <v>4.5</v>
          </cell>
          <cell r="I1074">
            <v>3.1766000000000003E-2</v>
          </cell>
          <cell r="K1074">
            <v>3984.3</v>
          </cell>
          <cell r="CG1074">
            <v>0</v>
          </cell>
          <cell r="CH1074">
            <v>1</v>
          </cell>
          <cell r="CI1074">
            <v>0</v>
          </cell>
          <cell r="CJ1074">
            <v>0</v>
          </cell>
          <cell r="CK1074">
            <v>0</v>
          </cell>
          <cell r="CL1074">
            <v>1</v>
          </cell>
        </row>
        <row r="1075">
          <cell r="B1075" t="str">
            <v>organic food consumption</v>
          </cell>
          <cell r="D1075">
            <v>4.5</v>
          </cell>
          <cell r="I1075">
            <v>3.3119999999999997E-2</v>
          </cell>
          <cell r="K1075">
            <v>3.9446999999999998E-3</v>
          </cell>
          <cell r="CG1075">
            <v>1</v>
          </cell>
          <cell r="CH1075">
            <v>1</v>
          </cell>
          <cell r="CI1075">
            <v>0</v>
          </cell>
          <cell r="CJ1075">
            <v>0</v>
          </cell>
          <cell r="CK1075">
            <v>0</v>
          </cell>
          <cell r="CL1075">
            <v>0</v>
          </cell>
        </row>
        <row r="1076">
          <cell r="B1076" t="str">
            <v>organic food consumption</v>
          </cell>
          <cell r="D1076">
            <v>1.1000000000000001</v>
          </cell>
          <cell r="I1076">
            <v>3.3785000000000003E-2</v>
          </cell>
          <cell r="K1076">
            <v>75.903000000000006</v>
          </cell>
          <cell r="CG1076">
            <v>0</v>
          </cell>
          <cell r="CH1076">
            <v>1</v>
          </cell>
          <cell r="CI1076">
            <v>0</v>
          </cell>
          <cell r="CJ1076">
            <v>0</v>
          </cell>
          <cell r="CK1076">
            <v>0</v>
          </cell>
          <cell r="CL1076">
            <v>0</v>
          </cell>
        </row>
        <row r="1077">
          <cell r="B1077" t="str">
            <v>organic food consumption</v>
          </cell>
          <cell r="D1077">
            <v>1.1000000000000001</v>
          </cell>
          <cell r="I1077">
            <v>0.31768999999999997</v>
          </cell>
          <cell r="K1077">
            <v>7.3333000000000003E-4</v>
          </cell>
          <cell r="CG1077">
            <v>1</v>
          </cell>
          <cell r="CH1077">
            <v>1</v>
          </cell>
          <cell r="CI1077">
            <v>0</v>
          </cell>
          <cell r="CJ1077">
            <v>0</v>
          </cell>
          <cell r="CK1077">
            <v>0</v>
          </cell>
          <cell r="CL1077">
            <v>0</v>
          </cell>
        </row>
        <row r="1078">
          <cell r="B1078" t="str">
            <v>organic food consumption</v>
          </cell>
          <cell r="D1078">
            <v>1.1000000000000001</v>
          </cell>
          <cell r="I1078">
            <v>0.31768999999999997</v>
          </cell>
          <cell r="K1078">
            <v>7.3333000000000003E-4</v>
          </cell>
          <cell r="CG1078">
            <v>1</v>
          </cell>
          <cell r="CH1078">
            <v>1</v>
          </cell>
          <cell r="CI1078">
            <v>0</v>
          </cell>
          <cell r="CJ1078">
            <v>1</v>
          </cell>
          <cell r="CK1078">
            <v>0</v>
          </cell>
          <cell r="CL1078">
            <v>0</v>
          </cell>
        </row>
        <row r="1079">
          <cell r="B1079" t="str">
            <v>organic food consumption</v>
          </cell>
          <cell r="D1079">
            <v>2.2000000000000002</v>
          </cell>
          <cell r="I1079">
            <v>2.8413000000000001E-2</v>
          </cell>
          <cell r="K1079">
            <v>0.99395999999999995</v>
          </cell>
          <cell r="CG1079">
            <v>1</v>
          </cell>
          <cell r="CH1079">
            <v>1</v>
          </cell>
          <cell r="CI1079">
            <v>0</v>
          </cell>
          <cell r="CJ1079">
            <v>0</v>
          </cell>
          <cell r="CK1079">
            <v>0</v>
          </cell>
          <cell r="CL1079">
            <v>1</v>
          </cell>
          <cell r="CM1079" t="str">
            <v>moved from 1.1</v>
          </cell>
        </row>
        <row r="1080">
          <cell r="B1080" t="str">
            <v>organic food consumption</v>
          </cell>
          <cell r="D1080">
            <v>2.5</v>
          </cell>
          <cell r="I1080">
            <v>1.6097E-2</v>
          </cell>
          <cell r="K1080">
            <v>2.0503999999999998</v>
          </cell>
          <cell r="CG1080">
            <v>0</v>
          </cell>
          <cell r="CH1080">
            <v>1</v>
          </cell>
          <cell r="CI1080">
            <v>0</v>
          </cell>
          <cell r="CJ1080">
            <v>0</v>
          </cell>
          <cell r="CK1080">
            <v>0</v>
          </cell>
          <cell r="CL1080">
            <v>0</v>
          </cell>
        </row>
        <row r="1081">
          <cell r="B1081" t="str">
            <v>organic food consumption</v>
          </cell>
          <cell r="D1081">
            <v>2.5</v>
          </cell>
          <cell r="I1081">
            <v>0.17004</v>
          </cell>
          <cell r="K1081">
            <v>44.722000000000001</v>
          </cell>
          <cell r="CG1081">
            <v>1</v>
          </cell>
          <cell r="CH1081">
            <v>1</v>
          </cell>
          <cell r="CI1081">
            <v>0</v>
          </cell>
          <cell r="CJ1081">
            <v>0</v>
          </cell>
          <cell r="CK1081">
            <v>0</v>
          </cell>
          <cell r="CL1081">
            <v>0</v>
          </cell>
        </row>
        <row r="1082">
          <cell r="B1082" t="str">
            <v>organic food consumption</v>
          </cell>
          <cell r="D1082">
            <v>2.5</v>
          </cell>
          <cell r="I1082">
            <v>-0.17482</v>
          </cell>
          <cell r="K1082">
            <v>-49.436999999999998</v>
          </cell>
          <cell r="CG1082">
            <v>1</v>
          </cell>
          <cell r="CH1082">
            <v>1</v>
          </cell>
          <cell r="CI1082">
            <v>0</v>
          </cell>
          <cell r="CJ1082">
            <v>0</v>
          </cell>
          <cell r="CK1082">
            <v>0</v>
          </cell>
          <cell r="CL1082">
            <v>1</v>
          </cell>
        </row>
        <row r="1083">
          <cell r="B1083" t="str">
            <v>organic food consumption</v>
          </cell>
          <cell r="D1083">
            <v>3.5</v>
          </cell>
          <cell r="I1083">
            <v>0.11706</v>
          </cell>
          <cell r="K1083">
            <v>1.1166</v>
          </cell>
          <cell r="CG1083">
            <v>1</v>
          </cell>
          <cell r="CH1083">
            <v>1</v>
          </cell>
          <cell r="CI1083">
            <v>0</v>
          </cell>
          <cell r="CJ1083">
            <v>0</v>
          </cell>
          <cell r="CK1083">
            <v>0</v>
          </cell>
          <cell r="CL1083">
            <v>1</v>
          </cell>
        </row>
        <row r="1084">
          <cell r="B1084" t="str">
            <v>organic food consumption</v>
          </cell>
          <cell r="D1084">
            <v>3.5</v>
          </cell>
          <cell r="I1084">
            <v>0.21589</v>
          </cell>
          <cell r="K1084">
            <v>5.2305999999999998E-2</v>
          </cell>
          <cell r="CG1084">
            <v>0</v>
          </cell>
          <cell r="CH1084">
            <v>1</v>
          </cell>
          <cell r="CI1084">
            <v>0</v>
          </cell>
          <cell r="CJ1084">
            <v>0</v>
          </cell>
          <cell r="CK1084">
            <v>0</v>
          </cell>
          <cell r="CL1084">
            <v>0</v>
          </cell>
        </row>
        <row r="1085">
          <cell r="B1085" t="str">
            <v>organic food consumption</v>
          </cell>
          <cell r="D1085">
            <v>3.5</v>
          </cell>
          <cell r="I1085">
            <v>1.4489000000000001</v>
          </cell>
          <cell r="K1085">
            <v>0.15598999999999999</v>
          </cell>
          <cell r="CG1085">
            <v>0</v>
          </cell>
          <cell r="CH1085">
            <v>1</v>
          </cell>
          <cell r="CI1085">
            <v>0</v>
          </cell>
          <cell r="CJ1085">
            <v>0</v>
          </cell>
          <cell r="CK1085">
            <v>0</v>
          </cell>
          <cell r="CL1085">
            <v>0</v>
          </cell>
        </row>
        <row r="1086">
          <cell r="B1086" t="str">
            <v>organic food consumption</v>
          </cell>
          <cell r="D1086">
            <v>3.5</v>
          </cell>
          <cell r="I1086">
            <v>20.771999999999998</v>
          </cell>
          <cell r="K1086">
            <v>0.86987999999999999</v>
          </cell>
          <cell r="CG1086">
            <v>1</v>
          </cell>
          <cell r="CH1086">
            <v>1</v>
          </cell>
          <cell r="CI1086">
            <v>0</v>
          </cell>
          <cell r="CJ1086">
            <v>0</v>
          </cell>
          <cell r="CK1086">
            <v>0</v>
          </cell>
          <cell r="CL1086">
            <v>0</v>
          </cell>
        </row>
        <row r="1087">
          <cell r="B1087" t="str">
            <v>organic food consumption</v>
          </cell>
          <cell r="D1087">
            <v>3.5</v>
          </cell>
          <cell r="I1087">
            <v>1.0912999999999999</v>
          </cell>
          <cell r="K1087">
            <v>4.0410000000000004</v>
          </cell>
          <cell r="CG1087">
            <v>0</v>
          </cell>
          <cell r="CH1087">
            <v>1</v>
          </cell>
          <cell r="CI1087">
            <v>0</v>
          </cell>
          <cell r="CJ1087">
            <v>0</v>
          </cell>
          <cell r="CK1087">
            <v>0</v>
          </cell>
          <cell r="CL1087">
            <v>0</v>
          </cell>
        </row>
        <row r="1088">
          <cell r="B1088" t="str">
            <v>organic food consumption</v>
          </cell>
          <cell r="D1088">
            <v>3.5</v>
          </cell>
          <cell r="I1088">
            <v>0.93784000000000001</v>
          </cell>
          <cell r="K1088">
            <v>0.24743000000000001</v>
          </cell>
          <cell r="CG1088">
            <v>1</v>
          </cell>
          <cell r="CH1088">
            <v>1</v>
          </cell>
          <cell r="CI1088">
            <v>0</v>
          </cell>
          <cell r="CJ1088">
            <v>0</v>
          </cell>
          <cell r="CK1088">
            <v>0</v>
          </cell>
          <cell r="CL1088">
            <v>0</v>
          </cell>
        </row>
        <row r="1089">
          <cell r="B1089" t="str">
            <v>organic food consumption</v>
          </cell>
          <cell r="D1089">
            <v>3.5</v>
          </cell>
          <cell r="I1089">
            <v>0.11371000000000001</v>
          </cell>
          <cell r="K1089">
            <v>14.409000000000001</v>
          </cell>
          <cell r="CG1089">
            <v>0</v>
          </cell>
          <cell r="CH1089">
            <v>0</v>
          </cell>
          <cell r="CI1089">
            <v>0</v>
          </cell>
          <cell r="CJ1089">
            <v>0</v>
          </cell>
          <cell r="CK1089">
            <v>0</v>
          </cell>
          <cell r="CL1089">
            <v>0</v>
          </cell>
        </row>
        <row r="1090">
          <cell r="B1090" t="str">
            <v>organic food consumption</v>
          </cell>
          <cell r="D1090">
            <v>3.5</v>
          </cell>
          <cell r="I1090">
            <v>0.11199000000000001</v>
          </cell>
          <cell r="K1090">
            <v>1.0906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</row>
        <row r="1091">
          <cell r="B1091" t="str">
            <v>organic food consumption</v>
          </cell>
          <cell r="D1091">
            <v>3.5</v>
          </cell>
          <cell r="I1091">
            <v>0.11706</v>
          </cell>
          <cell r="K1091">
            <v>1.1166</v>
          </cell>
          <cell r="CG1091">
            <v>0</v>
          </cell>
          <cell r="CH1091">
            <v>0</v>
          </cell>
          <cell r="CI1091">
            <v>0</v>
          </cell>
          <cell r="CJ1091">
            <v>0</v>
          </cell>
          <cell r="CK1091">
            <v>0</v>
          </cell>
          <cell r="CL1091">
            <v>0</v>
          </cell>
        </row>
        <row r="1092">
          <cell r="B1092" t="str">
            <v>organic food consumption</v>
          </cell>
          <cell r="D1092">
            <v>3.5</v>
          </cell>
          <cell r="I1092">
            <v>0.13220000000000001</v>
          </cell>
          <cell r="K1092">
            <v>5.1471000000000003E-2</v>
          </cell>
          <cell r="CG1092">
            <v>0</v>
          </cell>
          <cell r="CH1092">
            <v>0</v>
          </cell>
          <cell r="CI1092">
            <v>0</v>
          </cell>
          <cell r="CJ1092">
            <v>0</v>
          </cell>
          <cell r="CK1092">
            <v>0</v>
          </cell>
          <cell r="CL1092">
            <v>0</v>
          </cell>
        </row>
        <row r="1093">
          <cell r="B1093" t="str">
            <v>organic food consumption</v>
          </cell>
          <cell r="D1093">
            <v>3.5</v>
          </cell>
          <cell r="I1093">
            <v>0.41661999999999999</v>
          </cell>
          <cell r="K1093">
            <v>1.1641999999999999</v>
          </cell>
          <cell r="CG1093">
            <v>1</v>
          </cell>
          <cell r="CH1093">
            <v>1</v>
          </cell>
          <cell r="CI1093">
            <v>0</v>
          </cell>
          <cell r="CJ1093">
            <v>0</v>
          </cell>
          <cell r="CK1093">
            <v>0</v>
          </cell>
          <cell r="CL1093">
            <v>0</v>
          </cell>
        </row>
        <row r="1094">
          <cell r="B1094" t="str">
            <v>organic food consumption</v>
          </cell>
          <cell r="D1094">
            <v>3.5</v>
          </cell>
          <cell r="I1094">
            <v>0.63087000000000004</v>
          </cell>
          <cell r="K1094">
            <v>0.13621</v>
          </cell>
          <cell r="CG1094">
            <v>0</v>
          </cell>
          <cell r="CH1094">
            <v>0</v>
          </cell>
          <cell r="CI1094">
            <v>0</v>
          </cell>
          <cell r="CJ1094">
            <v>0</v>
          </cell>
          <cell r="CK1094">
            <v>0</v>
          </cell>
          <cell r="CL1094">
            <v>0</v>
          </cell>
        </row>
        <row r="1095">
          <cell r="B1095" t="str">
            <v>organic food consumption</v>
          </cell>
          <cell r="D1095">
            <v>3.5</v>
          </cell>
          <cell r="I1095">
            <v>3.6757</v>
          </cell>
          <cell r="K1095">
            <v>4.3422999999999998</v>
          </cell>
          <cell r="CG1095">
            <v>1</v>
          </cell>
          <cell r="CH1095">
            <v>1</v>
          </cell>
          <cell r="CI1095">
            <v>0</v>
          </cell>
          <cell r="CJ1095">
            <v>0</v>
          </cell>
          <cell r="CK1095">
            <v>0</v>
          </cell>
          <cell r="CL1095">
            <v>0</v>
          </cell>
        </row>
        <row r="1096">
          <cell r="B1096" t="str">
            <v>organic food consumption</v>
          </cell>
          <cell r="D1096">
            <v>3.5</v>
          </cell>
          <cell r="I1096">
            <v>2.5183</v>
          </cell>
          <cell r="K1096">
            <v>1.0724</v>
          </cell>
          <cell r="CG1096">
            <v>0</v>
          </cell>
          <cell r="CH1096">
            <v>0</v>
          </cell>
          <cell r="CI1096">
            <v>0</v>
          </cell>
          <cell r="CJ1096">
            <v>0</v>
          </cell>
          <cell r="CK1096">
            <v>0</v>
          </cell>
          <cell r="CL1096">
            <v>0</v>
          </cell>
        </row>
        <row r="1097">
          <cell r="B1097" t="str">
            <v>organic food consumption</v>
          </cell>
          <cell r="D1097">
            <v>3.5</v>
          </cell>
          <cell r="I1097">
            <v>0.37996999999999997</v>
          </cell>
          <cell r="K1097">
            <v>44.527000000000001</v>
          </cell>
          <cell r="CG1097">
            <v>1</v>
          </cell>
          <cell r="CH1097">
            <v>1</v>
          </cell>
          <cell r="CI1097">
            <v>0</v>
          </cell>
          <cell r="CJ1097">
            <v>0</v>
          </cell>
          <cell r="CK1097">
            <v>0</v>
          </cell>
          <cell r="CL1097">
            <v>0</v>
          </cell>
        </row>
        <row r="1098">
          <cell r="B1098" t="str">
            <v>organic food consumption</v>
          </cell>
          <cell r="D1098">
            <v>3.5</v>
          </cell>
          <cell r="I1098">
            <v>4.3879999999999999</v>
          </cell>
          <cell r="K1098">
            <v>4.2880000000000003</v>
          </cell>
          <cell r="CG1098">
            <v>0</v>
          </cell>
          <cell r="CH1098">
            <v>0</v>
          </cell>
          <cell r="CI1098">
            <v>0</v>
          </cell>
          <cell r="CJ1098">
            <v>0</v>
          </cell>
          <cell r="CK1098">
            <v>0</v>
          </cell>
          <cell r="CL1098">
            <v>0</v>
          </cell>
        </row>
        <row r="1099">
          <cell r="B1099" t="str">
            <v>organic food consumption</v>
          </cell>
          <cell r="D1099">
            <v>3.5</v>
          </cell>
          <cell r="I1099">
            <v>0.26118999999999998</v>
          </cell>
          <cell r="K1099">
            <v>2.1627999999999998</v>
          </cell>
          <cell r="CG1099">
            <v>1</v>
          </cell>
          <cell r="CH1099">
            <v>1</v>
          </cell>
          <cell r="CI1099">
            <v>0</v>
          </cell>
          <cell r="CJ1099">
            <v>0</v>
          </cell>
          <cell r="CK1099">
            <v>0</v>
          </cell>
          <cell r="CL1099">
            <v>0</v>
          </cell>
        </row>
        <row r="1100">
          <cell r="B1100" t="str">
            <v>organic food consumption</v>
          </cell>
          <cell r="D1100">
            <v>3.5</v>
          </cell>
          <cell r="I1100">
            <v>0.26444000000000001</v>
          </cell>
          <cell r="K1100">
            <v>0.21989</v>
          </cell>
          <cell r="CG1100">
            <v>0</v>
          </cell>
          <cell r="CH1100">
            <v>0</v>
          </cell>
          <cell r="CI1100">
            <v>0</v>
          </cell>
          <cell r="CJ1100">
            <v>0</v>
          </cell>
          <cell r="CK1100">
            <v>0</v>
          </cell>
          <cell r="CL1100">
            <v>0</v>
          </cell>
        </row>
        <row r="1101">
          <cell r="B1101" t="str">
            <v>organic food consumption</v>
          </cell>
          <cell r="D1101">
            <v>4.0999999999999996</v>
          </cell>
          <cell r="I1101">
            <v>-0.65534999999999999</v>
          </cell>
          <cell r="K1101">
            <v>-4.0450999999999997</v>
          </cell>
          <cell r="CG1101">
            <v>1</v>
          </cell>
          <cell r="CH1101">
            <v>1</v>
          </cell>
          <cell r="CI1101">
            <v>0</v>
          </cell>
          <cell r="CJ1101">
            <v>0</v>
          </cell>
          <cell r="CK1101">
            <v>0</v>
          </cell>
          <cell r="CL1101">
            <v>1</v>
          </cell>
        </row>
        <row r="1102">
          <cell r="B1102" t="str">
            <v>organic food consumption</v>
          </cell>
          <cell r="D1102">
            <v>4.0999999999999996</v>
          </cell>
          <cell r="K1102">
            <v>10.432</v>
          </cell>
          <cell r="CG1102">
            <v>0</v>
          </cell>
          <cell r="CH1102">
            <v>0</v>
          </cell>
          <cell r="CI1102">
            <v>0</v>
          </cell>
          <cell r="CJ1102">
            <v>0</v>
          </cell>
          <cell r="CK1102">
            <v>0</v>
          </cell>
          <cell r="CL1102">
            <v>0</v>
          </cell>
        </row>
        <row r="1103">
          <cell r="B1103" t="str">
            <v>organic food consumption</v>
          </cell>
          <cell r="D1103">
            <v>4.5</v>
          </cell>
          <cell r="I1103">
            <v>-0.11082</v>
          </cell>
          <cell r="K1103">
            <v>-11603</v>
          </cell>
          <cell r="CG1103">
            <v>1</v>
          </cell>
          <cell r="CH1103">
            <v>1</v>
          </cell>
          <cell r="CI1103">
            <v>0</v>
          </cell>
          <cell r="CJ1103">
            <v>0</v>
          </cell>
          <cell r="CK1103">
            <v>0</v>
          </cell>
          <cell r="CL1103">
            <v>1</v>
          </cell>
        </row>
        <row r="1104">
          <cell r="B1104" t="str">
            <v>organic food consumption</v>
          </cell>
          <cell r="D1104">
            <v>4.5</v>
          </cell>
          <cell r="I1104">
            <v>-0.12357</v>
          </cell>
          <cell r="K1104">
            <v>-6.3528E-4</v>
          </cell>
          <cell r="CG1104">
            <v>1</v>
          </cell>
          <cell r="CH1104">
            <v>1</v>
          </cell>
          <cell r="CI1104">
            <v>0</v>
          </cell>
          <cell r="CJ1104">
            <v>0</v>
          </cell>
          <cell r="CK1104">
            <v>0</v>
          </cell>
          <cell r="CL1104">
            <v>0</v>
          </cell>
        </row>
        <row r="1105">
          <cell r="B1105" t="str">
            <v>passive building retrofits</v>
          </cell>
          <cell r="D1105">
            <v>1.1000000000000001</v>
          </cell>
          <cell r="I1105">
            <v>-1.8268E-3</v>
          </cell>
          <cell r="K1105">
            <v>-6.9030000000000003E-8</v>
          </cell>
          <cell r="CI1105">
            <v>0</v>
          </cell>
          <cell r="CJ1105">
            <v>0</v>
          </cell>
          <cell r="CK1105">
            <v>0</v>
          </cell>
          <cell r="CL1105">
            <v>0</v>
          </cell>
          <cell r="CM1105" t="str">
            <v>*no logfit FIG (not matched btwen _v24 &amp; _v25), ask Simon to plot</v>
          </cell>
        </row>
        <row r="1106">
          <cell r="B1106" t="str">
            <v>passive buildings</v>
          </cell>
          <cell r="D1106">
            <v>1.1000000000000001</v>
          </cell>
          <cell r="I1106">
            <v>0.90278000000000003</v>
          </cell>
          <cell r="K1106">
            <v>19.649999999999999</v>
          </cell>
          <cell r="CG1106">
            <v>1</v>
          </cell>
          <cell r="CH1106">
            <v>0</v>
          </cell>
          <cell r="CI1106">
            <v>0</v>
          </cell>
          <cell r="CJ1106">
            <v>0</v>
          </cell>
          <cell r="CK1106">
            <v>0</v>
          </cell>
          <cell r="CL1106">
            <v>0</v>
          </cell>
          <cell r="CM1106" t="str">
            <v>cumulative version preferred (better logfit)</v>
          </cell>
        </row>
        <row r="1107">
          <cell r="B1107" t="str">
            <v>passive buildings</v>
          </cell>
          <cell r="D1107">
            <v>1.1000000000000001</v>
          </cell>
          <cell r="I1107">
            <v>0.91459999999999997</v>
          </cell>
          <cell r="K1107">
            <v>9.4955999999999996</v>
          </cell>
          <cell r="CG1107">
            <v>0</v>
          </cell>
          <cell r="CH1107">
            <v>0</v>
          </cell>
          <cell r="CI1107">
            <v>0</v>
          </cell>
          <cell r="CJ1107">
            <v>0</v>
          </cell>
          <cell r="CK1107">
            <v>0</v>
          </cell>
          <cell r="CL1107">
            <v>0</v>
          </cell>
          <cell r="CM1107" t="str">
            <v>use new builds not retrofits (more #s)</v>
          </cell>
        </row>
        <row r="1108">
          <cell r="B1108" t="str">
            <v>passive buildings</v>
          </cell>
          <cell r="D1108">
            <v>1.1000000000000001</v>
          </cell>
          <cell r="I1108">
            <v>0.38157000000000002</v>
          </cell>
          <cell r="K1108">
            <v>686.03</v>
          </cell>
          <cell r="CG1108">
            <v>1</v>
          </cell>
          <cell r="CH1108">
            <v>0</v>
          </cell>
          <cell r="CI1108">
            <v>0</v>
          </cell>
          <cell r="CJ1108">
            <v>1</v>
          </cell>
          <cell r="CK1108">
            <v>0</v>
          </cell>
          <cell r="CL1108">
            <v>0</v>
          </cell>
          <cell r="CM1108" t="str">
            <v>* missing FIG for market share version, use this for now but don't use linear fits</v>
          </cell>
        </row>
        <row r="1109">
          <cell r="B1109" t="str">
            <v>passive buildings</v>
          </cell>
          <cell r="D1109">
            <v>1.1000000000000001</v>
          </cell>
          <cell r="I1109">
            <v>0.46962999999999999</v>
          </cell>
          <cell r="K1109">
            <v>203.85</v>
          </cell>
          <cell r="CG1109">
            <v>1</v>
          </cell>
          <cell r="CH1109">
            <v>0</v>
          </cell>
          <cell r="CI1109">
            <v>0</v>
          </cell>
          <cell r="CJ1109">
            <v>0</v>
          </cell>
          <cell r="CK1109">
            <v>0</v>
          </cell>
          <cell r="CL1109">
            <v>0</v>
          </cell>
          <cell r="CM1109" t="str">
            <v>use new builds not retrofits (more #s)</v>
          </cell>
        </row>
        <row r="1110">
          <cell r="B1110" t="str">
            <v>passive buildings</v>
          </cell>
          <cell r="D1110">
            <v>2.5</v>
          </cell>
          <cell r="I1110">
            <v>-0.56520999999999999</v>
          </cell>
          <cell r="K1110">
            <v>-0.52436000000000005</v>
          </cell>
          <cell r="CG1110">
            <v>1</v>
          </cell>
          <cell r="CH1110">
            <v>0</v>
          </cell>
          <cell r="CI1110">
            <v>0</v>
          </cell>
          <cell r="CJ1110">
            <v>0</v>
          </cell>
          <cell r="CK1110">
            <v>0</v>
          </cell>
          <cell r="CL1110">
            <v>1</v>
          </cell>
        </row>
        <row r="1111">
          <cell r="B1111" t="str">
            <v>passive buildings</v>
          </cell>
          <cell r="D1111">
            <v>2.5</v>
          </cell>
          <cell r="I1111">
            <v>1.3709</v>
          </cell>
          <cell r="K1111">
            <v>0.17050000000000001</v>
          </cell>
          <cell r="CG1111">
            <v>1</v>
          </cell>
          <cell r="CH1111">
            <v>0</v>
          </cell>
          <cell r="CI1111">
            <v>0</v>
          </cell>
          <cell r="CJ1111">
            <v>0</v>
          </cell>
          <cell r="CK1111">
            <v>0</v>
          </cell>
          <cell r="CL1111">
            <v>0</v>
          </cell>
        </row>
        <row r="1112">
          <cell r="B1112" t="str">
            <v>passive buildings</v>
          </cell>
          <cell r="D1112">
            <v>2.9</v>
          </cell>
          <cell r="I1112">
            <v>0.91268000000000005</v>
          </cell>
          <cell r="K1112">
            <v>1376.2</v>
          </cell>
          <cell r="CG1112">
            <v>1</v>
          </cell>
          <cell r="CH1112">
            <v>0</v>
          </cell>
          <cell r="CI1112">
            <v>0</v>
          </cell>
          <cell r="CJ1112">
            <v>0</v>
          </cell>
          <cell r="CK1112">
            <v>0</v>
          </cell>
          <cell r="CL1112">
            <v>1</v>
          </cell>
        </row>
        <row r="1113">
          <cell r="B1113" t="str">
            <v>passive buildings</v>
          </cell>
          <cell r="D1113">
            <v>2.9</v>
          </cell>
          <cell r="I1113">
            <v>1.2945</v>
          </cell>
          <cell r="K1113">
            <v>502.86</v>
          </cell>
          <cell r="CG1113">
            <v>1</v>
          </cell>
          <cell r="CH1113">
            <v>0</v>
          </cell>
          <cell r="CI1113">
            <v>0</v>
          </cell>
          <cell r="CJ1113">
            <v>0</v>
          </cell>
          <cell r="CK1113">
            <v>0</v>
          </cell>
          <cell r="CL1113">
            <v>0</v>
          </cell>
        </row>
        <row r="1114">
          <cell r="B1114" t="str">
            <v>passive buildings</v>
          </cell>
          <cell r="D1114">
            <v>4.0999999999999996</v>
          </cell>
          <cell r="I1114">
            <v>28.266999999999999</v>
          </cell>
          <cell r="K1114">
            <v>0.84804999999999997</v>
          </cell>
          <cell r="CG1114">
            <v>0</v>
          </cell>
          <cell r="CH1114">
            <v>0</v>
          </cell>
          <cell r="CI1114">
            <v>0</v>
          </cell>
          <cell r="CJ1114">
            <v>0</v>
          </cell>
          <cell r="CK1114">
            <v>0</v>
          </cell>
          <cell r="CL1114">
            <v>0</v>
          </cell>
        </row>
        <row r="1115">
          <cell r="B1115" t="str">
            <v>passive buildings</v>
          </cell>
          <cell r="D1115">
            <v>4.0999999999999996</v>
          </cell>
          <cell r="I1115">
            <v>17.664000000000001</v>
          </cell>
          <cell r="K1115">
            <v>3.8462000000000001</v>
          </cell>
          <cell r="CG1115">
            <v>0</v>
          </cell>
          <cell r="CH1115">
            <v>0</v>
          </cell>
          <cell r="CI1115">
            <v>0</v>
          </cell>
          <cell r="CJ1115">
            <v>0</v>
          </cell>
          <cell r="CK1115">
            <v>0</v>
          </cell>
          <cell r="CL1115">
            <v>1</v>
          </cell>
        </row>
        <row r="1116">
          <cell r="B1116" t="str">
            <v>passive building retrofits</v>
          </cell>
          <cell r="D1116">
            <v>1.1000000000000001</v>
          </cell>
          <cell r="I1116">
            <v>-1.1908E-2</v>
          </cell>
          <cell r="K1116">
            <v>-1.7665000000000001E-7</v>
          </cell>
          <cell r="CI1116">
            <v>0</v>
          </cell>
          <cell r="CJ1116">
            <v>0</v>
          </cell>
          <cell r="CK1116">
            <v>0</v>
          </cell>
          <cell r="CL1116">
            <v>0</v>
          </cell>
          <cell r="CM1116" t="str">
            <v>*no logfit FIG (not matched btwen _v24 &amp; _v25), ask Simon to plot</v>
          </cell>
        </row>
        <row r="1117">
          <cell r="B1117" t="str">
            <v>passive buildings</v>
          </cell>
          <cell r="D1117">
            <v>1.1000000000000001</v>
          </cell>
          <cell r="I1117">
            <v>10.244999999999999</v>
          </cell>
          <cell r="K1117">
            <v>-5.9219000000000001E-2</v>
          </cell>
          <cell r="CG1117">
            <v>0</v>
          </cell>
          <cell r="CH1117">
            <v>0</v>
          </cell>
          <cell r="CI1117">
            <v>0</v>
          </cell>
          <cell r="CJ1117">
            <v>0</v>
          </cell>
          <cell r="CK1117">
            <v>0</v>
          </cell>
          <cell r="CL1117">
            <v>0</v>
          </cell>
          <cell r="CM1117" t="str">
            <v>cumulative version preferred (better logfit)</v>
          </cell>
        </row>
        <row r="1118">
          <cell r="B1118" t="str">
            <v>passive buildings</v>
          </cell>
          <cell r="D1118">
            <v>1.1000000000000001</v>
          </cell>
          <cell r="I1118">
            <v>-47.058999999999997</v>
          </cell>
          <cell r="K1118">
            <v>-2.4420000000000002E-3</v>
          </cell>
          <cell r="CG1118">
            <v>0</v>
          </cell>
          <cell r="CH1118">
            <v>0</v>
          </cell>
          <cell r="CI1118">
            <v>0</v>
          </cell>
          <cell r="CJ1118">
            <v>0</v>
          </cell>
          <cell r="CK1118">
            <v>0</v>
          </cell>
          <cell r="CL1118">
            <v>0</v>
          </cell>
          <cell r="CM1118" t="str">
            <v>use new builds not retrofits</v>
          </cell>
        </row>
        <row r="1119">
          <cell r="B1119" t="str">
            <v>passive buildings</v>
          </cell>
          <cell r="D1119">
            <v>1.1000000000000001</v>
          </cell>
          <cell r="I1119">
            <v>0.55371999999999999</v>
          </cell>
          <cell r="K1119">
            <v>4.5854999999999997</v>
          </cell>
          <cell r="CG1119">
            <v>1</v>
          </cell>
          <cell r="CH1119">
            <v>1</v>
          </cell>
          <cell r="CI1119">
            <v>0</v>
          </cell>
          <cell r="CJ1119">
            <v>1</v>
          </cell>
          <cell r="CK1119">
            <v>0</v>
          </cell>
          <cell r="CL1119">
            <v>0</v>
          </cell>
          <cell r="CM1119" t="str">
            <v>* missing FIG for market share version, use this for now but don't use linear fits</v>
          </cell>
        </row>
        <row r="1120">
          <cell r="B1120" t="str">
            <v>passive buildings</v>
          </cell>
          <cell r="D1120">
            <v>1.1000000000000001</v>
          </cell>
          <cell r="I1120">
            <v>6.5141999999999998</v>
          </cell>
          <cell r="K1120">
            <v>0.66300000000000003</v>
          </cell>
          <cell r="CG1120">
            <v>0</v>
          </cell>
          <cell r="CH1120">
            <v>0</v>
          </cell>
          <cell r="CI1120">
            <v>0</v>
          </cell>
          <cell r="CJ1120">
            <v>0</v>
          </cell>
          <cell r="CK1120">
            <v>0</v>
          </cell>
          <cell r="CL1120">
            <v>0</v>
          </cell>
          <cell r="CM1120" t="str">
            <v>use new builds not retrofits (more #s)</v>
          </cell>
        </row>
        <row r="1121">
          <cell r="B1121" t="str">
            <v>passive buildings</v>
          </cell>
          <cell r="D1121">
            <v>2.5</v>
          </cell>
          <cell r="I1121">
            <v>45.481000000000002</v>
          </cell>
          <cell r="K1121">
            <v>-1.221E-2</v>
          </cell>
          <cell r="CG1121">
            <v>0</v>
          </cell>
          <cell r="CH1121">
            <v>0</v>
          </cell>
          <cell r="CI1121">
            <v>0</v>
          </cell>
          <cell r="CJ1121">
            <v>0</v>
          </cell>
          <cell r="CK1121">
            <v>0</v>
          </cell>
          <cell r="CL1121">
            <v>1</v>
          </cell>
        </row>
        <row r="1122">
          <cell r="B1122" t="str">
            <v>passive buildings</v>
          </cell>
          <cell r="D1122">
            <v>2.5</v>
          </cell>
          <cell r="I1122">
            <v>-59.290999999999997</v>
          </cell>
          <cell r="K1122">
            <v>-2.4420000000000002E-3</v>
          </cell>
          <cell r="CG1122">
            <v>0</v>
          </cell>
          <cell r="CH1122">
            <v>0</v>
          </cell>
          <cell r="CI1122">
            <v>0</v>
          </cell>
          <cell r="CJ1122">
            <v>0</v>
          </cell>
          <cell r="CK1122">
            <v>0</v>
          </cell>
          <cell r="CL1122">
            <v>0</v>
          </cell>
        </row>
        <row r="1123">
          <cell r="B1123" t="str">
            <v>passive buildings</v>
          </cell>
          <cell r="D1123">
            <v>2.9</v>
          </cell>
          <cell r="I1123">
            <v>2.9487000000000001</v>
          </cell>
          <cell r="K1123">
            <v>-6.6006999999999998</v>
          </cell>
          <cell r="CG1123">
            <v>0</v>
          </cell>
          <cell r="CH1123">
            <v>0</v>
          </cell>
          <cell r="CI1123">
            <v>0</v>
          </cell>
          <cell r="CJ1123">
            <v>0</v>
          </cell>
          <cell r="CK1123">
            <v>0</v>
          </cell>
          <cell r="CL1123">
            <v>1</v>
          </cell>
        </row>
        <row r="1124">
          <cell r="B1124" t="str">
            <v>passive buildings</v>
          </cell>
          <cell r="D1124">
            <v>2.9</v>
          </cell>
          <cell r="I1124">
            <v>-42.396999999999998</v>
          </cell>
          <cell r="K1124">
            <v>-1.381</v>
          </cell>
          <cell r="CG1124">
            <v>0</v>
          </cell>
          <cell r="CH1124">
            <v>0</v>
          </cell>
          <cell r="CI1124">
            <v>0</v>
          </cell>
          <cell r="CJ1124">
            <v>0</v>
          </cell>
          <cell r="CK1124">
            <v>0</v>
          </cell>
          <cell r="CL1124">
            <v>0</v>
          </cell>
        </row>
        <row r="1125">
          <cell r="B1125" t="str">
            <v>passive buildings</v>
          </cell>
          <cell r="D1125">
            <v>4.0999999999999996</v>
          </cell>
          <cell r="I1125">
            <v>-43.396999999999998</v>
          </cell>
          <cell r="K1125">
            <v>-1.1688000000000001</v>
          </cell>
          <cell r="CG1125">
            <v>0</v>
          </cell>
          <cell r="CH1125">
            <v>0</v>
          </cell>
          <cell r="CI1125">
            <v>0</v>
          </cell>
          <cell r="CJ1125">
            <v>0</v>
          </cell>
          <cell r="CK1125">
            <v>0</v>
          </cell>
          <cell r="CL1125">
            <v>0</v>
          </cell>
        </row>
        <row r="1126">
          <cell r="B1126" t="str">
            <v>passive buildings</v>
          </cell>
          <cell r="D1126">
            <v>4.0999999999999996</v>
          </cell>
          <cell r="K1126">
            <v>100</v>
          </cell>
          <cell r="CG1126">
            <v>0</v>
          </cell>
          <cell r="CH1126">
            <v>0</v>
          </cell>
          <cell r="CI1126">
            <v>0</v>
          </cell>
          <cell r="CJ1126">
            <v>0</v>
          </cell>
          <cell r="CK1126">
            <v>0</v>
          </cell>
          <cell r="CL1126">
            <v>1</v>
          </cell>
        </row>
        <row r="1127">
          <cell r="B1127" t="str">
            <v>passive building retrofits</v>
          </cell>
          <cell r="D1127">
            <v>1.1000000000000001</v>
          </cell>
          <cell r="I1127">
            <v>-3.2475E-3</v>
          </cell>
          <cell r="K1127">
            <v>-6.3834999999999997E-9</v>
          </cell>
          <cell r="CI1127">
            <v>0</v>
          </cell>
          <cell r="CJ1127">
            <v>0</v>
          </cell>
          <cell r="CK1127">
            <v>0</v>
          </cell>
          <cell r="CL1127">
            <v>0</v>
          </cell>
          <cell r="CM1127" t="str">
            <v>*no logfit FIG (not matched btwen _v24 &amp; _v25), ask Simon to plot</v>
          </cell>
        </row>
        <row r="1128">
          <cell r="B1128" t="str">
            <v>passive buildings</v>
          </cell>
          <cell r="D1128">
            <v>1.1000000000000001</v>
          </cell>
          <cell r="I1128">
            <v>9.9604999999999997</v>
          </cell>
          <cell r="K1128">
            <v>-5.0110000000000001</v>
          </cell>
          <cell r="CG1128">
            <v>0</v>
          </cell>
          <cell r="CH1128">
            <v>0</v>
          </cell>
          <cell r="CI1128">
            <v>0</v>
          </cell>
          <cell r="CJ1128">
            <v>0</v>
          </cell>
          <cell r="CK1128">
            <v>0</v>
          </cell>
          <cell r="CL1128">
            <v>0</v>
          </cell>
          <cell r="CM1128" t="str">
            <v>cumulative version preferred (better logfit)</v>
          </cell>
        </row>
        <row r="1129">
          <cell r="B1129" t="str">
            <v>passive buildings</v>
          </cell>
          <cell r="D1129">
            <v>1.1000000000000001</v>
          </cell>
          <cell r="I1129">
            <v>27.721</v>
          </cell>
          <cell r="K1129">
            <v>-0.40442</v>
          </cell>
          <cell r="CG1129">
            <v>0</v>
          </cell>
          <cell r="CH1129">
            <v>1</v>
          </cell>
          <cell r="CI1129">
            <v>0</v>
          </cell>
          <cell r="CJ1129">
            <v>0</v>
          </cell>
          <cell r="CK1129">
            <v>0</v>
          </cell>
          <cell r="CL1129">
            <v>0</v>
          </cell>
          <cell r="CM1129" t="str">
            <v>use new builds not retrofits</v>
          </cell>
        </row>
        <row r="1130">
          <cell r="B1130" t="str">
            <v>passive buildings</v>
          </cell>
          <cell r="D1130">
            <v>1.1000000000000001</v>
          </cell>
          <cell r="I1130">
            <v>0.41449999999999998</v>
          </cell>
          <cell r="K1130">
            <v>623.74</v>
          </cell>
          <cell r="CG1130">
            <v>1</v>
          </cell>
          <cell r="CH1130">
            <v>1</v>
          </cell>
          <cell r="CI1130">
            <v>1</v>
          </cell>
          <cell r="CJ1130">
            <v>1</v>
          </cell>
          <cell r="CK1130">
            <v>0</v>
          </cell>
          <cell r="CL1130">
            <v>0</v>
          </cell>
          <cell r="CM1130" t="str">
            <v>* missing FIG for market share version, use this for now but don't use linear fits</v>
          </cell>
        </row>
        <row r="1131">
          <cell r="B1131" t="str">
            <v>passive buildings</v>
          </cell>
          <cell r="D1131">
            <v>1.1000000000000001</v>
          </cell>
          <cell r="I1131">
            <v>0.53261999999999998</v>
          </cell>
          <cell r="K1131">
            <v>38.518000000000001</v>
          </cell>
          <cell r="CG1131">
            <v>1</v>
          </cell>
          <cell r="CH1131">
            <v>1</v>
          </cell>
          <cell r="CI1131">
            <v>0</v>
          </cell>
          <cell r="CJ1131">
            <v>0</v>
          </cell>
          <cell r="CK1131">
            <v>0</v>
          </cell>
          <cell r="CL1131">
            <v>0</v>
          </cell>
          <cell r="CM1131" t="str">
            <v>use new builds not retrofits (more #s)</v>
          </cell>
        </row>
        <row r="1132">
          <cell r="B1132" t="str">
            <v>passive buildings</v>
          </cell>
          <cell r="D1132">
            <v>2.5</v>
          </cell>
          <cell r="I1132">
            <v>-0.97099999999999997</v>
          </cell>
          <cell r="K1132">
            <v>-2.7972999999999999</v>
          </cell>
          <cell r="CG1132">
            <v>1</v>
          </cell>
          <cell r="CH1132">
            <v>1</v>
          </cell>
          <cell r="CI1132">
            <v>0</v>
          </cell>
          <cell r="CJ1132">
            <v>0</v>
          </cell>
          <cell r="CK1132">
            <v>1</v>
          </cell>
          <cell r="CL1132">
            <v>1</v>
          </cell>
        </row>
        <row r="1133">
          <cell r="B1133" t="str">
            <v>passive buildings</v>
          </cell>
          <cell r="D1133">
            <v>2.5</v>
          </cell>
          <cell r="I1133">
            <v>0.84633000000000003</v>
          </cell>
          <cell r="K1133">
            <v>-6.1050000000000002E-3</v>
          </cell>
          <cell r="CG1133">
            <v>0</v>
          </cell>
          <cell r="CH1133">
            <v>1</v>
          </cell>
          <cell r="CI1133">
            <v>0</v>
          </cell>
          <cell r="CJ1133">
            <v>0</v>
          </cell>
          <cell r="CK1133">
            <v>0</v>
          </cell>
          <cell r="CL1133">
            <v>0</v>
          </cell>
        </row>
        <row r="1134">
          <cell r="B1134" t="str">
            <v>passive buildings</v>
          </cell>
          <cell r="D1134">
            <v>2.9</v>
          </cell>
          <cell r="I1134">
            <v>0.54559000000000002</v>
          </cell>
          <cell r="K1134">
            <v>80.543999999999997</v>
          </cell>
          <cell r="CG1134">
            <v>1</v>
          </cell>
          <cell r="CH1134">
            <v>1</v>
          </cell>
          <cell r="CI1134">
            <v>0</v>
          </cell>
          <cell r="CJ1134">
            <v>0</v>
          </cell>
          <cell r="CK1134">
            <v>1</v>
          </cell>
          <cell r="CL1134">
            <v>1</v>
          </cell>
        </row>
        <row r="1135">
          <cell r="B1135" t="str">
            <v>passive buildings</v>
          </cell>
          <cell r="D1135">
            <v>2.9</v>
          </cell>
          <cell r="I1135">
            <v>0.92478000000000005</v>
          </cell>
          <cell r="K1135">
            <v>38.197000000000003</v>
          </cell>
          <cell r="CG1135">
            <v>1</v>
          </cell>
          <cell r="CH1135">
            <v>1</v>
          </cell>
          <cell r="CI1135">
            <v>0</v>
          </cell>
          <cell r="CJ1135">
            <v>0</v>
          </cell>
          <cell r="CK1135">
            <v>0</v>
          </cell>
          <cell r="CL1135">
            <v>0</v>
          </cell>
        </row>
        <row r="1136">
          <cell r="B1136" t="str">
            <v>passive buildings</v>
          </cell>
          <cell r="D1136">
            <v>4.0999999999999996</v>
          </cell>
          <cell r="I1136">
            <v>-74.23</v>
          </cell>
          <cell r="K1136">
            <v>-0.12987000000000001</v>
          </cell>
          <cell r="CG1136">
            <v>0</v>
          </cell>
          <cell r="CH1136">
            <v>0</v>
          </cell>
          <cell r="CI1136">
            <v>0</v>
          </cell>
          <cell r="CJ1136">
            <v>0</v>
          </cell>
          <cell r="CK1136">
            <v>0</v>
          </cell>
          <cell r="CL1136">
            <v>0</v>
          </cell>
        </row>
        <row r="1137">
          <cell r="B1137" t="str">
            <v>passive buildings</v>
          </cell>
          <cell r="D1137">
            <v>4.0999999999999996</v>
          </cell>
          <cell r="I1137">
            <v>17.010999999999999</v>
          </cell>
          <cell r="K1137">
            <v>5.4545000000000003</v>
          </cell>
          <cell r="CG1137">
            <v>0</v>
          </cell>
          <cell r="CH1137">
            <v>0</v>
          </cell>
          <cell r="CI1137">
            <v>0</v>
          </cell>
          <cell r="CJ1137">
            <v>0</v>
          </cell>
          <cell r="CK1137">
            <v>1</v>
          </cell>
          <cell r="CL1137">
            <v>1</v>
          </cell>
        </row>
        <row r="1138">
          <cell r="B1138" t="str">
            <v>passive buildings</v>
          </cell>
          <cell r="D1138">
            <v>1.1000000000000001</v>
          </cell>
          <cell r="I1138">
            <v>0.74336000000000002</v>
          </cell>
          <cell r="K1138">
            <v>66.361000000000004</v>
          </cell>
          <cell r="CG1138">
            <v>1</v>
          </cell>
          <cell r="CH1138">
            <v>1</v>
          </cell>
          <cell r="CI1138">
            <v>0</v>
          </cell>
          <cell r="CJ1138">
            <v>0</v>
          </cell>
          <cell r="CK1138">
            <v>0</v>
          </cell>
          <cell r="CL1138">
            <v>0</v>
          </cell>
        </row>
        <row r="1139">
          <cell r="B1139" t="str">
            <v>passive buildings</v>
          </cell>
          <cell r="D1139">
            <v>1.1000000000000001</v>
          </cell>
          <cell r="I1139">
            <v>0.85233000000000003</v>
          </cell>
          <cell r="K1139">
            <v>12.21</v>
          </cell>
          <cell r="CG1139">
            <v>1</v>
          </cell>
          <cell r="CH1139">
            <v>1</v>
          </cell>
          <cell r="CI1139">
            <v>0</v>
          </cell>
          <cell r="CJ1139">
            <v>0</v>
          </cell>
          <cell r="CK1139">
            <v>0</v>
          </cell>
          <cell r="CL1139">
            <v>0</v>
          </cell>
        </row>
        <row r="1140">
          <cell r="B1140" t="str">
            <v>passive buildings</v>
          </cell>
          <cell r="D1140">
            <v>1.1000000000000001</v>
          </cell>
          <cell r="I1140">
            <v>0.29056999999999999</v>
          </cell>
          <cell r="K1140">
            <v>1433.6</v>
          </cell>
          <cell r="CG1140">
            <v>1</v>
          </cell>
          <cell r="CH1140">
            <v>1</v>
          </cell>
          <cell r="CI1140">
            <v>0</v>
          </cell>
          <cell r="CJ1140">
            <v>1</v>
          </cell>
          <cell r="CK1140">
            <v>0</v>
          </cell>
          <cell r="CL1140">
            <v>0</v>
          </cell>
        </row>
        <row r="1141">
          <cell r="B1141" t="str">
            <v>passive buildings</v>
          </cell>
          <cell r="D1141">
            <v>1.1000000000000001</v>
          </cell>
          <cell r="I1141">
            <v>0.39090999999999998</v>
          </cell>
          <cell r="K1141">
            <v>222.81</v>
          </cell>
          <cell r="CG1141">
            <v>1</v>
          </cell>
          <cell r="CH1141">
            <v>1</v>
          </cell>
          <cell r="CI1141">
            <v>0</v>
          </cell>
          <cell r="CJ1141">
            <v>0</v>
          </cell>
          <cell r="CK1141">
            <v>0</v>
          </cell>
          <cell r="CL1141">
            <v>0</v>
          </cell>
        </row>
        <row r="1142">
          <cell r="B1142" t="str">
            <v>passive buildings</v>
          </cell>
          <cell r="D1142">
            <v>2.5</v>
          </cell>
          <cell r="I1142">
            <v>0.61934</v>
          </cell>
          <cell r="K1142">
            <v>6.5106000000000002</v>
          </cell>
          <cell r="CG1142">
            <v>1</v>
          </cell>
          <cell r="CH1142">
            <v>1</v>
          </cell>
          <cell r="CI1142">
            <v>0</v>
          </cell>
          <cell r="CJ1142">
            <v>0</v>
          </cell>
          <cell r="CK1142">
            <v>0</v>
          </cell>
          <cell r="CL1142">
            <v>1</v>
          </cell>
        </row>
        <row r="1143">
          <cell r="B1143" t="str">
            <v>passive buildings</v>
          </cell>
          <cell r="D1143">
            <v>2.5</v>
          </cell>
          <cell r="I1143">
            <v>0.70974999999999999</v>
          </cell>
          <cell r="K1143">
            <v>0.86248999999999998</v>
          </cell>
          <cell r="CG1143">
            <v>1</v>
          </cell>
          <cell r="CH1143">
            <v>1</v>
          </cell>
          <cell r="CI1143">
            <v>0</v>
          </cell>
          <cell r="CJ1143">
            <v>0</v>
          </cell>
          <cell r="CK1143">
            <v>0</v>
          </cell>
          <cell r="CL1143">
            <v>0</v>
          </cell>
        </row>
        <row r="1144">
          <cell r="B1144" t="str">
            <v>passive buildings</v>
          </cell>
          <cell r="D1144">
            <v>2.9</v>
          </cell>
          <cell r="I1144">
            <v>0.52925999999999995</v>
          </cell>
          <cell r="K1144">
            <v>7206.4</v>
          </cell>
          <cell r="CG1144">
            <v>1</v>
          </cell>
          <cell r="CH1144">
            <v>1</v>
          </cell>
          <cell r="CI1144">
            <v>0</v>
          </cell>
          <cell r="CJ1144">
            <v>0</v>
          </cell>
          <cell r="CK1144">
            <v>0</v>
          </cell>
          <cell r="CL1144">
            <v>1</v>
          </cell>
        </row>
        <row r="1145">
          <cell r="B1145" t="str">
            <v>passive buildings</v>
          </cell>
          <cell r="D1145">
            <v>2.9</v>
          </cell>
          <cell r="I1145">
            <v>0.92237000000000002</v>
          </cell>
          <cell r="K1145">
            <v>842.74</v>
          </cell>
          <cell r="CG1145">
            <v>1</v>
          </cell>
          <cell r="CH1145">
            <v>1</v>
          </cell>
          <cell r="CI1145">
            <v>0</v>
          </cell>
          <cell r="CJ1145">
            <v>0</v>
          </cell>
          <cell r="CK1145">
            <v>0</v>
          </cell>
          <cell r="CL1145">
            <v>0</v>
          </cell>
        </row>
        <row r="1146">
          <cell r="B1146" t="str">
            <v>passive buildings</v>
          </cell>
          <cell r="D1146">
            <v>3.3</v>
          </cell>
          <cell r="I1146">
            <v>0.37763999999999998</v>
          </cell>
          <cell r="K1146">
            <v>3.5219</v>
          </cell>
          <cell r="CG1146">
            <v>1</v>
          </cell>
          <cell r="CH1146">
            <v>1</v>
          </cell>
          <cell r="CI1146">
            <v>0</v>
          </cell>
          <cell r="CJ1146">
            <v>0</v>
          </cell>
          <cell r="CK1146">
            <v>1</v>
          </cell>
          <cell r="CL1146">
            <v>1</v>
          </cell>
        </row>
        <row r="1147">
          <cell r="B1147" t="str">
            <v>passive buildings</v>
          </cell>
          <cell r="D1147">
            <v>4.3</v>
          </cell>
          <cell r="I1147">
            <v>0.29459999999999997</v>
          </cell>
          <cell r="K1147">
            <v>1.5976999999999999</v>
          </cell>
          <cell r="CG1147">
            <v>1</v>
          </cell>
          <cell r="CH1147">
            <v>1</v>
          </cell>
          <cell r="CI1147">
            <v>0</v>
          </cell>
          <cell r="CJ1147">
            <v>0</v>
          </cell>
          <cell r="CK1147">
            <v>1</v>
          </cell>
          <cell r="CL1147">
            <v>1</v>
          </cell>
        </row>
        <row r="1148">
          <cell r="B1148" t="str">
            <v>passive buildings</v>
          </cell>
          <cell r="D1148">
            <v>1.1000000000000001</v>
          </cell>
          <cell r="I1148">
            <v>6.2895000000000003</v>
          </cell>
          <cell r="K1148">
            <v>226.94</v>
          </cell>
          <cell r="CG1148">
            <v>1</v>
          </cell>
          <cell r="CH1148">
            <v>1</v>
          </cell>
          <cell r="CI1148">
            <v>0</v>
          </cell>
          <cell r="CJ1148">
            <v>0</v>
          </cell>
          <cell r="CK1148">
            <v>0</v>
          </cell>
          <cell r="CL1148">
            <v>0</v>
          </cell>
        </row>
        <row r="1149">
          <cell r="B1149" t="str">
            <v>passive buildings</v>
          </cell>
          <cell r="D1149">
            <v>1.1000000000000001</v>
          </cell>
          <cell r="I1149">
            <v>1.4698</v>
          </cell>
          <cell r="K1149">
            <v>467.05</v>
          </cell>
          <cell r="CG1149">
            <v>1</v>
          </cell>
          <cell r="CH1149">
            <v>1</v>
          </cell>
          <cell r="CI1149">
            <v>0</v>
          </cell>
          <cell r="CJ1149">
            <v>0</v>
          </cell>
          <cell r="CK1149">
            <v>0</v>
          </cell>
          <cell r="CL1149">
            <v>0</v>
          </cell>
        </row>
        <row r="1150">
          <cell r="B1150" t="str">
            <v>passive buildings</v>
          </cell>
          <cell r="D1150">
            <v>4.0999999999999996</v>
          </cell>
          <cell r="I1150">
            <v>16.231000000000002</v>
          </cell>
          <cell r="K1150">
            <v>1.2987</v>
          </cell>
          <cell r="CG1150">
            <v>0</v>
          </cell>
          <cell r="CH1150">
            <v>0</v>
          </cell>
          <cell r="CI1150">
            <v>0</v>
          </cell>
          <cell r="CJ1150">
            <v>0</v>
          </cell>
          <cell r="CK1150">
            <v>0</v>
          </cell>
          <cell r="CL1150">
            <v>0</v>
          </cell>
        </row>
        <row r="1151">
          <cell r="B1151" t="str">
            <v>passive buildings</v>
          </cell>
          <cell r="D1151">
            <v>4.0999999999999996</v>
          </cell>
          <cell r="I1151">
            <v>16.231000000000002</v>
          </cell>
          <cell r="K1151">
            <v>1.2987</v>
          </cell>
          <cell r="CG1151">
            <v>0</v>
          </cell>
          <cell r="CH1151">
            <v>0</v>
          </cell>
          <cell r="CI1151">
            <v>0</v>
          </cell>
          <cell r="CJ1151">
            <v>0</v>
          </cell>
          <cell r="CK1151">
            <v>0</v>
          </cell>
          <cell r="CL1151">
            <v>0</v>
          </cell>
          <cell r="CM1151" t="str">
            <v>drop as no useable 1.1 data</v>
          </cell>
        </row>
        <row r="1152">
          <cell r="B1152" t="str">
            <v>quitting smoking</v>
          </cell>
          <cell r="D1152">
            <v>1.1000000000000001</v>
          </cell>
          <cell r="I1152">
            <v>-3.2356000000000003E-2</v>
          </cell>
          <cell r="K1152">
            <v>-5.4871E-3</v>
          </cell>
          <cell r="CG1152">
            <v>1</v>
          </cell>
          <cell r="CH1152">
            <v>1</v>
          </cell>
          <cell r="CI1152">
            <v>0</v>
          </cell>
          <cell r="CJ1152">
            <v>0</v>
          </cell>
          <cell r="CK1152">
            <v>0</v>
          </cell>
          <cell r="CL1152">
            <v>0</v>
          </cell>
        </row>
        <row r="1153">
          <cell r="B1153" t="str">
            <v>quitting smoking</v>
          </cell>
          <cell r="D1153">
            <v>1.1000000000000001</v>
          </cell>
          <cell r="I1153">
            <v>-3.8381999999999999E-2</v>
          </cell>
          <cell r="K1153">
            <v>-5.4871E-3</v>
          </cell>
          <cell r="CG1153">
            <v>1</v>
          </cell>
          <cell r="CH1153">
            <v>1</v>
          </cell>
          <cell r="CI1153">
            <v>0</v>
          </cell>
          <cell r="CJ1153">
            <v>1</v>
          </cell>
          <cell r="CK1153">
            <v>0</v>
          </cell>
          <cell r="CL1153">
            <v>0</v>
          </cell>
        </row>
        <row r="1154">
          <cell r="B1154" t="str">
            <v>quitting smoking</v>
          </cell>
          <cell r="D1154">
            <v>2.2000000000000002</v>
          </cell>
          <cell r="I1154">
            <v>-0.34906999999999999</v>
          </cell>
          <cell r="K1154">
            <v>-6.8000000000000005E-4</v>
          </cell>
          <cell r="CG1154">
            <v>1</v>
          </cell>
          <cell r="CH1154">
            <v>1</v>
          </cell>
          <cell r="CI1154">
            <v>0</v>
          </cell>
          <cell r="CJ1154">
            <v>0</v>
          </cell>
          <cell r="CK1154">
            <v>0</v>
          </cell>
          <cell r="CL1154">
            <v>1</v>
          </cell>
        </row>
        <row r="1155">
          <cell r="B1155" t="str">
            <v>quitting smoking</v>
          </cell>
          <cell r="D1155">
            <v>2.9</v>
          </cell>
          <cell r="I1155">
            <v>-4.4429999999999997E-2</v>
          </cell>
          <cell r="K1155">
            <v>-0.43719999999999998</v>
          </cell>
          <cell r="CG1155">
            <v>1</v>
          </cell>
          <cell r="CH1155">
            <v>1</v>
          </cell>
          <cell r="CI1155">
            <v>0</v>
          </cell>
          <cell r="CJ1155">
            <v>0</v>
          </cell>
          <cell r="CK1155">
            <v>0</v>
          </cell>
          <cell r="CL1155">
            <v>1</v>
          </cell>
        </row>
        <row r="1156">
          <cell r="B1156" t="str">
            <v>quitting smoking</v>
          </cell>
          <cell r="D1156">
            <v>4.0999999999999996</v>
          </cell>
          <cell r="I1156">
            <v>0.64359</v>
          </cell>
          <cell r="K1156">
            <v>5.3193999999999999</v>
          </cell>
          <cell r="CG1156">
            <v>1</v>
          </cell>
          <cell r="CH1156">
            <v>1</v>
          </cell>
          <cell r="CI1156">
            <v>0</v>
          </cell>
          <cell r="CJ1156">
            <v>0</v>
          </cell>
          <cell r="CK1156">
            <v>0</v>
          </cell>
          <cell r="CL1156">
            <v>1</v>
          </cell>
        </row>
        <row r="1157">
          <cell r="B1157" t="str">
            <v>quitting smoking</v>
          </cell>
          <cell r="D1157">
            <v>4.0999999999999996</v>
          </cell>
          <cell r="I1157">
            <v>0.30565999999999999</v>
          </cell>
          <cell r="K1157">
            <v>5.0938999999999997</v>
          </cell>
          <cell r="CG1157">
            <v>1</v>
          </cell>
          <cell r="CH1157">
            <v>1</v>
          </cell>
          <cell r="CI1157">
            <v>0</v>
          </cell>
          <cell r="CJ1157">
            <v>0</v>
          </cell>
          <cell r="CK1157">
            <v>0</v>
          </cell>
          <cell r="CL1157">
            <v>0</v>
          </cell>
        </row>
        <row r="1158">
          <cell r="B1158" t="str">
            <v>quitting smoking</v>
          </cell>
          <cell r="D1158">
            <v>1.1000000000000001</v>
          </cell>
          <cell r="I1158">
            <v>-2.8395E-2</v>
          </cell>
          <cell r="K1158">
            <v>-5.8158000000000005E-4</v>
          </cell>
          <cell r="CG1158">
            <v>1</v>
          </cell>
          <cell r="CH1158">
            <v>1</v>
          </cell>
          <cell r="CI1158">
            <v>0</v>
          </cell>
          <cell r="CJ1158">
            <v>0</v>
          </cell>
          <cell r="CK1158">
            <v>0</v>
          </cell>
          <cell r="CL1158">
            <v>0</v>
          </cell>
        </row>
        <row r="1159">
          <cell r="B1159" t="str">
            <v>quitting smoking</v>
          </cell>
          <cell r="D1159">
            <v>1.1000000000000001</v>
          </cell>
          <cell r="I1159">
            <v>-2.8395E-2</v>
          </cell>
          <cell r="K1159">
            <v>-5.8158000000000005E-4</v>
          </cell>
          <cell r="CG1159">
            <v>1</v>
          </cell>
          <cell r="CH1159">
            <v>1</v>
          </cell>
          <cell r="CI1159">
            <v>0</v>
          </cell>
          <cell r="CJ1159">
            <v>1</v>
          </cell>
          <cell r="CK1159">
            <v>0</v>
          </cell>
          <cell r="CL1159">
            <v>0</v>
          </cell>
        </row>
        <row r="1160">
          <cell r="B1160" t="str">
            <v>quitting smoking</v>
          </cell>
          <cell r="D1160">
            <v>2.2000000000000002</v>
          </cell>
          <cell r="I1160">
            <v>-8.0373E-2</v>
          </cell>
          <cell r="K1160">
            <v>-7.5571000000000004E-4</v>
          </cell>
          <cell r="CG1160">
            <v>1</v>
          </cell>
          <cell r="CH1160">
            <v>1</v>
          </cell>
          <cell r="CI1160">
            <v>0</v>
          </cell>
          <cell r="CJ1160">
            <v>0</v>
          </cell>
          <cell r="CK1160">
            <v>0</v>
          </cell>
          <cell r="CL1160">
            <v>1</v>
          </cell>
        </row>
        <row r="1161">
          <cell r="B1161" t="str">
            <v>quitting smoking</v>
          </cell>
          <cell r="D1161">
            <v>2.9</v>
          </cell>
          <cell r="I1161">
            <v>1.2293999999999999E-2</v>
          </cell>
          <cell r="K1161">
            <v>0.22470000000000001</v>
          </cell>
          <cell r="CG1161">
            <v>1</v>
          </cell>
          <cell r="CH1161">
            <v>1</v>
          </cell>
          <cell r="CI1161">
            <v>0</v>
          </cell>
          <cell r="CJ1161">
            <v>0</v>
          </cell>
          <cell r="CK1161">
            <v>0</v>
          </cell>
          <cell r="CL1161">
            <v>1</v>
          </cell>
        </row>
        <row r="1162">
          <cell r="B1162" t="str">
            <v>quitting smoking</v>
          </cell>
          <cell r="D1162">
            <v>4.0999999999999996</v>
          </cell>
          <cell r="I1162">
            <v>-50.689</v>
          </cell>
          <cell r="K1162">
            <v>-0.57484999999999997</v>
          </cell>
          <cell r="CG1162">
            <v>0</v>
          </cell>
          <cell r="CH1162">
            <v>0</v>
          </cell>
          <cell r="CI1162">
            <v>0</v>
          </cell>
          <cell r="CJ1162">
            <v>0</v>
          </cell>
          <cell r="CK1162">
            <v>0</v>
          </cell>
          <cell r="CL1162">
            <v>0</v>
          </cell>
        </row>
        <row r="1163">
          <cell r="B1163" t="str">
            <v>quitting smoking</v>
          </cell>
          <cell r="D1163">
            <v>4.0999999999999996</v>
          </cell>
          <cell r="I1163">
            <v>0.37348999999999999</v>
          </cell>
          <cell r="K1163">
            <v>7.0941000000000001</v>
          </cell>
          <cell r="CG1163">
            <v>1</v>
          </cell>
          <cell r="CH1163">
            <v>1</v>
          </cell>
          <cell r="CI1163">
            <v>0</v>
          </cell>
          <cell r="CJ1163">
            <v>0</v>
          </cell>
          <cell r="CK1163">
            <v>0</v>
          </cell>
          <cell r="CL1163">
            <v>1</v>
          </cell>
        </row>
        <row r="1164">
          <cell r="B1164" t="str">
            <v>quitting smoking</v>
          </cell>
          <cell r="D1164">
            <v>3.3</v>
          </cell>
          <cell r="I1164">
            <v>0.18315000000000001</v>
          </cell>
          <cell r="K1164">
            <v>69.608999999999995</v>
          </cell>
          <cell r="CG1164">
            <v>1</v>
          </cell>
          <cell r="CH1164">
            <v>1</v>
          </cell>
          <cell r="CI1164">
            <v>0</v>
          </cell>
          <cell r="CJ1164">
            <v>0</v>
          </cell>
          <cell r="CK1164">
            <v>1</v>
          </cell>
          <cell r="CL1164">
            <v>1</v>
          </cell>
        </row>
        <row r="1165">
          <cell r="B1165" t="str">
            <v>quitting smoking</v>
          </cell>
          <cell r="D1165">
            <v>3.5</v>
          </cell>
          <cell r="I1165">
            <v>0.38530999999999999</v>
          </cell>
          <cell r="K1165">
            <v>0.7137</v>
          </cell>
          <cell r="CG1165">
            <v>1</v>
          </cell>
          <cell r="CH1165">
            <v>1</v>
          </cell>
          <cell r="CI1165">
            <v>0</v>
          </cell>
          <cell r="CJ1165">
            <v>0</v>
          </cell>
          <cell r="CK1165">
            <v>0</v>
          </cell>
          <cell r="CL1165">
            <v>1</v>
          </cell>
        </row>
        <row r="1166">
          <cell r="B1166" t="str">
            <v>quitting smoking</v>
          </cell>
          <cell r="D1166">
            <v>3.5</v>
          </cell>
          <cell r="I1166">
            <v>15.018000000000001</v>
          </cell>
          <cell r="K1166">
            <v>5.3095999999999997E-2</v>
          </cell>
          <cell r="CG1166">
            <v>0</v>
          </cell>
          <cell r="CH1166">
            <v>1</v>
          </cell>
          <cell r="CI1166">
            <v>0</v>
          </cell>
          <cell r="CJ1166">
            <v>0</v>
          </cell>
          <cell r="CK1166">
            <v>0</v>
          </cell>
          <cell r="CL1166">
            <v>0</v>
          </cell>
        </row>
        <row r="1167">
          <cell r="B1167" t="str">
            <v>quitting smoking</v>
          </cell>
          <cell r="D1167">
            <v>3.5</v>
          </cell>
          <cell r="I1167">
            <v>0.53813</v>
          </cell>
          <cell r="K1167">
            <v>8.0501000000000003E-2</v>
          </cell>
          <cell r="CG1167">
            <v>1</v>
          </cell>
          <cell r="CH1167">
            <v>1</v>
          </cell>
          <cell r="CI1167">
            <v>0</v>
          </cell>
          <cell r="CJ1167">
            <v>0</v>
          </cell>
          <cell r="CK1167">
            <v>0</v>
          </cell>
          <cell r="CL1167">
            <v>0</v>
          </cell>
        </row>
        <row r="1168">
          <cell r="B1168" t="str">
            <v>quitting smoking</v>
          </cell>
          <cell r="D1168">
            <v>3.5</v>
          </cell>
          <cell r="I1168">
            <v>1.8524</v>
          </cell>
          <cell r="K1168">
            <v>2.6808999999999998</v>
          </cell>
          <cell r="CG1168">
            <v>1</v>
          </cell>
          <cell r="CH1168">
            <v>1</v>
          </cell>
          <cell r="CI1168">
            <v>0</v>
          </cell>
          <cell r="CJ1168">
            <v>0</v>
          </cell>
          <cell r="CK1168">
            <v>0</v>
          </cell>
          <cell r="CL1168">
            <v>0</v>
          </cell>
        </row>
        <row r="1169">
          <cell r="B1169" t="str">
            <v>quitting smoking</v>
          </cell>
          <cell r="D1169">
            <v>3.5</v>
          </cell>
          <cell r="I1169">
            <v>1.7365999999999999</v>
          </cell>
          <cell r="K1169">
            <v>2.875</v>
          </cell>
          <cell r="CG1169">
            <v>1</v>
          </cell>
          <cell r="CH1169">
            <v>1</v>
          </cell>
          <cell r="CI1169">
            <v>0</v>
          </cell>
          <cell r="CJ1169">
            <v>0</v>
          </cell>
          <cell r="CK1169">
            <v>0</v>
          </cell>
          <cell r="CL1169">
            <v>0</v>
          </cell>
        </row>
        <row r="1170">
          <cell r="B1170" t="str">
            <v>quitting smoking</v>
          </cell>
          <cell r="D1170">
            <v>3.5</v>
          </cell>
          <cell r="I1170">
            <v>0.50895000000000001</v>
          </cell>
          <cell r="K1170">
            <v>0.13505</v>
          </cell>
          <cell r="CG1170">
            <v>1</v>
          </cell>
          <cell r="CH1170">
            <v>1</v>
          </cell>
          <cell r="CI1170">
            <v>0</v>
          </cell>
          <cell r="CJ1170">
            <v>0</v>
          </cell>
          <cell r="CK1170">
            <v>0</v>
          </cell>
          <cell r="CL1170">
            <v>0</v>
          </cell>
        </row>
        <row r="1171">
          <cell r="B1171" t="str">
            <v>quitting smoking</v>
          </cell>
          <cell r="D1171">
            <v>3.5</v>
          </cell>
          <cell r="I1171">
            <v>0.28347</v>
          </cell>
          <cell r="K1171">
            <v>5.2073999999999998</v>
          </cell>
          <cell r="CG1171">
            <v>0</v>
          </cell>
          <cell r="CH1171">
            <v>0</v>
          </cell>
          <cell r="CI1171">
            <v>0</v>
          </cell>
          <cell r="CJ1171">
            <v>0</v>
          </cell>
          <cell r="CK1171">
            <v>0</v>
          </cell>
          <cell r="CL1171">
            <v>0</v>
          </cell>
        </row>
        <row r="1172">
          <cell r="B1172" t="str">
            <v>quitting smoking</v>
          </cell>
          <cell r="D1172">
            <v>3.5</v>
          </cell>
          <cell r="I1172">
            <v>0.38873000000000002</v>
          </cell>
          <cell r="K1172">
            <v>0.68547999999999998</v>
          </cell>
          <cell r="CG1172">
            <v>0</v>
          </cell>
          <cell r="CH1172">
            <v>0</v>
          </cell>
          <cell r="CI1172">
            <v>0</v>
          </cell>
          <cell r="CJ1172">
            <v>0</v>
          </cell>
          <cell r="CK1172">
            <v>0</v>
          </cell>
          <cell r="CL1172">
            <v>0</v>
          </cell>
        </row>
        <row r="1173">
          <cell r="B1173" t="str">
            <v>quitting smoking</v>
          </cell>
          <cell r="D1173">
            <v>3.5</v>
          </cell>
          <cell r="I1173">
            <v>0.38530999999999999</v>
          </cell>
          <cell r="K1173">
            <v>0.7137</v>
          </cell>
          <cell r="CG1173">
            <v>0</v>
          </cell>
          <cell r="CH1173">
            <v>0</v>
          </cell>
          <cell r="CI1173">
            <v>0</v>
          </cell>
          <cell r="CJ1173">
            <v>0</v>
          </cell>
          <cell r="CK1173">
            <v>0</v>
          </cell>
          <cell r="CL1173">
            <v>0</v>
          </cell>
        </row>
        <row r="1174">
          <cell r="B1174" t="str">
            <v>quitting smoking</v>
          </cell>
          <cell r="D1174">
            <v>3.5</v>
          </cell>
          <cell r="I1174">
            <v>0.51119000000000003</v>
          </cell>
          <cell r="K1174">
            <v>6.3024999999999998E-2</v>
          </cell>
          <cell r="CG1174">
            <v>0</v>
          </cell>
          <cell r="CH1174">
            <v>0</v>
          </cell>
          <cell r="CI1174">
            <v>0</v>
          </cell>
          <cell r="CJ1174">
            <v>0</v>
          </cell>
          <cell r="CK1174">
            <v>0</v>
          </cell>
          <cell r="CL1174">
            <v>0</v>
          </cell>
        </row>
        <row r="1175">
          <cell r="B1175" t="str">
            <v>quitting smoking</v>
          </cell>
          <cell r="D1175">
            <v>3.5</v>
          </cell>
          <cell r="I1175">
            <v>0.38266</v>
          </cell>
          <cell r="K1175">
            <v>0.53149000000000002</v>
          </cell>
          <cell r="CG1175">
            <v>1</v>
          </cell>
          <cell r="CH1175">
            <v>1</v>
          </cell>
          <cell r="CI1175">
            <v>0</v>
          </cell>
          <cell r="CJ1175">
            <v>0</v>
          </cell>
          <cell r="CK1175">
            <v>0</v>
          </cell>
          <cell r="CL1175">
            <v>0</v>
          </cell>
        </row>
        <row r="1176">
          <cell r="B1176" t="str">
            <v>quitting smoking</v>
          </cell>
          <cell r="D1176">
            <v>3.5</v>
          </cell>
          <cell r="I1176">
            <v>0.37778</v>
          </cell>
          <cell r="K1176">
            <v>8.5483000000000003E-2</v>
          </cell>
          <cell r="CG1176">
            <v>0</v>
          </cell>
          <cell r="CH1176">
            <v>0</v>
          </cell>
          <cell r="CI1176">
            <v>0</v>
          </cell>
          <cell r="CJ1176">
            <v>0</v>
          </cell>
          <cell r="CK1176">
            <v>0</v>
          </cell>
          <cell r="CL1176">
            <v>0</v>
          </cell>
        </row>
        <row r="1177">
          <cell r="B1177" t="str">
            <v>quitting smoking</v>
          </cell>
          <cell r="D1177">
            <v>3.5</v>
          </cell>
          <cell r="I1177">
            <v>1.4218999999999999</v>
          </cell>
          <cell r="K1177">
            <v>13.433999999999999</v>
          </cell>
          <cell r="CG1177">
            <v>1</v>
          </cell>
          <cell r="CH1177">
            <v>1</v>
          </cell>
          <cell r="CI1177">
            <v>0</v>
          </cell>
          <cell r="CJ1177">
            <v>0</v>
          </cell>
          <cell r="CK1177">
            <v>0</v>
          </cell>
          <cell r="CL1177">
            <v>0</v>
          </cell>
        </row>
        <row r="1178">
          <cell r="B1178" t="str">
            <v>quitting smoking</v>
          </cell>
          <cell r="D1178">
            <v>3.5</v>
          </cell>
          <cell r="I1178">
            <v>0.78663000000000005</v>
          </cell>
          <cell r="K1178">
            <v>2.9980000000000002</v>
          </cell>
          <cell r="CG1178">
            <v>0</v>
          </cell>
          <cell r="CH1178">
            <v>0</v>
          </cell>
          <cell r="CI1178">
            <v>0</v>
          </cell>
          <cell r="CJ1178">
            <v>0</v>
          </cell>
          <cell r="CK1178">
            <v>0</v>
          </cell>
          <cell r="CL1178">
            <v>0</v>
          </cell>
        </row>
        <row r="1179">
          <cell r="B1179" t="str">
            <v>quitting smoking</v>
          </cell>
          <cell r="D1179">
            <v>3.5</v>
          </cell>
          <cell r="I1179">
            <v>1.4255</v>
          </cell>
          <cell r="K1179">
            <v>14.218</v>
          </cell>
          <cell r="CG1179">
            <v>1</v>
          </cell>
          <cell r="CH1179">
            <v>1</v>
          </cell>
          <cell r="CI1179">
            <v>0</v>
          </cell>
          <cell r="CJ1179">
            <v>0</v>
          </cell>
          <cell r="CK1179">
            <v>0</v>
          </cell>
          <cell r="CL1179">
            <v>0</v>
          </cell>
        </row>
        <row r="1180">
          <cell r="B1180" t="str">
            <v>quitting smoking</v>
          </cell>
          <cell r="D1180">
            <v>3.5</v>
          </cell>
          <cell r="I1180">
            <v>0.84543000000000001</v>
          </cell>
          <cell r="K1180">
            <v>3.1741000000000001</v>
          </cell>
          <cell r="CG1180">
            <v>0</v>
          </cell>
          <cell r="CH1180">
            <v>0</v>
          </cell>
          <cell r="CI1180">
            <v>0</v>
          </cell>
          <cell r="CJ1180">
            <v>0</v>
          </cell>
          <cell r="CK1180">
            <v>0</v>
          </cell>
          <cell r="CL1180">
            <v>0</v>
          </cell>
        </row>
        <row r="1181">
          <cell r="B1181" t="str">
            <v>quitting smoking</v>
          </cell>
          <cell r="D1181">
            <v>3.5</v>
          </cell>
          <cell r="I1181">
            <v>0.38040000000000002</v>
          </cell>
          <cell r="K1181">
            <v>0.87153999999999998</v>
          </cell>
          <cell r="CG1181">
            <v>1</v>
          </cell>
          <cell r="CH1181">
            <v>1</v>
          </cell>
          <cell r="CI1181">
            <v>0</v>
          </cell>
          <cell r="CJ1181">
            <v>0</v>
          </cell>
          <cell r="CK1181">
            <v>0</v>
          </cell>
          <cell r="CL1181">
            <v>0</v>
          </cell>
        </row>
        <row r="1182">
          <cell r="B1182" t="str">
            <v>quitting smoking</v>
          </cell>
          <cell r="D1182">
            <v>3.5</v>
          </cell>
          <cell r="I1182">
            <v>0.37733</v>
          </cell>
          <cell r="K1182">
            <v>0.13031999999999999</v>
          </cell>
          <cell r="CG1182">
            <v>0</v>
          </cell>
          <cell r="CH1182">
            <v>0</v>
          </cell>
          <cell r="CI1182">
            <v>0</v>
          </cell>
          <cell r="CJ1182">
            <v>0</v>
          </cell>
          <cell r="CK1182">
            <v>0</v>
          </cell>
          <cell r="CL1182">
            <v>0</v>
          </cell>
        </row>
        <row r="1183">
          <cell r="B1183" t="str">
            <v>quitting smoking</v>
          </cell>
          <cell r="D1183">
            <v>1.1000000000000001</v>
          </cell>
          <cell r="K1183">
            <v>-1.3512E-2</v>
          </cell>
          <cell r="CG1183">
            <v>1</v>
          </cell>
          <cell r="CH1183">
            <v>1</v>
          </cell>
          <cell r="CI1183">
            <v>0</v>
          </cell>
          <cell r="CJ1183">
            <v>0</v>
          </cell>
          <cell r="CK1183">
            <v>0</v>
          </cell>
          <cell r="CL1183">
            <v>0</v>
          </cell>
        </row>
        <row r="1184">
          <cell r="B1184" t="str">
            <v>quitting smoking</v>
          </cell>
          <cell r="D1184">
            <v>1.1000000000000001</v>
          </cell>
          <cell r="K1184">
            <v>-1.3512E-2</v>
          </cell>
          <cell r="CG1184">
            <v>1</v>
          </cell>
          <cell r="CH1184">
            <v>1</v>
          </cell>
          <cell r="CI1184">
            <v>0</v>
          </cell>
          <cell r="CJ1184">
            <v>1</v>
          </cell>
          <cell r="CK1184">
            <v>0</v>
          </cell>
          <cell r="CL1184">
            <v>0</v>
          </cell>
        </row>
        <row r="1185">
          <cell r="B1185" t="str">
            <v>quitting smoking</v>
          </cell>
          <cell r="D1185">
            <v>2.2000000000000002</v>
          </cell>
          <cell r="I1185">
            <v>-2.2334999999999998</v>
          </cell>
          <cell r="K1185">
            <v>-5.8214E-3</v>
          </cell>
          <cell r="CG1185">
            <v>1</v>
          </cell>
          <cell r="CH1185">
            <v>1</v>
          </cell>
          <cell r="CI1185">
            <v>0</v>
          </cell>
          <cell r="CJ1185">
            <v>0</v>
          </cell>
          <cell r="CK1185">
            <v>0</v>
          </cell>
          <cell r="CL1185">
            <v>1</v>
          </cell>
        </row>
        <row r="1186">
          <cell r="B1186" t="str">
            <v>quitting smoking</v>
          </cell>
          <cell r="D1186">
            <v>2.9</v>
          </cell>
          <cell r="I1186">
            <v>-8.6631E-2</v>
          </cell>
          <cell r="K1186">
            <v>-0.13269</v>
          </cell>
          <cell r="CG1186">
            <v>1</v>
          </cell>
          <cell r="CH1186">
            <v>1</v>
          </cell>
          <cell r="CI1186">
            <v>0</v>
          </cell>
          <cell r="CJ1186">
            <v>0</v>
          </cell>
          <cell r="CK1186">
            <v>0</v>
          </cell>
          <cell r="CL1186">
            <v>1</v>
          </cell>
        </row>
        <row r="1187">
          <cell r="B1187" t="str">
            <v>quitting smoking</v>
          </cell>
          <cell r="D1187">
            <v>4.0999999999999996</v>
          </cell>
          <cell r="I1187">
            <v>-0.61117999999999995</v>
          </cell>
          <cell r="K1187">
            <v>-4.1059999999999999</v>
          </cell>
          <cell r="CG1187">
            <v>1</v>
          </cell>
          <cell r="CH1187">
            <v>1</v>
          </cell>
          <cell r="CI1187">
            <v>0</v>
          </cell>
          <cell r="CJ1187">
            <v>0</v>
          </cell>
          <cell r="CK1187">
            <v>0</v>
          </cell>
          <cell r="CL1187">
            <v>0</v>
          </cell>
        </row>
        <row r="1188">
          <cell r="B1188" t="str">
            <v>quitting smoking</v>
          </cell>
          <cell r="D1188">
            <v>4.0999999999999996</v>
          </cell>
          <cell r="I1188">
            <v>2.9045000000000001</v>
          </cell>
          <cell r="K1188">
            <v>20.152999999999999</v>
          </cell>
          <cell r="CG1188">
            <v>1</v>
          </cell>
          <cell r="CH1188">
            <v>1</v>
          </cell>
          <cell r="CI1188">
            <v>0</v>
          </cell>
          <cell r="CJ1188">
            <v>0</v>
          </cell>
          <cell r="CK1188">
            <v>0</v>
          </cell>
          <cell r="CL1188">
            <v>1</v>
          </cell>
        </row>
        <row r="1189">
          <cell r="B1189" t="str">
            <v>quitting smoking</v>
          </cell>
          <cell r="D1189">
            <v>1.1000000000000001</v>
          </cell>
          <cell r="I1189">
            <v>-4.5891000000000001E-2</v>
          </cell>
          <cell r="K1189">
            <v>-1.1067E-2</v>
          </cell>
          <cell r="CG1189">
            <v>1</v>
          </cell>
          <cell r="CH1189">
            <v>1</v>
          </cell>
          <cell r="CI1189">
            <v>0</v>
          </cell>
          <cell r="CJ1189">
            <v>0</v>
          </cell>
          <cell r="CK1189">
            <v>0</v>
          </cell>
          <cell r="CL1189">
            <v>0</v>
          </cell>
        </row>
        <row r="1190">
          <cell r="B1190" t="str">
            <v>quitting smoking</v>
          </cell>
          <cell r="D1190">
            <v>1.1000000000000001</v>
          </cell>
          <cell r="I1190">
            <v>-6.1392000000000002E-2</v>
          </cell>
          <cell r="K1190">
            <v>-1.1067E-2</v>
          </cell>
          <cell r="CG1190">
            <v>1</v>
          </cell>
          <cell r="CH1190">
            <v>1</v>
          </cell>
          <cell r="CI1190">
            <v>1</v>
          </cell>
          <cell r="CJ1190">
            <v>1</v>
          </cell>
          <cell r="CK1190">
            <v>0</v>
          </cell>
          <cell r="CL1190">
            <v>0</v>
          </cell>
        </row>
        <row r="1191">
          <cell r="B1191" t="str">
            <v>quitting smoking</v>
          </cell>
          <cell r="D1191">
            <v>2.2000000000000002</v>
          </cell>
          <cell r="I1191">
            <v>0.15242</v>
          </cell>
          <cell r="K1191">
            <v>3.3857000000000001E-4</v>
          </cell>
          <cell r="CG1191">
            <v>1</v>
          </cell>
          <cell r="CH1191">
            <v>1</v>
          </cell>
          <cell r="CI1191">
            <v>0</v>
          </cell>
          <cell r="CJ1191">
            <v>0</v>
          </cell>
          <cell r="CK1191">
            <v>1</v>
          </cell>
          <cell r="CL1191">
            <v>1</v>
          </cell>
        </row>
        <row r="1192">
          <cell r="B1192" t="str">
            <v>quitting smoking</v>
          </cell>
          <cell r="D1192">
            <v>2.9</v>
          </cell>
          <cell r="I1192">
            <v>-4.4201999999999998E-2</v>
          </cell>
          <cell r="K1192">
            <v>-0.16644</v>
          </cell>
          <cell r="CG1192">
            <v>1</v>
          </cell>
          <cell r="CH1192">
            <v>1</v>
          </cell>
          <cell r="CI1192">
            <v>0</v>
          </cell>
          <cell r="CJ1192">
            <v>0</v>
          </cell>
          <cell r="CK1192">
            <v>1</v>
          </cell>
          <cell r="CL1192">
            <v>1</v>
          </cell>
        </row>
        <row r="1193">
          <cell r="B1193" t="str">
            <v>quitting smoking</v>
          </cell>
          <cell r="D1193">
            <v>3.5</v>
          </cell>
          <cell r="I1193">
            <v>0.33889000000000002</v>
          </cell>
          <cell r="K1193">
            <v>0.13979</v>
          </cell>
          <cell r="CG1193">
            <v>1</v>
          </cell>
          <cell r="CH1193">
            <v>1</v>
          </cell>
          <cell r="CI1193">
            <v>0</v>
          </cell>
          <cell r="CJ1193">
            <v>0</v>
          </cell>
          <cell r="CK1193">
            <v>1</v>
          </cell>
          <cell r="CL1193">
            <v>1</v>
          </cell>
        </row>
        <row r="1194">
          <cell r="B1194" t="str">
            <v>quitting smoking</v>
          </cell>
          <cell r="D1194">
            <v>3.5</v>
          </cell>
          <cell r="I1194">
            <v>38.924999999999997</v>
          </cell>
          <cell r="K1194">
            <v>9.0909000000000007E-3</v>
          </cell>
          <cell r="CG1194">
            <v>0</v>
          </cell>
          <cell r="CH1194">
            <v>1</v>
          </cell>
          <cell r="CI1194">
            <v>0</v>
          </cell>
          <cell r="CJ1194">
            <v>0</v>
          </cell>
          <cell r="CK1194">
            <v>0</v>
          </cell>
          <cell r="CL1194">
            <v>0</v>
          </cell>
        </row>
        <row r="1195">
          <cell r="B1195" t="str">
            <v>quitting smoking</v>
          </cell>
          <cell r="D1195">
            <v>3.5</v>
          </cell>
          <cell r="I1195">
            <v>43.04</v>
          </cell>
          <cell r="K1195">
            <v>2.7667999999999998E-3</v>
          </cell>
          <cell r="CG1195">
            <v>0</v>
          </cell>
          <cell r="CH1195">
            <v>1</v>
          </cell>
          <cell r="CI1195">
            <v>0</v>
          </cell>
          <cell r="CJ1195">
            <v>0</v>
          </cell>
          <cell r="CK1195">
            <v>0</v>
          </cell>
          <cell r="CL1195">
            <v>0</v>
          </cell>
        </row>
        <row r="1196">
          <cell r="B1196" t="str">
            <v>quitting smoking</v>
          </cell>
          <cell r="D1196">
            <v>3.5</v>
          </cell>
          <cell r="I1196">
            <v>43.146000000000001</v>
          </cell>
          <cell r="K1196">
            <v>1.5438E-2</v>
          </cell>
          <cell r="CG1196">
            <v>0</v>
          </cell>
          <cell r="CH1196">
            <v>1</v>
          </cell>
          <cell r="CI1196">
            <v>0</v>
          </cell>
          <cell r="CJ1196">
            <v>0</v>
          </cell>
          <cell r="CK1196">
            <v>0</v>
          </cell>
          <cell r="CL1196">
            <v>0</v>
          </cell>
        </row>
        <row r="1197">
          <cell r="B1197" t="str">
            <v>quitting smoking</v>
          </cell>
          <cell r="D1197">
            <v>3.5</v>
          </cell>
          <cell r="I1197">
            <v>0.34939999999999999</v>
          </cell>
          <cell r="K1197">
            <v>1.8971999999999999E-2</v>
          </cell>
          <cell r="CG1197">
            <v>1</v>
          </cell>
          <cell r="CH1197">
            <v>1</v>
          </cell>
          <cell r="CI1197">
            <v>0</v>
          </cell>
          <cell r="CJ1197">
            <v>0</v>
          </cell>
          <cell r="CK1197">
            <v>0</v>
          </cell>
          <cell r="CL1197">
            <v>0</v>
          </cell>
        </row>
        <row r="1198">
          <cell r="B1198" t="str">
            <v>quitting smoking</v>
          </cell>
          <cell r="D1198">
            <v>3.5</v>
          </cell>
          <cell r="I1198">
            <v>0.23612</v>
          </cell>
          <cell r="K1198">
            <v>1.1704000000000001</v>
          </cell>
          <cell r="CG1198">
            <v>0</v>
          </cell>
          <cell r="CH1198">
            <v>0</v>
          </cell>
          <cell r="CI1198">
            <v>0</v>
          </cell>
          <cell r="CJ1198">
            <v>0</v>
          </cell>
          <cell r="CK1198">
            <v>0</v>
          </cell>
          <cell r="CL1198">
            <v>0</v>
          </cell>
        </row>
        <row r="1199">
          <cell r="B1199" t="str">
            <v>quitting smoking</v>
          </cell>
          <cell r="D1199">
            <v>3.5</v>
          </cell>
          <cell r="I1199">
            <v>0.35648000000000002</v>
          </cell>
          <cell r="K1199">
            <v>0.12987000000000001</v>
          </cell>
          <cell r="CG1199">
            <v>0</v>
          </cell>
          <cell r="CH1199">
            <v>0</v>
          </cell>
          <cell r="CI1199">
            <v>0</v>
          </cell>
          <cell r="CJ1199">
            <v>0</v>
          </cell>
          <cell r="CK1199">
            <v>0</v>
          </cell>
          <cell r="CL1199">
            <v>0</v>
          </cell>
        </row>
        <row r="1200">
          <cell r="B1200" t="str">
            <v>quitting smoking</v>
          </cell>
          <cell r="D1200">
            <v>3.5</v>
          </cell>
          <cell r="I1200">
            <v>0.33889000000000002</v>
          </cell>
          <cell r="K1200">
            <v>0.13979</v>
          </cell>
          <cell r="CG1200">
            <v>1</v>
          </cell>
          <cell r="CH1200">
            <v>1</v>
          </cell>
          <cell r="CI1200">
            <v>0</v>
          </cell>
          <cell r="CJ1200">
            <v>0</v>
          </cell>
          <cell r="CK1200">
            <v>0</v>
          </cell>
          <cell r="CL1200">
            <v>0</v>
          </cell>
        </row>
        <row r="1201">
          <cell r="B1201" t="str">
            <v>quitting smoking</v>
          </cell>
          <cell r="D1201">
            <v>3.5</v>
          </cell>
          <cell r="I1201">
            <v>0.69023999999999996</v>
          </cell>
          <cell r="K1201">
            <v>1.8404E-2</v>
          </cell>
          <cell r="CG1201">
            <v>0</v>
          </cell>
          <cell r="CH1201">
            <v>0</v>
          </cell>
          <cell r="CI1201">
            <v>0</v>
          </cell>
          <cell r="CJ1201">
            <v>0</v>
          </cell>
          <cell r="CK1201">
            <v>0</v>
          </cell>
          <cell r="CL1201">
            <v>0</v>
          </cell>
        </row>
        <row r="1202">
          <cell r="B1202" t="str">
            <v>quitting smoking</v>
          </cell>
          <cell r="D1202">
            <v>3.5</v>
          </cell>
          <cell r="I1202">
            <v>67.337000000000003</v>
          </cell>
          <cell r="K1202">
            <v>5.6652999999999998E-3</v>
          </cell>
          <cell r="CG1202">
            <v>1</v>
          </cell>
          <cell r="CH1202">
            <v>1</v>
          </cell>
          <cell r="CI1202">
            <v>0</v>
          </cell>
          <cell r="CJ1202">
            <v>0</v>
          </cell>
          <cell r="CK1202">
            <v>0</v>
          </cell>
          <cell r="CL1202">
            <v>0</v>
          </cell>
        </row>
        <row r="1203">
          <cell r="B1203" t="str">
            <v>quitting smoking</v>
          </cell>
          <cell r="D1203">
            <v>3.5</v>
          </cell>
          <cell r="I1203">
            <v>17.916</v>
          </cell>
          <cell r="K1203">
            <v>3.0303000000000001E-3</v>
          </cell>
          <cell r="CG1203">
            <v>0</v>
          </cell>
          <cell r="CH1203">
            <v>0</v>
          </cell>
          <cell r="CI1203">
            <v>0</v>
          </cell>
          <cell r="CJ1203">
            <v>0</v>
          </cell>
          <cell r="CK1203">
            <v>0</v>
          </cell>
          <cell r="CL1203">
            <v>0</v>
          </cell>
        </row>
        <row r="1204">
          <cell r="B1204" t="str">
            <v>quitting smoking</v>
          </cell>
          <cell r="D1204">
            <v>3.5</v>
          </cell>
          <cell r="I1204">
            <v>9.8455999999999992</v>
          </cell>
          <cell r="K1204">
            <v>0.13023000000000001</v>
          </cell>
          <cell r="CG1204">
            <v>1</v>
          </cell>
          <cell r="CH1204">
            <v>1</v>
          </cell>
          <cell r="CI1204">
            <v>0</v>
          </cell>
          <cell r="CJ1204">
            <v>0</v>
          </cell>
          <cell r="CK1204">
            <v>0</v>
          </cell>
          <cell r="CL1204">
            <v>0</v>
          </cell>
        </row>
        <row r="1205">
          <cell r="B1205" t="str">
            <v>quitting smoking</v>
          </cell>
          <cell r="D1205">
            <v>3.5</v>
          </cell>
          <cell r="I1205">
            <v>18.03</v>
          </cell>
          <cell r="K1205">
            <v>2.4886999999999999E-2</v>
          </cell>
          <cell r="CG1205">
            <v>0</v>
          </cell>
          <cell r="CH1205">
            <v>0</v>
          </cell>
          <cell r="CI1205">
            <v>0</v>
          </cell>
          <cell r="CJ1205">
            <v>0</v>
          </cell>
          <cell r="CK1205">
            <v>0</v>
          </cell>
          <cell r="CL1205">
            <v>0</v>
          </cell>
        </row>
        <row r="1206">
          <cell r="B1206" t="str">
            <v>quitting smoking</v>
          </cell>
          <cell r="D1206">
            <v>3.5</v>
          </cell>
          <cell r="I1206">
            <v>0.35692000000000002</v>
          </cell>
          <cell r="K1206">
            <v>0.10013</v>
          </cell>
          <cell r="CG1206">
            <v>1</v>
          </cell>
          <cell r="CH1206">
            <v>1</v>
          </cell>
          <cell r="CI1206">
            <v>0</v>
          </cell>
          <cell r="CJ1206">
            <v>0</v>
          </cell>
          <cell r="CK1206">
            <v>0</v>
          </cell>
          <cell r="CL1206">
            <v>0</v>
          </cell>
        </row>
        <row r="1207">
          <cell r="B1207" t="str">
            <v>quitting smoking</v>
          </cell>
          <cell r="D1207">
            <v>3.5</v>
          </cell>
          <cell r="I1207">
            <v>3.4003000000000001</v>
          </cell>
          <cell r="K1207">
            <v>1.3321E-2</v>
          </cell>
          <cell r="CG1207">
            <v>0</v>
          </cell>
          <cell r="CH1207">
            <v>0</v>
          </cell>
          <cell r="CI1207">
            <v>0</v>
          </cell>
          <cell r="CJ1207">
            <v>0</v>
          </cell>
          <cell r="CK1207">
            <v>0</v>
          </cell>
          <cell r="CL1207">
            <v>0</v>
          </cell>
        </row>
        <row r="1208">
          <cell r="B1208" t="str">
            <v>quitting smoking</v>
          </cell>
          <cell r="D1208">
            <v>4.0999999999999996</v>
          </cell>
          <cell r="I1208">
            <v>-0.10360999999999999</v>
          </cell>
          <cell r="K1208">
            <v>-3.7789000000000001</v>
          </cell>
          <cell r="CG1208">
            <v>0</v>
          </cell>
          <cell r="CH1208">
            <v>0</v>
          </cell>
          <cell r="CI1208">
            <v>0</v>
          </cell>
          <cell r="CJ1208">
            <v>0</v>
          </cell>
          <cell r="CK1208">
            <v>1</v>
          </cell>
          <cell r="CL1208">
            <v>1</v>
          </cell>
        </row>
        <row r="1209">
          <cell r="B1209" t="str">
            <v>quitting smoking</v>
          </cell>
          <cell r="D1209">
            <v>4.0999999999999996</v>
          </cell>
          <cell r="CG1209">
            <v>1</v>
          </cell>
          <cell r="CH1209">
            <v>1</v>
          </cell>
          <cell r="CI1209">
            <v>0</v>
          </cell>
          <cell r="CJ1209">
            <v>0</v>
          </cell>
          <cell r="CK1209">
            <v>0</v>
          </cell>
          <cell r="CL1209">
            <v>0</v>
          </cell>
        </row>
        <row r="1210">
          <cell r="B1210" t="str">
            <v>quitting smoking</v>
          </cell>
          <cell r="D1210">
            <v>1.1000000000000001</v>
          </cell>
          <cell r="I1210">
            <v>-2.2543000000000001E-2</v>
          </cell>
          <cell r="K1210">
            <v>-5.4297E-3</v>
          </cell>
          <cell r="CG1210">
            <v>1</v>
          </cell>
          <cell r="CH1210">
            <v>1</v>
          </cell>
          <cell r="CI1210">
            <v>0</v>
          </cell>
          <cell r="CJ1210">
            <v>0</v>
          </cell>
          <cell r="CK1210">
            <v>0</v>
          </cell>
          <cell r="CL1210">
            <v>0</v>
          </cell>
        </row>
        <row r="1211">
          <cell r="B1211" t="str">
            <v>quitting smoking</v>
          </cell>
          <cell r="D1211">
            <v>1.1000000000000001</v>
          </cell>
          <cell r="I1211">
            <v>-2.7245999999999999E-2</v>
          </cell>
          <cell r="K1211">
            <v>-5.4297E-3</v>
          </cell>
          <cell r="CG1211">
            <v>1</v>
          </cell>
          <cell r="CH1211">
            <v>1</v>
          </cell>
          <cell r="CI1211">
            <v>0</v>
          </cell>
          <cell r="CJ1211">
            <v>1</v>
          </cell>
          <cell r="CK1211">
            <v>0</v>
          </cell>
          <cell r="CL1211">
            <v>0</v>
          </cell>
        </row>
        <row r="1212">
          <cell r="B1212" t="str">
            <v>quitting smoking</v>
          </cell>
          <cell r="D1212">
            <v>2.2000000000000002</v>
          </cell>
          <cell r="I1212">
            <v>-3.5958000000000001E-3</v>
          </cell>
          <cell r="K1212">
            <v>-4.0000000000000003E-5</v>
          </cell>
          <cell r="CG1212">
            <v>1</v>
          </cell>
          <cell r="CH1212">
            <v>1</v>
          </cell>
          <cell r="CI1212">
            <v>0</v>
          </cell>
          <cell r="CJ1212">
            <v>0</v>
          </cell>
          <cell r="CK1212">
            <v>0</v>
          </cell>
          <cell r="CL1212">
            <v>1</v>
          </cell>
        </row>
        <row r="1213">
          <cell r="B1213" t="str">
            <v>quitting smoking</v>
          </cell>
          <cell r="D1213">
            <v>2.9</v>
          </cell>
          <cell r="I1213">
            <v>-6.6187999999999997E-2</v>
          </cell>
          <cell r="K1213">
            <v>-0.34255000000000002</v>
          </cell>
          <cell r="CG1213">
            <v>1</v>
          </cell>
          <cell r="CH1213">
            <v>1</v>
          </cell>
          <cell r="CI1213">
            <v>0</v>
          </cell>
          <cell r="CJ1213">
            <v>0</v>
          </cell>
          <cell r="CK1213">
            <v>0</v>
          </cell>
          <cell r="CL1213">
            <v>1</v>
          </cell>
        </row>
        <row r="1214">
          <cell r="B1214" t="str">
            <v>quitting smoking</v>
          </cell>
          <cell r="D1214">
            <v>3.5</v>
          </cell>
          <cell r="I1214">
            <v>0.39982000000000001</v>
          </cell>
          <cell r="K1214">
            <v>0.37945000000000001</v>
          </cell>
          <cell r="CG1214">
            <v>1</v>
          </cell>
          <cell r="CH1214">
            <v>1</v>
          </cell>
          <cell r="CI1214">
            <v>0</v>
          </cell>
          <cell r="CJ1214">
            <v>0</v>
          </cell>
          <cell r="CK1214">
            <v>0</v>
          </cell>
          <cell r="CL1214">
            <v>1</v>
          </cell>
        </row>
        <row r="1215">
          <cell r="B1215" t="str">
            <v>quitting smoking</v>
          </cell>
          <cell r="D1215">
            <v>3.5</v>
          </cell>
          <cell r="I1215">
            <v>16.280999999999999</v>
          </cell>
          <cell r="K1215">
            <v>2.8854000000000001E-2</v>
          </cell>
          <cell r="CG1215">
            <v>1</v>
          </cell>
          <cell r="CH1215">
            <v>1</v>
          </cell>
          <cell r="CI1215">
            <v>0</v>
          </cell>
          <cell r="CJ1215">
            <v>0</v>
          </cell>
          <cell r="CK1215">
            <v>0</v>
          </cell>
          <cell r="CL1215">
            <v>0</v>
          </cell>
        </row>
        <row r="1216">
          <cell r="B1216" t="str">
            <v>quitting smoking</v>
          </cell>
          <cell r="D1216">
            <v>3.5</v>
          </cell>
          <cell r="I1216">
            <v>0.62851999999999997</v>
          </cell>
          <cell r="K1216">
            <v>6.2186999999999999E-2</v>
          </cell>
          <cell r="CG1216">
            <v>1</v>
          </cell>
          <cell r="CH1216">
            <v>1</v>
          </cell>
          <cell r="CI1216">
            <v>0</v>
          </cell>
          <cell r="CJ1216">
            <v>0</v>
          </cell>
          <cell r="CK1216">
            <v>0</v>
          </cell>
          <cell r="CL1216">
            <v>0</v>
          </cell>
        </row>
        <row r="1217">
          <cell r="B1217" t="str">
            <v>quitting smoking</v>
          </cell>
          <cell r="D1217">
            <v>3.5</v>
          </cell>
          <cell r="I1217">
            <v>1.8517999999999999</v>
          </cell>
          <cell r="K1217">
            <v>2.6753999999999998</v>
          </cell>
          <cell r="CG1217">
            <v>1</v>
          </cell>
          <cell r="CH1217">
            <v>1</v>
          </cell>
          <cell r="CI1217">
            <v>0</v>
          </cell>
          <cell r="CJ1217">
            <v>0</v>
          </cell>
          <cell r="CK1217">
            <v>0</v>
          </cell>
          <cell r="CL1217">
            <v>0</v>
          </cell>
        </row>
        <row r="1218">
          <cell r="B1218" t="str">
            <v>quitting smoking</v>
          </cell>
          <cell r="D1218">
            <v>3.5</v>
          </cell>
          <cell r="I1218">
            <v>1.8002</v>
          </cell>
          <cell r="K1218">
            <v>2.7974999999999999</v>
          </cell>
          <cell r="CG1218">
            <v>1</v>
          </cell>
          <cell r="CH1218">
            <v>1</v>
          </cell>
          <cell r="CI1218">
            <v>0</v>
          </cell>
          <cell r="CJ1218">
            <v>0</v>
          </cell>
          <cell r="CK1218">
            <v>0</v>
          </cell>
          <cell r="CL1218">
            <v>0</v>
          </cell>
        </row>
        <row r="1219">
          <cell r="B1219" t="str">
            <v>quitting smoking</v>
          </cell>
          <cell r="D1219">
            <v>3.5</v>
          </cell>
          <cell r="I1219">
            <v>0.58147000000000004</v>
          </cell>
          <cell r="K1219">
            <v>9.0646000000000004E-2</v>
          </cell>
          <cell r="CG1219">
            <v>1</v>
          </cell>
          <cell r="CH1219">
            <v>1</v>
          </cell>
          <cell r="CI1219">
            <v>0</v>
          </cell>
          <cell r="CJ1219">
            <v>0</v>
          </cell>
          <cell r="CK1219">
            <v>0</v>
          </cell>
          <cell r="CL1219">
            <v>0</v>
          </cell>
        </row>
        <row r="1220">
          <cell r="B1220" t="str">
            <v>quitting smoking</v>
          </cell>
          <cell r="D1220">
            <v>3.5</v>
          </cell>
          <cell r="I1220">
            <v>0.32582</v>
          </cell>
          <cell r="K1220">
            <v>2.5796000000000001</v>
          </cell>
          <cell r="CG1220">
            <v>0</v>
          </cell>
          <cell r="CH1220">
            <v>0</v>
          </cell>
          <cell r="CI1220">
            <v>0</v>
          </cell>
          <cell r="CJ1220">
            <v>0</v>
          </cell>
          <cell r="CK1220">
            <v>0</v>
          </cell>
          <cell r="CL1220">
            <v>0</v>
          </cell>
        </row>
        <row r="1221">
          <cell r="B1221" t="str">
            <v>quitting smoking</v>
          </cell>
          <cell r="D1221">
            <v>3.5</v>
          </cell>
          <cell r="I1221">
            <v>0.40316999999999997</v>
          </cell>
          <cell r="K1221">
            <v>0.34536</v>
          </cell>
          <cell r="CG1221">
            <v>0</v>
          </cell>
          <cell r="CH1221">
            <v>0</v>
          </cell>
          <cell r="CI1221">
            <v>0</v>
          </cell>
          <cell r="CJ1221">
            <v>0</v>
          </cell>
          <cell r="CK1221">
            <v>0</v>
          </cell>
          <cell r="CL1221">
            <v>0</v>
          </cell>
        </row>
        <row r="1222">
          <cell r="B1222" t="str">
            <v>quitting smoking</v>
          </cell>
          <cell r="D1222">
            <v>3.5</v>
          </cell>
          <cell r="I1222">
            <v>0.39982000000000001</v>
          </cell>
          <cell r="K1222">
            <v>0.37945000000000001</v>
          </cell>
          <cell r="CG1222">
            <v>0</v>
          </cell>
          <cell r="CH1222">
            <v>0</v>
          </cell>
          <cell r="CI1222">
            <v>0</v>
          </cell>
          <cell r="CJ1222">
            <v>0</v>
          </cell>
          <cell r="CK1222">
            <v>0</v>
          </cell>
          <cell r="CL1222">
            <v>0</v>
          </cell>
        </row>
        <row r="1223">
          <cell r="B1223" t="str">
            <v>quitting smoking</v>
          </cell>
          <cell r="D1223">
            <v>3.5</v>
          </cell>
          <cell r="I1223">
            <v>21.045000000000002</v>
          </cell>
          <cell r="K1223">
            <v>4.2346000000000002E-2</v>
          </cell>
          <cell r="CG1223">
            <v>0</v>
          </cell>
          <cell r="CH1223">
            <v>0</v>
          </cell>
          <cell r="CI1223">
            <v>0</v>
          </cell>
          <cell r="CJ1223">
            <v>0</v>
          </cell>
          <cell r="CK1223">
            <v>0</v>
          </cell>
          <cell r="CL1223">
            <v>0</v>
          </cell>
        </row>
        <row r="1224">
          <cell r="B1224" t="str">
            <v>quitting smoking</v>
          </cell>
          <cell r="D1224">
            <v>3.5</v>
          </cell>
          <cell r="I1224">
            <v>0.41604999999999998</v>
          </cell>
          <cell r="K1224">
            <v>0.42120999999999997</v>
          </cell>
          <cell r="CG1224">
            <v>1</v>
          </cell>
          <cell r="CH1224">
            <v>1</v>
          </cell>
          <cell r="CI1224">
            <v>0</v>
          </cell>
          <cell r="CJ1224">
            <v>0</v>
          </cell>
          <cell r="CK1224">
            <v>0</v>
          </cell>
          <cell r="CL1224">
            <v>0</v>
          </cell>
        </row>
        <row r="1225">
          <cell r="B1225" t="str">
            <v>quitting smoking</v>
          </cell>
          <cell r="D1225">
            <v>3.5</v>
          </cell>
          <cell r="I1225">
            <v>0.31535000000000002</v>
          </cell>
          <cell r="K1225">
            <v>3.2497999999999999E-2</v>
          </cell>
          <cell r="CG1225">
            <v>0</v>
          </cell>
          <cell r="CH1225">
            <v>0</v>
          </cell>
          <cell r="CI1225">
            <v>0</v>
          </cell>
          <cell r="CJ1225">
            <v>0</v>
          </cell>
          <cell r="CK1225">
            <v>0</v>
          </cell>
          <cell r="CL1225">
            <v>0</v>
          </cell>
        </row>
        <row r="1226">
          <cell r="B1226" t="str">
            <v>quitting smoking</v>
          </cell>
          <cell r="D1226">
            <v>3.5</v>
          </cell>
          <cell r="I1226">
            <v>1.4238999999999999</v>
          </cell>
          <cell r="K1226">
            <v>13.395</v>
          </cell>
          <cell r="CG1226">
            <v>1</v>
          </cell>
          <cell r="CH1226">
            <v>1</v>
          </cell>
          <cell r="CI1226">
            <v>0</v>
          </cell>
          <cell r="CJ1226">
            <v>0</v>
          </cell>
          <cell r="CK1226">
            <v>0</v>
          </cell>
          <cell r="CL1226">
            <v>0</v>
          </cell>
        </row>
        <row r="1227">
          <cell r="B1227" t="str">
            <v>quitting smoking</v>
          </cell>
          <cell r="D1227">
            <v>3.5</v>
          </cell>
          <cell r="I1227">
            <v>0.78935999999999995</v>
          </cell>
          <cell r="K1227">
            <v>2.9910999999999999</v>
          </cell>
          <cell r="CG1227">
            <v>0</v>
          </cell>
          <cell r="CH1227">
            <v>0</v>
          </cell>
          <cell r="CI1227">
            <v>0</v>
          </cell>
          <cell r="CJ1227">
            <v>0</v>
          </cell>
          <cell r="CK1227">
            <v>0</v>
          </cell>
          <cell r="CL1227">
            <v>0</v>
          </cell>
        </row>
        <row r="1228">
          <cell r="B1228" t="str">
            <v>quitting smoking</v>
          </cell>
          <cell r="D1228">
            <v>3.5</v>
          </cell>
          <cell r="I1228">
            <v>1.4950000000000001</v>
          </cell>
          <cell r="K1228">
            <v>13.93</v>
          </cell>
          <cell r="CG1228">
            <v>1</v>
          </cell>
          <cell r="CH1228">
            <v>1</v>
          </cell>
          <cell r="CI1228">
            <v>0</v>
          </cell>
          <cell r="CJ1228">
            <v>0</v>
          </cell>
          <cell r="CK1228">
            <v>0</v>
          </cell>
          <cell r="CL1228">
            <v>0</v>
          </cell>
        </row>
        <row r="1229">
          <cell r="B1229" t="str">
            <v>quitting smoking</v>
          </cell>
          <cell r="D1229">
            <v>3.5</v>
          </cell>
          <cell r="I1229">
            <v>0.85380999999999996</v>
          </cell>
          <cell r="K1229">
            <v>3.1501999999999999</v>
          </cell>
          <cell r="CG1229">
            <v>0</v>
          </cell>
          <cell r="CH1229">
            <v>0</v>
          </cell>
          <cell r="CI1229">
            <v>0</v>
          </cell>
          <cell r="CJ1229">
            <v>0</v>
          </cell>
          <cell r="CK1229">
            <v>0</v>
          </cell>
          <cell r="CL1229">
            <v>0</v>
          </cell>
        </row>
        <row r="1230">
          <cell r="B1230" t="str">
            <v>quitting smoking</v>
          </cell>
          <cell r="D1230">
            <v>3.5</v>
          </cell>
          <cell r="I1230">
            <v>0.41820000000000002</v>
          </cell>
          <cell r="K1230">
            <v>0.57403999999999999</v>
          </cell>
          <cell r="CG1230">
            <v>1</v>
          </cell>
          <cell r="CH1230">
            <v>1</v>
          </cell>
          <cell r="CI1230">
            <v>0</v>
          </cell>
          <cell r="CJ1230">
            <v>0</v>
          </cell>
          <cell r="CK1230">
            <v>0</v>
          </cell>
          <cell r="CL1230">
            <v>0</v>
          </cell>
        </row>
        <row r="1231">
          <cell r="B1231" t="str">
            <v>quitting smoking</v>
          </cell>
          <cell r="D1231">
            <v>3.5</v>
          </cell>
          <cell r="I1231">
            <v>0.29824000000000001</v>
          </cell>
          <cell r="K1231">
            <v>6.0693999999999998E-2</v>
          </cell>
          <cell r="CG1231">
            <v>0</v>
          </cell>
          <cell r="CH1231">
            <v>0</v>
          </cell>
          <cell r="CI1231">
            <v>0</v>
          </cell>
          <cell r="CJ1231">
            <v>0</v>
          </cell>
          <cell r="CK1231">
            <v>0</v>
          </cell>
          <cell r="CL1231">
            <v>0</v>
          </cell>
        </row>
        <row r="1232">
          <cell r="B1232" t="str">
            <v>quitting smoking</v>
          </cell>
          <cell r="D1232">
            <v>4.0999999999999996</v>
          </cell>
          <cell r="I1232">
            <v>-0.21029</v>
          </cell>
          <cell r="K1232">
            <v>-4.9961000000000002</v>
          </cell>
          <cell r="CG1232">
            <v>1</v>
          </cell>
          <cell r="CH1232">
            <v>1</v>
          </cell>
          <cell r="CI1232">
            <v>0</v>
          </cell>
          <cell r="CJ1232">
            <v>0</v>
          </cell>
          <cell r="CK1232">
            <v>0</v>
          </cell>
          <cell r="CL1232">
            <v>0</v>
          </cell>
        </row>
        <row r="1233">
          <cell r="B1233" t="str">
            <v>quitting smoking</v>
          </cell>
          <cell r="D1233">
            <v>4.0999999999999996</v>
          </cell>
          <cell r="I1233">
            <v>2.0554000000000001</v>
          </cell>
          <cell r="K1233">
            <v>3.5853999999999999</v>
          </cell>
          <cell r="CG1233">
            <v>0</v>
          </cell>
          <cell r="CH1233">
            <v>0</v>
          </cell>
          <cell r="CI1233">
            <v>0</v>
          </cell>
          <cell r="CJ1233">
            <v>0</v>
          </cell>
          <cell r="CK1233">
            <v>0</v>
          </cell>
          <cell r="CL1233">
            <v>1</v>
          </cell>
        </row>
        <row r="1234">
          <cell r="B1234" t="str">
            <v>solar leasing</v>
          </cell>
          <cell r="D1234">
            <v>1.1000000000000001</v>
          </cell>
          <cell r="I1234">
            <v>-0.69423999999999997</v>
          </cell>
          <cell r="K1234">
            <v>-4.6373999999999999E-3</v>
          </cell>
          <cell r="CG1234">
            <v>0</v>
          </cell>
          <cell r="CH1234">
            <v>1</v>
          </cell>
          <cell r="CI1234">
            <v>0</v>
          </cell>
          <cell r="CJ1234">
            <v>0</v>
          </cell>
          <cell r="CK1234">
            <v>0</v>
          </cell>
          <cell r="CL1234">
            <v>0</v>
          </cell>
        </row>
        <row r="1235">
          <cell r="B1235" t="str">
            <v>solar leasing</v>
          </cell>
          <cell r="D1235">
            <v>1.1000000000000001</v>
          </cell>
          <cell r="I1235">
            <v>1.6577999999999999</v>
          </cell>
          <cell r="K1235">
            <v>7.0933999999999997E-3</v>
          </cell>
          <cell r="CG1235">
            <v>1</v>
          </cell>
          <cell r="CH1235">
            <v>1</v>
          </cell>
          <cell r="CI1235">
            <v>0</v>
          </cell>
          <cell r="CJ1235">
            <v>0</v>
          </cell>
          <cell r="CK1235">
            <v>0</v>
          </cell>
          <cell r="CL1235">
            <v>0</v>
          </cell>
        </row>
        <row r="1236">
          <cell r="B1236" t="str">
            <v>solar leasing</v>
          </cell>
          <cell r="D1236">
            <v>1.1000000000000001</v>
          </cell>
          <cell r="I1236">
            <v>0.56976000000000004</v>
          </cell>
          <cell r="K1236">
            <v>0.192</v>
          </cell>
          <cell r="CG1236">
            <v>0</v>
          </cell>
          <cell r="CH1236">
            <v>1</v>
          </cell>
          <cell r="CI1236">
            <v>0</v>
          </cell>
          <cell r="CJ1236">
            <v>0</v>
          </cell>
          <cell r="CK1236">
            <v>0</v>
          </cell>
          <cell r="CL1236">
            <v>0</v>
          </cell>
        </row>
        <row r="1237">
          <cell r="B1237" t="str">
            <v>solar leasing</v>
          </cell>
          <cell r="D1237">
            <v>1.1000000000000001</v>
          </cell>
          <cell r="I1237">
            <v>1.1614</v>
          </cell>
          <cell r="K1237">
            <v>8.0342999999999998E-2</v>
          </cell>
          <cell r="CG1237">
            <v>1</v>
          </cell>
          <cell r="CH1237">
            <v>1</v>
          </cell>
          <cell r="CI1237">
            <v>0</v>
          </cell>
          <cell r="CJ1237">
            <v>0</v>
          </cell>
          <cell r="CK1237">
            <v>0</v>
          </cell>
          <cell r="CL1237">
            <v>0</v>
          </cell>
        </row>
        <row r="1238">
          <cell r="B1238" t="str">
            <v>solar leasing</v>
          </cell>
          <cell r="D1238">
            <v>1.1000000000000001</v>
          </cell>
          <cell r="I1238">
            <v>1.8875999999999999</v>
          </cell>
          <cell r="K1238">
            <v>1.2279999999999999E-3</v>
          </cell>
          <cell r="CG1238">
            <v>1</v>
          </cell>
          <cell r="CH1238">
            <v>1</v>
          </cell>
          <cell r="CI1238">
            <v>1</v>
          </cell>
          <cell r="CJ1238">
            <v>1</v>
          </cell>
          <cell r="CK1238">
            <v>0</v>
          </cell>
          <cell r="CL1238">
            <v>0</v>
          </cell>
        </row>
        <row r="1239">
          <cell r="B1239" t="str">
            <v>solar leasing</v>
          </cell>
          <cell r="D1239">
            <v>3.2</v>
          </cell>
          <cell r="I1239">
            <v>22.812999999999999</v>
          </cell>
          <cell r="K1239">
            <v>5.4076000000000003E-3</v>
          </cell>
          <cell r="CG1239">
            <v>0</v>
          </cell>
          <cell r="CH1239">
            <v>0</v>
          </cell>
          <cell r="CI1239">
            <v>0</v>
          </cell>
          <cell r="CJ1239">
            <v>0</v>
          </cell>
          <cell r="CK1239">
            <v>0</v>
          </cell>
          <cell r="CL1239">
            <v>0</v>
          </cell>
        </row>
        <row r="1240">
          <cell r="B1240" t="str">
            <v>solar leasing</v>
          </cell>
          <cell r="D1240">
            <v>3.2</v>
          </cell>
          <cell r="I1240">
            <v>-0.40362999999999999</v>
          </cell>
          <cell r="K1240">
            <v>-1.6032999999999999E-2</v>
          </cell>
          <cell r="CG1240">
            <v>1</v>
          </cell>
          <cell r="CH1240">
            <v>1</v>
          </cell>
          <cell r="CI1240">
            <v>0</v>
          </cell>
          <cell r="CJ1240">
            <v>0</v>
          </cell>
          <cell r="CK1240">
            <v>0</v>
          </cell>
          <cell r="CL1240">
            <v>0</v>
          </cell>
        </row>
        <row r="1241">
          <cell r="B1241" t="str">
            <v>solar leasing</v>
          </cell>
          <cell r="D1241">
            <v>3.2</v>
          </cell>
          <cell r="I1241">
            <v>-0.36298999999999998</v>
          </cell>
          <cell r="K1241">
            <v>-2.1125999999999999E-2</v>
          </cell>
          <cell r="CG1241">
            <v>1</v>
          </cell>
          <cell r="CH1241">
            <v>1</v>
          </cell>
          <cell r="CI1241">
            <v>0</v>
          </cell>
          <cell r="CJ1241">
            <v>0</v>
          </cell>
          <cell r="CK1241">
            <v>0</v>
          </cell>
          <cell r="CL1241">
            <v>0</v>
          </cell>
        </row>
        <row r="1242">
          <cell r="B1242" t="str">
            <v>solar leasing</v>
          </cell>
          <cell r="D1242">
            <v>3.2</v>
          </cell>
          <cell r="I1242">
            <v>-0.34938999999999998</v>
          </cell>
          <cell r="K1242">
            <v>-2.1940000000000001E-2</v>
          </cell>
          <cell r="CG1242">
            <v>1</v>
          </cell>
          <cell r="CH1242">
            <v>1</v>
          </cell>
          <cell r="CI1242">
            <v>0</v>
          </cell>
          <cell r="CJ1242">
            <v>0</v>
          </cell>
          <cell r="CK1242">
            <v>1</v>
          </cell>
          <cell r="CL1242">
            <v>1</v>
          </cell>
          <cell r="CM1242" t="str">
            <v>moved from 1.1</v>
          </cell>
        </row>
        <row r="1243">
          <cell r="B1243" t="str">
            <v>solar leasing</v>
          </cell>
          <cell r="D1243">
            <v>4.0999999999999996</v>
          </cell>
          <cell r="I1243">
            <v>1.0931</v>
          </cell>
          <cell r="K1243">
            <v>5.4930000000000003</v>
          </cell>
          <cell r="CG1243">
            <v>1</v>
          </cell>
          <cell r="CH1243">
            <v>1</v>
          </cell>
          <cell r="CI1243">
            <v>0</v>
          </cell>
          <cell r="CJ1243">
            <v>0</v>
          </cell>
          <cell r="CK1243">
            <v>0</v>
          </cell>
          <cell r="CL1243">
            <v>0</v>
          </cell>
        </row>
        <row r="1244">
          <cell r="B1244" t="str">
            <v>solar leasing</v>
          </cell>
          <cell r="D1244">
            <v>4.0999999999999996</v>
          </cell>
          <cell r="I1244">
            <v>1.1273</v>
          </cell>
          <cell r="K1244">
            <v>5.7496</v>
          </cell>
          <cell r="CG1244">
            <v>1</v>
          </cell>
          <cell r="CH1244">
            <v>1</v>
          </cell>
          <cell r="CI1244">
            <v>0</v>
          </cell>
          <cell r="CJ1244">
            <v>0</v>
          </cell>
          <cell r="CK1244">
            <v>0</v>
          </cell>
          <cell r="CL1244">
            <v>1</v>
          </cell>
        </row>
        <row r="1245">
          <cell r="B1245" t="str">
            <v>solar leasing</v>
          </cell>
          <cell r="D1245">
            <v>1.1000000000000001</v>
          </cell>
          <cell r="I1245">
            <v>1.4292</v>
          </cell>
          <cell r="K1245">
            <v>6.6984000000000002E-2</v>
          </cell>
          <cell r="CG1245">
            <v>1</v>
          </cell>
          <cell r="CH1245">
            <v>1</v>
          </cell>
          <cell r="CI1245">
            <v>0</v>
          </cell>
          <cell r="CJ1245">
            <v>0</v>
          </cell>
          <cell r="CK1245">
            <v>0</v>
          </cell>
          <cell r="CL1245">
            <v>0</v>
          </cell>
        </row>
        <row r="1246">
          <cell r="B1246" t="str">
            <v>solar leasing</v>
          </cell>
          <cell r="D1246">
            <v>1.1000000000000001</v>
          </cell>
          <cell r="I1246">
            <v>1.8098000000000001</v>
          </cell>
          <cell r="K1246">
            <v>1.0829999999999999E-2</v>
          </cell>
          <cell r="CG1246">
            <v>1</v>
          </cell>
          <cell r="CH1246">
            <v>1</v>
          </cell>
          <cell r="CI1246">
            <v>0</v>
          </cell>
          <cell r="CJ1246">
            <v>0</v>
          </cell>
          <cell r="CK1246">
            <v>0</v>
          </cell>
          <cell r="CL1246">
            <v>0</v>
          </cell>
        </row>
        <row r="1247">
          <cell r="B1247" t="str">
            <v>solar leasing</v>
          </cell>
          <cell r="D1247">
            <v>1.1000000000000001</v>
          </cell>
          <cell r="I1247">
            <v>1.0541</v>
          </cell>
          <cell r="K1247">
            <v>0.15995999999999999</v>
          </cell>
          <cell r="CG1247">
            <v>1</v>
          </cell>
          <cell r="CH1247">
            <v>1</v>
          </cell>
          <cell r="CI1247">
            <v>0</v>
          </cell>
          <cell r="CJ1247">
            <v>0</v>
          </cell>
          <cell r="CK1247">
            <v>0</v>
          </cell>
          <cell r="CL1247">
            <v>0</v>
          </cell>
        </row>
        <row r="1248">
          <cell r="B1248" t="str">
            <v>solar leasing</v>
          </cell>
          <cell r="D1248">
            <v>1.1000000000000001</v>
          </cell>
          <cell r="I1248">
            <v>1.2629999999999999</v>
          </cell>
          <cell r="K1248">
            <v>9.4057000000000002E-2</v>
          </cell>
          <cell r="CG1248">
            <v>1</v>
          </cell>
          <cell r="CH1248">
            <v>1</v>
          </cell>
          <cell r="CI1248">
            <v>0</v>
          </cell>
          <cell r="CJ1248">
            <v>0</v>
          </cell>
          <cell r="CK1248">
            <v>0</v>
          </cell>
          <cell r="CL1248">
            <v>0</v>
          </cell>
        </row>
        <row r="1249">
          <cell r="B1249" t="str">
            <v>solar leasing</v>
          </cell>
          <cell r="D1249">
            <v>1.1000000000000001</v>
          </cell>
          <cell r="I1249">
            <v>1.014</v>
          </cell>
          <cell r="K1249">
            <v>3.8906999999999997E-2</v>
          </cell>
          <cell r="CG1249">
            <v>1</v>
          </cell>
          <cell r="CH1249">
            <v>1</v>
          </cell>
          <cell r="CI1249">
            <v>0</v>
          </cell>
          <cell r="CJ1249">
            <v>1</v>
          </cell>
          <cell r="CK1249">
            <v>0</v>
          </cell>
          <cell r="CL1249">
            <v>0</v>
          </cell>
        </row>
        <row r="1250">
          <cell r="B1250" t="str">
            <v>solar leasing</v>
          </cell>
          <cell r="D1250">
            <v>3.2</v>
          </cell>
          <cell r="I1250">
            <v>1.5649999999999999</v>
          </cell>
          <cell r="K1250">
            <v>5.6242E-2</v>
          </cell>
          <cell r="CG1250">
            <v>1</v>
          </cell>
          <cell r="CH1250">
            <v>1</v>
          </cell>
          <cell r="CI1250">
            <v>0</v>
          </cell>
          <cell r="CJ1250">
            <v>0</v>
          </cell>
          <cell r="CK1250">
            <v>0</v>
          </cell>
          <cell r="CL1250">
            <v>0</v>
          </cell>
        </row>
        <row r="1251">
          <cell r="B1251" t="str">
            <v>solar leasing</v>
          </cell>
          <cell r="D1251">
            <v>3.2</v>
          </cell>
          <cell r="I1251">
            <v>1.7293000000000001</v>
          </cell>
          <cell r="K1251">
            <v>5.2335E-2</v>
          </cell>
          <cell r="CG1251">
            <v>1</v>
          </cell>
          <cell r="CH1251">
            <v>1</v>
          </cell>
          <cell r="CI1251">
            <v>0</v>
          </cell>
          <cell r="CJ1251">
            <v>0</v>
          </cell>
          <cell r="CK1251">
            <v>0</v>
          </cell>
          <cell r="CL1251">
            <v>0</v>
          </cell>
        </row>
        <row r="1252">
          <cell r="B1252" t="str">
            <v>solar leasing</v>
          </cell>
          <cell r="D1252">
            <v>3.2</v>
          </cell>
          <cell r="I1252">
            <v>1.8190999999999999</v>
          </cell>
          <cell r="K1252">
            <v>3.4224999999999998E-2</v>
          </cell>
          <cell r="CG1252">
            <v>1</v>
          </cell>
          <cell r="CH1252">
            <v>1</v>
          </cell>
          <cell r="CI1252">
            <v>0</v>
          </cell>
          <cell r="CJ1252">
            <v>0</v>
          </cell>
          <cell r="CK1252">
            <v>0</v>
          </cell>
          <cell r="CL1252">
            <v>0</v>
          </cell>
        </row>
        <row r="1253">
          <cell r="B1253" t="str">
            <v>solar leasing</v>
          </cell>
          <cell r="D1253">
            <v>3.2</v>
          </cell>
          <cell r="I1253">
            <v>1.9477</v>
          </cell>
          <cell r="K1253">
            <v>3.9587999999999998E-2</v>
          </cell>
          <cell r="CG1253">
            <v>1</v>
          </cell>
          <cell r="CH1253">
            <v>1</v>
          </cell>
          <cell r="CI1253">
            <v>0</v>
          </cell>
          <cell r="CJ1253">
            <v>0</v>
          </cell>
          <cell r="CK1253">
            <v>0</v>
          </cell>
          <cell r="CL1253">
            <v>1</v>
          </cell>
          <cell r="CM1253" t="str">
            <v>moved from 1.1</v>
          </cell>
        </row>
        <row r="1254">
          <cell r="B1254" t="str">
            <v>solar leasing</v>
          </cell>
          <cell r="D1254">
            <v>4.0999999999999996</v>
          </cell>
          <cell r="I1254">
            <v>0.16789000000000001</v>
          </cell>
          <cell r="K1254">
            <v>2.6675</v>
          </cell>
          <cell r="CG1254">
            <v>0</v>
          </cell>
          <cell r="CH1254">
            <v>1</v>
          </cell>
          <cell r="CI1254">
            <v>0</v>
          </cell>
          <cell r="CJ1254">
            <v>0</v>
          </cell>
          <cell r="CK1254">
            <v>0</v>
          </cell>
          <cell r="CL1254">
            <v>1</v>
          </cell>
        </row>
        <row r="1255">
          <cell r="B1255" t="str">
            <v>solar leasing</v>
          </cell>
          <cell r="D1255">
            <v>4.0999999999999996</v>
          </cell>
          <cell r="I1255">
            <v>15.608000000000001</v>
          </cell>
          <cell r="K1255">
            <v>20</v>
          </cell>
          <cell r="CG1255">
            <v>0</v>
          </cell>
          <cell r="CH1255">
            <v>0</v>
          </cell>
          <cell r="CI1255">
            <v>0</v>
          </cell>
          <cell r="CJ1255">
            <v>0</v>
          </cell>
          <cell r="CK1255">
            <v>0</v>
          </cell>
          <cell r="CL1255">
            <v>0</v>
          </cell>
        </row>
        <row r="1256">
          <cell r="B1256" t="str">
            <v>solar leasing</v>
          </cell>
          <cell r="D1256">
            <v>3.3</v>
          </cell>
          <cell r="I1256">
            <v>0.1118</v>
          </cell>
          <cell r="K1256">
            <v>1.0740000000000001</v>
          </cell>
          <cell r="CG1256">
            <v>1</v>
          </cell>
          <cell r="CH1256">
            <v>1</v>
          </cell>
          <cell r="CI1256">
            <v>0</v>
          </cell>
          <cell r="CJ1256">
            <v>0</v>
          </cell>
          <cell r="CK1256">
            <v>1</v>
          </cell>
          <cell r="CL1256">
            <v>1</v>
          </cell>
        </row>
        <row r="1257">
          <cell r="B1257" t="str">
            <v>solar leasing</v>
          </cell>
          <cell r="D1257">
            <v>1.1000000000000001</v>
          </cell>
          <cell r="I1257">
            <v>0.87360000000000004</v>
          </cell>
          <cell r="K1257">
            <v>4.7241999999999999E-2</v>
          </cell>
          <cell r="CG1257">
            <v>1</v>
          </cell>
          <cell r="CH1257">
            <v>1</v>
          </cell>
          <cell r="CI1257">
            <v>0</v>
          </cell>
          <cell r="CJ1257">
            <v>0</v>
          </cell>
          <cell r="CK1257">
            <v>0</v>
          </cell>
          <cell r="CL1257">
            <v>0</v>
          </cell>
        </row>
        <row r="1258">
          <cell r="B1258" t="str">
            <v>solar leasing</v>
          </cell>
          <cell r="D1258">
            <v>1.1000000000000001</v>
          </cell>
          <cell r="I1258">
            <v>0.79262999999999995</v>
          </cell>
          <cell r="K1258">
            <v>5.3758E-2</v>
          </cell>
          <cell r="CG1258">
            <v>1</v>
          </cell>
          <cell r="CH1258">
            <v>1</v>
          </cell>
          <cell r="CI1258">
            <v>0</v>
          </cell>
          <cell r="CJ1258">
            <v>0</v>
          </cell>
          <cell r="CK1258">
            <v>0</v>
          </cell>
          <cell r="CL1258">
            <v>0</v>
          </cell>
        </row>
        <row r="1259">
          <cell r="B1259" t="str">
            <v>solar leasing</v>
          </cell>
          <cell r="D1259">
            <v>1.1000000000000001</v>
          </cell>
          <cell r="I1259">
            <v>0.48343000000000003</v>
          </cell>
          <cell r="K1259">
            <v>0.11289</v>
          </cell>
          <cell r="CG1259">
            <v>0</v>
          </cell>
          <cell r="CH1259">
            <v>1</v>
          </cell>
          <cell r="CI1259">
            <v>0</v>
          </cell>
          <cell r="CJ1259">
            <v>0</v>
          </cell>
          <cell r="CK1259">
            <v>0</v>
          </cell>
          <cell r="CL1259">
            <v>0</v>
          </cell>
        </row>
        <row r="1260">
          <cell r="B1260" t="str">
            <v>solar leasing</v>
          </cell>
          <cell r="D1260">
            <v>1.1000000000000001</v>
          </cell>
          <cell r="I1260">
            <v>0.39250000000000002</v>
          </cell>
          <cell r="K1260">
            <v>0.12196</v>
          </cell>
          <cell r="CG1260">
            <v>1</v>
          </cell>
          <cell r="CH1260">
            <v>1</v>
          </cell>
          <cell r="CI1260">
            <v>0</v>
          </cell>
          <cell r="CJ1260">
            <v>0</v>
          </cell>
          <cell r="CK1260">
            <v>0</v>
          </cell>
          <cell r="CL1260">
            <v>0</v>
          </cell>
        </row>
        <row r="1261">
          <cell r="B1261" t="str">
            <v>solar leasing</v>
          </cell>
          <cell r="D1261">
            <v>1.1000000000000001</v>
          </cell>
          <cell r="I1261">
            <v>0.82806000000000002</v>
          </cell>
          <cell r="K1261">
            <v>5.0500000000000003E-2</v>
          </cell>
          <cell r="CG1261">
            <v>1</v>
          </cell>
          <cell r="CH1261">
            <v>1</v>
          </cell>
          <cell r="CI1261">
            <v>0</v>
          </cell>
          <cell r="CJ1261">
            <v>1</v>
          </cell>
          <cell r="CK1261">
            <v>0</v>
          </cell>
          <cell r="CL1261">
            <v>0</v>
          </cell>
        </row>
        <row r="1262">
          <cell r="B1262" t="str">
            <v>solar leasing</v>
          </cell>
          <cell r="D1262">
            <v>3.2</v>
          </cell>
          <cell r="I1262">
            <v>0.81535999999999997</v>
          </cell>
          <cell r="K1262">
            <v>3.8698000000000003E-2</v>
          </cell>
          <cell r="CG1262">
            <v>1</v>
          </cell>
          <cell r="CH1262">
            <v>1</v>
          </cell>
          <cell r="CI1262">
            <v>0</v>
          </cell>
          <cell r="CJ1262">
            <v>0</v>
          </cell>
          <cell r="CK1262">
            <v>0</v>
          </cell>
          <cell r="CL1262">
            <v>0</v>
          </cell>
        </row>
        <row r="1263">
          <cell r="B1263" t="str">
            <v>solar leasing</v>
          </cell>
          <cell r="D1263">
            <v>3.2</v>
          </cell>
          <cell r="I1263">
            <v>0.93922000000000005</v>
          </cell>
          <cell r="K1263">
            <v>3.3033E-2</v>
          </cell>
          <cell r="CG1263">
            <v>1</v>
          </cell>
          <cell r="CH1263">
            <v>1</v>
          </cell>
          <cell r="CI1263">
            <v>0</v>
          </cell>
          <cell r="CJ1263">
            <v>0</v>
          </cell>
          <cell r="CK1263">
            <v>0</v>
          </cell>
          <cell r="CL1263">
            <v>0</v>
          </cell>
        </row>
        <row r="1264">
          <cell r="B1264" t="str">
            <v>solar leasing</v>
          </cell>
          <cell r="D1264">
            <v>3.2</v>
          </cell>
          <cell r="I1264">
            <v>1.1188</v>
          </cell>
          <cell r="K1264">
            <v>2.1148E-2</v>
          </cell>
          <cell r="CG1264">
            <v>1</v>
          </cell>
          <cell r="CH1264">
            <v>1</v>
          </cell>
          <cell r="CI1264">
            <v>0</v>
          </cell>
          <cell r="CJ1264">
            <v>0</v>
          </cell>
          <cell r="CK1264">
            <v>0</v>
          </cell>
          <cell r="CL1264">
            <v>0</v>
          </cell>
        </row>
        <row r="1265">
          <cell r="B1265" t="str">
            <v>solar leasing</v>
          </cell>
          <cell r="D1265">
            <v>3.2</v>
          </cell>
          <cell r="I1265">
            <v>1.1202000000000001</v>
          </cell>
          <cell r="K1265">
            <v>1.7967E-2</v>
          </cell>
          <cell r="CG1265">
            <v>1</v>
          </cell>
          <cell r="CH1265">
            <v>1</v>
          </cell>
          <cell r="CI1265">
            <v>0</v>
          </cell>
          <cell r="CJ1265">
            <v>0</v>
          </cell>
          <cell r="CK1265">
            <v>0</v>
          </cell>
          <cell r="CL1265">
            <v>1</v>
          </cell>
          <cell r="CM1265" t="str">
            <v>moved from 1.1</v>
          </cell>
        </row>
        <row r="1266">
          <cell r="B1266" t="str">
            <v>solar leasing</v>
          </cell>
          <cell r="D1266">
            <v>4.0999999999999996</v>
          </cell>
          <cell r="I1266">
            <v>0.18362000000000001</v>
          </cell>
          <cell r="K1266">
            <v>3.4060999999999999</v>
          </cell>
          <cell r="CG1266">
            <v>0</v>
          </cell>
          <cell r="CH1266">
            <v>1</v>
          </cell>
          <cell r="CI1266">
            <v>0</v>
          </cell>
          <cell r="CJ1266">
            <v>0</v>
          </cell>
          <cell r="CK1266">
            <v>0</v>
          </cell>
          <cell r="CL1266">
            <v>0</v>
          </cell>
        </row>
        <row r="1267">
          <cell r="B1267" t="str">
            <v>solar leasing</v>
          </cell>
          <cell r="D1267">
            <v>4.0999999999999996</v>
          </cell>
          <cell r="I1267">
            <v>0.18362000000000001</v>
          </cell>
          <cell r="K1267">
            <v>3.4060999999999999</v>
          </cell>
          <cell r="CG1267">
            <v>0</v>
          </cell>
          <cell r="CH1267">
            <v>1</v>
          </cell>
          <cell r="CI1267">
            <v>0</v>
          </cell>
          <cell r="CJ1267">
            <v>0</v>
          </cell>
          <cell r="CK1267">
            <v>1</v>
          </cell>
          <cell r="CL1267">
            <v>1</v>
          </cell>
        </row>
        <row r="1268">
          <cell r="B1268" t="str">
            <v>solar leasing</v>
          </cell>
          <cell r="D1268">
            <v>1.1000000000000001</v>
          </cell>
          <cell r="I1268">
            <v>3.6703999999999999</v>
          </cell>
          <cell r="K1268">
            <v>4.2966999999999997E-3</v>
          </cell>
          <cell r="CG1268">
            <v>0</v>
          </cell>
          <cell r="CH1268">
            <v>0</v>
          </cell>
          <cell r="CI1268">
            <v>0</v>
          </cell>
          <cell r="CJ1268">
            <v>0</v>
          </cell>
          <cell r="CK1268">
            <v>0</v>
          </cell>
          <cell r="CL1268">
            <v>0</v>
          </cell>
          <cell r="CM1268" t="str">
            <v>** if these are logfit=0, so should mkt share</v>
          </cell>
        </row>
        <row r="1269">
          <cell r="B1269" t="str">
            <v>solar leasing</v>
          </cell>
          <cell r="D1269">
            <v>1.1000000000000001</v>
          </cell>
          <cell r="I1269">
            <v>3.6705000000000001</v>
          </cell>
          <cell r="K1269">
            <v>9.8791E-3</v>
          </cell>
          <cell r="CG1269">
            <v>0</v>
          </cell>
          <cell r="CH1269">
            <v>0</v>
          </cell>
          <cell r="CI1269">
            <v>0</v>
          </cell>
          <cell r="CJ1269">
            <v>0</v>
          </cell>
          <cell r="CK1269">
            <v>0</v>
          </cell>
          <cell r="CL1269">
            <v>0</v>
          </cell>
          <cell r="CM1269" t="str">
            <v>** if these are logfit=0, so should mkt share</v>
          </cell>
        </row>
        <row r="1270">
          <cell r="B1270" t="str">
            <v>solar leasing</v>
          </cell>
          <cell r="D1270">
            <v>1.1000000000000001</v>
          </cell>
          <cell r="I1270">
            <v>2.8060999999999998</v>
          </cell>
          <cell r="K1270">
            <v>0.2944</v>
          </cell>
          <cell r="CG1270">
            <v>1</v>
          </cell>
          <cell r="CH1270">
            <v>1</v>
          </cell>
          <cell r="CI1270">
            <v>0</v>
          </cell>
          <cell r="CJ1270">
            <v>0</v>
          </cell>
          <cell r="CK1270">
            <v>0</v>
          </cell>
          <cell r="CL1270">
            <v>0</v>
          </cell>
        </row>
        <row r="1271">
          <cell r="B1271" t="str">
            <v>solar leasing</v>
          </cell>
          <cell r="D1271">
            <v>1.1000000000000001</v>
          </cell>
          <cell r="I1271">
            <v>3.0726</v>
          </cell>
          <cell r="K1271">
            <v>0.15226000000000001</v>
          </cell>
          <cell r="CG1271">
            <v>1</v>
          </cell>
          <cell r="CH1271">
            <v>1</v>
          </cell>
          <cell r="CI1271">
            <v>0</v>
          </cell>
          <cell r="CJ1271">
            <v>0</v>
          </cell>
          <cell r="CK1271">
            <v>0</v>
          </cell>
          <cell r="CL1271">
            <v>0</v>
          </cell>
        </row>
        <row r="1272">
          <cell r="B1272" t="str">
            <v>solar leasing</v>
          </cell>
          <cell r="D1272">
            <v>1.1000000000000001</v>
          </cell>
          <cell r="I1272">
            <v>3.6354000000000002</v>
          </cell>
          <cell r="K1272">
            <v>7.0879000000000003E-3</v>
          </cell>
          <cell r="CG1272">
            <v>1</v>
          </cell>
          <cell r="CH1272">
            <v>1</v>
          </cell>
          <cell r="CI1272">
            <v>0</v>
          </cell>
          <cell r="CJ1272">
            <v>1</v>
          </cell>
          <cell r="CK1272">
            <v>0</v>
          </cell>
          <cell r="CL1272">
            <v>0</v>
          </cell>
        </row>
        <row r="1273">
          <cell r="B1273" t="str">
            <v>solar leasing</v>
          </cell>
          <cell r="D1273">
            <v>3.2</v>
          </cell>
          <cell r="I1273">
            <v>-0.73546</v>
          </cell>
          <cell r="K1273">
            <v>-4.2526999999999999E-3</v>
          </cell>
          <cell r="CG1273">
            <v>0</v>
          </cell>
          <cell r="CH1273">
            <v>0</v>
          </cell>
          <cell r="CI1273">
            <v>0</v>
          </cell>
          <cell r="CJ1273">
            <v>0</v>
          </cell>
          <cell r="CK1273">
            <v>0</v>
          </cell>
          <cell r="CL1273">
            <v>0</v>
          </cell>
        </row>
        <row r="1274">
          <cell r="B1274" t="str">
            <v>solar leasing</v>
          </cell>
          <cell r="D1274">
            <v>3.2</v>
          </cell>
          <cell r="I1274">
            <v>-0.7097</v>
          </cell>
          <cell r="K1274">
            <v>-3.9065999999999997E-3</v>
          </cell>
          <cell r="CG1274">
            <v>0</v>
          </cell>
          <cell r="CH1274">
            <v>0</v>
          </cell>
          <cell r="CI1274">
            <v>0</v>
          </cell>
          <cell r="CJ1274">
            <v>0</v>
          </cell>
          <cell r="CK1274">
            <v>0</v>
          </cell>
          <cell r="CL1274">
            <v>0</v>
          </cell>
        </row>
        <row r="1275">
          <cell r="B1275" t="str">
            <v>solar leasing</v>
          </cell>
          <cell r="D1275">
            <v>3.2</v>
          </cell>
          <cell r="I1275">
            <v>-0.67847000000000002</v>
          </cell>
          <cell r="K1275">
            <v>-5.3433999999999999E-3</v>
          </cell>
          <cell r="CG1275">
            <v>0</v>
          </cell>
          <cell r="CH1275">
            <v>0</v>
          </cell>
          <cell r="CI1275">
            <v>0</v>
          </cell>
          <cell r="CJ1275">
            <v>0</v>
          </cell>
          <cell r="CK1275">
            <v>0</v>
          </cell>
          <cell r="CL1275">
            <v>0</v>
          </cell>
        </row>
        <row r="1276">
          <cell r="B1276" t="str">
            <v>solar leasing</v>
          </cell>
          <cell r="D1276">
            <v>3.2</v>
          </cell>
          <cell r="I1276">
            <v>-0.69313999999999998</v>
          </cell>
          <cell r="K1276">
            <v>-5.6978000000000003E-3</v>
          </cell>
          <cell r="CG1276">
            <v>0</v>
          </cell>
          <cell r="CH1276">
            <v>0</v>
          </cell>
          <cell r="CI1276">
            <v>0</v>
          </cell>
          <cell r="CJ1276">
            <v>0</v>
          </cell>
          <cell r="CK1276">
            <v>0</v>
          </cell>
          <cell r="CL1276">
            <v>1</v>
          </cell>
          <cell r="CM1276" t="str">
            <v>moved from 1.1</v>
          </cell>
        </row>
        <row r="1277">
          <cell r="B1277" t="str">
            <v>solar leasing</v>
          </cell>
          <cell r="D1277">
            <v>4.0999999999999996</v>
          </cell>
          <cell r="I1277">
            <v>0.17111999999999999</v>
          </cell>
          <cell r="K1277">
            <v>3.6032000000000002</v>
          </cell>
          <cell r="CG1277">
            <v>0</v>
          </cell>
          <cell r="CH1277">
            <v>1</v>
          </cell>
          <cell r="CI1277">
            <v>0</v>
          </cell>
          <cell r="CJ1277">
            <v>0</v>
          </cell>
          <cell r="CK1277">
            <v>0</v>
          </cell>
          <cell r="CL1277">
            <v>0</v>
          </cell>
        </row>
        <row r="1278">
          <cell r="B1278" t="str">
            <v>solar leasing</v>
          </cell>
          <cell r="D1278">
            <v>4.0999999999999996</v>
          </cell>
          <cell r="I1278">
            <v>0.17111999999999999</v>
          </cell>
          <cell r="K1278">
            <v>3.6032000000000002</v>
          </cell>
          <cell r="CG1278">
            <v>0</v>
          </cell>
          <cell r="CH1278">
            <v>1</v>
          </cell>
          <cell r="CI1278">
            <v>0</v>
          </cell>
          <cell r="CJ1278">
            <v>0</v>
          </cell>
          <cell r="CK1278">
            <v>0</v>
          </cell>
          <cell r="CL1278">
            <v>1</v>
          </cell>
        </row>
        <row r="1279">
          <cell r="B1279" t="str">
            <v>solar leasing</v>
          </cell>
          <cell r="D1279">
            <v>1.1000000000000001</v>
          </cell>
          <cell r="I1279">
            <v>2.2989000000000002</v>
          </cell>
          <cell r="K1279">
            <v>2.8571E-4</v>
          </cell>
          <cell r="CG1279">
            <v>0</v>
          </cell>
          <cell r="CH1279">
            <v>0</v>
          </cell>
          <cell r="CI1279">
            <v>0</v>
          </cell>
          <cell r="CJ1279">
            <v>0</v>
          </cell>
          <cell r="CK1279">
            <v>0</v>
          </cell>
          <cell r="CL1279">
            <v>0</v>
          </cell>
          <cell r="CM1279" t="str">
            <v>** if these are logfit=0, so should mkt share</v>
          </cell>
        </row>
        <row r="1280">
          <cell r="B1280" t="str">
            <v>solar leasing</v>
          </cell>
          <cell r="D1280">
            <v>1.1000000000000001</v>
          </cell>
          <cell r="I1280">
            <v>1.8098000000000001</v>
          </cell>
          <cell r="K1280">
            <v>1.0829999999999999E-2</v>
          </cell>
          <cell r="CG1280">
            <v>0</v>
          </cell>
          <cell r="CH1280">
            <v>0</v>
          </cell>
          <cell r="CI1280">
            <v>0</v>
          </cell>
          <cell r="CJ1280">
            <v>0</v>
          </cell>
          <cell r="CK1280">
            <v>0</v>
          </cell>
          <cell r="CL1280">
            <v>0</v>
          </cell>
          <cell r="CM1280" t="str">
            <v>** if these are logfit=0, so should mkt share</v>
          </cell>
        </row>
        <row r="1281">
          <cell r="B1281" t="str">
            <v>solar leasing</v>
          </cell>
          <cell r="D1281">
            <v>1.1000000000000001</v>
          </cell>
          <cell r="I1281">
            <v>1.7871999999999999</v>
          </cell>
          <cell r="K1281">
            <v>7.9342999999999997E-2</v>
          </cell>
          <cell r="CG1281">
            <v>1</v>
          </cell>
          <cell r="CH1281">
            <v>1</v>
          </cell>
          <cell r="CI1281">
            <v>0</v>
          </cell>
          <cell r="CJ1281">
            <v>0</v>
          </cell>
          <cell r="CK1281">
            <v>0</v>
          </cell>
          <cell r="CL1281">
            <v>0</v>
          </cell>
        </row>
        <row r="1282">
          <cell r="B1282" t="str">
            <v>solar leasing</v>
          </cell>
          <cell r="D1282">
            <v>1.1000000000000001</v>
          </cell>
          <cell r="I1282">
            <v>1.2629999999999999</v>
          </cell>
          <cell r="K1282">
            <v>9.4057000000000002E-2</v>
          </cell>
          <cell r="CG1282">
            <v>1</v>
          </cell>
          <cell r="CH1282">
            <v>1</v>
          </cell>
          <cell r="CI1282">
            <v>0</v>
          </cell>
          <cell r="CJ1282">
            <v>0</v>
          </cell>
          <cell r="CK1282">
            <v>0</v>
          </cell>
          <cell r="CL1282">
            <v>0</v>
          </cell>
        </row>
        <row r="1283">
          <cell r="B1283" t="str">
            <v>solar leasing</v>
          </cell>
          <cell r="D1283">
            <v>1.1000000000000001</v>
          </cell>
          <cell r="I1283">
            <v>2.0613999999999999</v>
          </cell>
          <cell r="K1283">
            <v>5.5576999999999996E-3</v>
          </cell>
          <cell r="CG1283">
            <v>1</v>
          </cell>
          <cell r="CH1283">
            <v>1</v>
          </cell>
          <cell r="CI1283">
            <v>0</v>
          </cell>
          <cell r="CJ1283">
            <v>1</v>
          </cell>
          <cell r="CK1283">
            <v>0</v>
          </cell>
          <cell r="CL1283">
            <v>0</v>
          </cell>
          <cell r="CM1283" t="str">
            <v>** check logfit</v>
          </cell>
        </row>
        <row r="1284">
          <cell r="B1284" t="str">
            <v>solar leasing</v>
          </cell>
          <cell r="D1284">
            <v>3.2</v>
          </cell>
          <cell r="I1284">
            <v>-0.65707000000000004</v>
          </cell>
          <cell r="K1284">
            <v>-7.0384999999999996E-3</v>
          </cell>
          <cell r="CG1284">
            <v>1</v>
          </cell>
          <cell r="CH1284">
            <v>1</v>
          </cell>
          <cell r="CI1284">
            <v>0</v>
          </cell>
          <cell r="CJ1284">
            <v>0</v>
          </cell>
          <cell r="CK1284">
            <v>0</v>
          </cell>
          <cell r="CL1284">
            <v>0</v>
          </cell>
        </row>
        <row r="1285">
          <cell r="B1285" t="str">
            <v>solar leasing</v>
          </cell>
          <cell r="D1285">
            <v>3.2</v>
          </cell>
          <cell r="I1285">
            <v>-0.54542000000000002</v>
          </cell>
          <cell r="K1285">
            <v>-1.1417999999999999E-2</v>
          </cell>
          <cell r="CG1285">
            <v>0</v>
          </cell>
          <cell r="CH1285">
            <v>1</v>
          </cell>
          <cell r="CI1285">
            <v>0</v>
          </cell>
          <cell r="CJ1285">
            <v>0</v>
          </cell>
          <cell r="CK1285">
            <v>0</v>
          </cell>
          <cell r="CL1285">
            <v>0</v>
          </cell>
        </row>
        <row r="1286">
          <cell r="B1286" t="str">
            <v>solar leasing</v>
          </cell>
          <cell r="D1286">
            <v>3.2</v>
          </cell>
          <cell r="I1286">
            <v>-0.46393000000000001</v>
          </cell>
          <cell r="K1286">
            <v>-1.5802E-2</v>
          </cell>
          <cell r="CG1286">
            <v>1</v>
          </cell>
          <cell r="CH1286">
            <v>1</v>
          </cell>
          <cell r="CI1286">
            <v>0</v>
          </cell>
          <cell r="CJ1286">
            <v>0</v>
          </cell>
          <cell r="CK1286">
            <v>0</v>
          </cell>
          <cell r="CL1286">
            <v>0</v>
          </cell>
        </row>
        <row r="1287">
          <cell r="B1287" t="str">
            <v>solar leasing</v>
          </cell>
          <cell r="D1287">
            <v>3.2</v>
          </cell>
          <cell r="I1287">
            <v>-0.42742000000000002</v>
          </cell>
          <cell r="K1287">
            <v>-1.7027E-2</v>
          </cell>
          <cell r="CG1287">
            <v>1</v>
          </cell>
          <cell r="CH1287">
            <v>1</v>
          </cell>
          <cell r="CI1287">
            <v>0</v>
          </cell>
          <cell r="CJ1287">
            <v>0</v>
          </cell>
          <cell r="CK1287">
            <v>0</v>
          </cell>
          <cell r="CL1287">
            <v>1</v>
          </cell>
          <cell r="CM1287" t="str">
            <v>moved from 1.1</v>
          </cell>
        </row>
        <row r="1288">
          <cell r="B1288" t="str">
            <v>solar leasing</v>
          </cell>
          <cell r="D1288">
            <v>4.0999999999999996</v>
          </cell>
          <cell r="I1288">
            <v>0.54291</v>
          </cell>
          <cell r="K1288">
            <v>4.9989999999999997</v>
          </cell>
          <cell r="CG1288">
            <v>1</v>
          </cell>
          <cell r="CH1288">
            <v>1</v>
          </cell>
          <cell r="CI1288">
            <v>0</v>
          </cell>
          <cell r="CJ1288">
            <v>0</v>
          </cell>
          <cell r="CK1288">
            <v>0</v>
          </cell>
          <cell r="CL1288">
            <v>0</v>
          </cell>
        </row>
        <row r="1289">
          <cell r="B1289" t="str">
            <v>solar leasing</v>
          </cell>
          <cell r="D1289">
            <v>4.0999999999999996</v>
          </cell>
          <cell r="I1289">
            <v>0.54291</v>
          </cell>
          <cell r="K1289">
            <v>4.9989999999999997</v>
          </cell>
          <cell r="CG1289">
            <v>1</v>
          </cell>
          <cell r="CH1289">
            <v>1</v>
          </cell>
          <cell r="CI1289">
            <v>0</v>
          </cell>
          <cell r="CJ1289">
            <v>0</v>
          </cell>
          <cell r="CK1289">
            <v>0</v>
          </cell>
          <cell r="CL1289">
            <v>1</v>
          </cell>
        </row>
        <row r="1290">
          <cell r="B1290" t="str">
            <v>sustainable fashion</v>
          </cell>
          <cell r="D1290">
            <v>1.1000000000000001</v>
          </cell>
          <cell r="K1290">
            <v>2.7139999999999998E-3</v>
          </cell>
          <cell r="CG1290">
            <v>1</v>
          </cell>
          <cell r="CH1290">
            <v>1</v>
          </cell>
          <cell r="CI1290">
            <v>0</v>
          </cell>
          <cell r="CJ1290">
            <v>0</v>
          </cell>
          <cell r="CK1290">
            <v>0</v>
          </cell>
          <cell r="CL1290">
            <v>0</v>
          </cell>
        </row>
        <row r="1291">
          <cell r="B1291" t="str">
            <v>sustainable fashion</v>
          </cell>
          <cell r="D1291">
            <v>1.1000000000000001</v>
          </cell>
          <cell r="I1291">
            <v>0.22836999999999999</v>
          </cell>
          <cell r="K1291">
            <v>30.9</v>
          </cell>
          <cell r="CG1291">
            <v>1</v>
          </cell>
          <cell r="CH1291">
            <v>1</v>
          </cell>
          <cell r="CI1291">
            <v>0</v>
          </cell>
          <cell r="CJ1291">
            <v>0</v>
          </cell>
          <cell r="CK1291">
            <v>0</v>
          </cell>
          <cell r="CL1291">
            <v>0</v>
          </cell>
        </row>
        <row r="1292">
          <cell r="B1292" t="str">
            <v>sustainable fashion</v>
          </cell>
          <cell r="D1292">
            <v>1.1000000000000001</v>
          </cell>
          <cell r="I1292">
            <v>8.5860000000000006E-2</v>
          </cell>
          <cell r="K1292">
            <v>2.7139999999999998E-3</v>
          </cell>
          <cell r="CG1292">
            <v>1</v>
          </cell>
          <cell r="CH1292">
            <v>1</v>
          </cell>
          <cell r="CI1292">
            <v>1</v>
          </cell>
          <cell r="CJ1292">
            <v>1</v>
          </cell>
          <cell r="CK1292">
            <v>0</v>
          </cell>
          <cell r="CL1292">
            <v>0</v>
          </cell>
        </row>
        <row r="1293">
          <cell r="B1293" t="str">
            <v>sustainable fashion</v>
          </cell>
          <cell r="D1293">
            <v>3.3</v>
          </cell>
          <cell r="I1293">
            <v>0.24340000000000001</v>
          </cell>
          <cell r="K1293">
            <v>2.0063</v>
          </cell>
          <cell r="CG1293">
            <v>1</v>
          </cell>
          <cell r="CH1293">
            <v>1</v>
          </cell>
          <cell r="CI1293">
            <v>0</v>
          </cell>
          <cell r="CJ1293">
            <v>0</v>
          </cell>
          <cell r="CK1293">
            <v>1</v>
          </cell>
          <cell r="CL1293">
            <v>1</v>
          </cell>
        </row>
        <row r="1294">
          <cell r="B1294" t="str">
            <v>sustainable fashion</v>
          </cell>
          <cell r="D1294">
            <v>3.5</v>
          </cell>
          <cell r="I1294">
            <v>0.29411999999999999</v>
          </cell>
          <cell r="K1294">
            <v>1.2734000000000001</v>
          </cell>
          <cell r="CG1294">
            <v>1</v>
          </cell>
          <cell r="CH1294">
            <v>1</v>
          </cell>
          <cell r="CI1294">
            <v>0</v>
          </cell>
          <cell r="CJ1294">
            <v>0</v>
          </cell>
          <cell r="CK1294">
            <v>0</v>
          </cell>
          <cell r="CL1294">
            <v>0</v>
          </cell>
        </row>
        <row r="1295">
          <cell r="B1295" t="str">
            <v>sustainable fashion</v>
          </cell>
          <cell r="D1295">
            <v>3.5</v>
          </cell>
          <cell r="I1295">
            <v>0.19639000000000001</v>
          </cell>
          <cell r="K1295">
            <v>3.504</v>
          </cell>
          <cell r="CG1295">
            <v>0</v>
          </cell>
          <cell r="CH1295">
            <v>1</v>
          </cell>
          <cell r="CI1295">
            <v>0</v>
          </cell>
          <cell r="CJ1295">
            <v>0</v>
          </cell>
          <cell r="CK1295">
            <v>1</v>
          </cell>
          <cell r="CL1295">
            <v>1</v>
          </cell>
        </row>
        <row r="1296">
          <cell r="B1296" t="str">
            <v>sustainable fashion</v>
          </cell>
          <cell r="D1296">
            <v>3.5</v>
          </cell>
          <cell r="I1296">
            <v>0.88529999999999998</v>
          </cell>
          <cell r="K1296">
            <v>0.12358</v>
          </cell>
          <cell r="CG1296">
            <v>1</v>
          </cell>
          <cell r="CH1296">
            <v>1</v>
          </cell>
          <cell r="CI1296">
            <v>0</v>
          </cell>
          <cell r="CJ1296">
            <v>0</v>
          </cell>
          <cell r="CK1296">
            <v>0</v>
          </cell>
          <cell r="CL1296">
            <v>0</v>
          </cell>
        </row>
        <row r="1297">
          <cell r="B1297" t="str">
            <v>sustainable fashion</v>
          </cell>
          <cell r="D1297">
            <v>3.5</v>
          </cell>
          <cell r="I1297">
            <v>0.41266000000000003</v>
          </cell>
          <cell r="K1297">
            <v>0.32529999999999998</v>
          </cell>
          <cell r="CG1297">
            <v>1</v>
          </cell>
          <cell r="CH1297">
            <v>1</v>
          </cell>
          <cell r="CI1297">
            <v>0</v>
          </cell>
          <cell r="CJ1297">
            <v>0</v>
          </cell>
          <cell r="CK1297">
            <v>0</v>
          </cell>
          <cell r="CL1297">
            <v>0</v>
          </cell>
        </row>
        <row r="1298">
          <cell r="B1298" t="str">
            <v>sustainable fashion</v>
          </cell>
          <cell r="D1298">
            <v>3.5</v>
          </cell>
          <cell r="I1298">
            <v>0.72614999999999996</v>
          </cell>
          <cell r="K1298">
            <v>0.23280999999999999</v>
          </cell>
          <cell r="CG1298">
            <v>1</v>
          </cell>
          <cell r="CH1298">
            <v>1</v>
          </cell>
          <cell r="CI1298">
            <v>0</v>
          </cell>
          <cell r="CJ1298">
            <v>0</v>
          </cell>
          <cell r="CK1298">
            <v>0</v>
          </cell>
          <cell r="CL1298">
            <v>0</v>
          </cell>
        </row>
        <row r="1299">
          <cell r="B1299" t="str">
            <v>sustainable fashion</v>
          </cell>
          <cell r="D1299">
            <v>3.5</v>
          </cell>
          <cell r="I1299">
            <v>0.88270999999999999</v>
          </cell>
          <cell r="K1299">
            <v>0.44874999999999998</v>
          </cell>
          <cell r="CG1299">
            <v>1</v>
          </cell>
          <cell r="CH1299">
            <v>1</v>
          </cell>
          <cell r="CI1299">
            <v>0</v>
          </cell>
          <cell r="CJ1299">
            <v>0</v>
          </cell>
          <cell r="CK1299">
            <v>0</v>
          </cell>
          <cell r="CL1299">
            <v>0</v>
          </cell>
        </row>
        <row r="1300">
          <cell r="B1300" t="str">
            <v>sustainable fashion</v>
          </cell>
          <cell r="D1300">
            <v>3.5</v>
          </cell>
          <cell r="I1300">
            <v>1.0325</v>
          </cell>
          <cell r="K1300">
            <v>1.5284</v>
          </cell>
          <cell r="CG1300">
            <v>1</v>
          </cell>
          <cell r="CH1300">
            <v>1</v>
          </cell>
          <cell r="CI1300">
            <v>0</v>
          </cell>
          <cell r="CJ1300">
            <v>0</v>
          </cell>
          <cell r="CK1300">
            <v>0</v>
          </cell>
          <cell r="CL1300">
            <v>0</v>
          </cell>
        </row>
        <row r="1301">
          <cell r="B1301" t="str">
            <v>sustainable fashion</v>
          </cell>
          <cell r="D1301">
            <v>3.5</v>
          </cell>
          <cell r="I1301">
            <v>22.064</v>
          </cell>
          <cell r="K1301">
            <v>0.90112999999999999</v>
          </cell>
          <cell r="CG1301">
            <v>1</v>
          </cell>
          <cell r="CH1301">
            <v>1</v>
          </cell>
          <cell r="CI1301">
            <v>0</v>
          </cell>
          <cell r="CJ1301">
            <v>0</v>
          </cell>
          <cell r="CK1301">
            <v>0</v>
          </cell>
          <cell r="CL1301">
            <v>0</v>
          </cell>
        </row>
        <row r="1302">
          <cell r="B1302" t="str">
            <v>sustainable fashion</v>
          </cell>
          <cell r="D1302">
            <v>3.5</v>
          </cell>
          <cell r="I1302">
            <v>23.196999999999999</v>
          </cell>
          <cell r="K1302">
            <v>7.7074999999999996</v>
          </cell>
          <cell r="CG1302">
            <v>1</v>
          </cell>
          <cell r="CH1302">
            <v>1</v>
          </cell>
          <cell r="CI1302">
            <v>0</v>
          </cell>
          <cell r="CJ1302">
            <v>0</v>
          </cell>
          <cell r="CK1302">
            <v>0</v>
          </cell>
          <cell r="CL1302">
            <v>0</v>
          </cell>
        </row>
        <row r="1303">
          <cell r="B1303" t="str">
            <v>sustainable fashion</v>
          </cell>
          <cell r="D1303">
            <v>3.5</v>
          </cell>
          <cell r="I1303">
            <v>28.143999999999998</v>
          </cell>
          <cell r="K1303">
            <v>8.1653000000000002</v>
          </cell>
          <cell r="CG1303">
            <v>1</v>
          </cell>
          <cell r="CH1303">
            <v>1</v>
          </cell>
          <cell r="CI1303">
            <v>0</v>
          </cell>
          <cell r="CJ1303">
            <v>0</v>
          </cell>
          <cell r="CK1303">
            <v>0</v>
          </cell>
          <cell r="CL1303">
            <v>0</v>
          </cell>
        </row>
        <row r="1304">
          <cell r="B1304" t="str">
            <v>sustainable fashion</v>
          </cell>
          <cell r="D1304">
            <v>3.5</v>
          </cell>
          <cell r="I1304">
            <v>0.96975999999999996</v>
          </cell>
          <cell r="K1304">
            <v>0.29577999999999999</v>
          </cell>
          <cell r="CG1304">
            <v>1</v>
          </cell>
          <cell r="CH1304">
            <v>1</v>
          </cell>
          <cell r="CI1304">
            <v>0</v>
          </cell>
          <cell r="CJ1304">
            <v>0</v>
          </cell>
          <cell r="CK1304">
            <v>0</v>
          </cell>
          <cell r="CL1304">
            <v>0</v>
          </cell>
        </row>
        <row r="1305">
          <cell r="B1305" t="str">
            <v>sustainable fashion</v>
          </cell>
          <cell r="D1305">
            <v>3.5</v>
          </cell>
          <cell r="I1305">
            <v>0.63305999999999996</v>
          </cell>
          <cell r="K1305">
            <v>0.56560999999999995</v>
          </cell>
          <cell r="CG1305">
            <v>1</v>
          </cell>
          <cell r="CH1305">
            <v>1</v>
          </cell>
          <cell r="CI1305">
            <v>0</v>
          </cell>
          <cell r="CJ1305">
            <v>0</v>
          </cell>
          <cell r="CK1305">
            <v>0</v>
          </cell>
          <cell r="CL1305">
            <v>0</v>
          </cell>
        </row>
        <row r="1306">
          <cell r="B1306" t="str">
            <v>sustainable fashion</v>
          </cell>
          <cell r="D1306">
            <v>3.5</v>
          </cell>
          <cell r="I1306">
            <v>0.15075</v>
          </cell>
          <cell r="K1306">
            <v>9.4152000000000005</v>
          </cell>
          <cell r="CG1306">
            <v>0</v>
          </cell>
          <cell r="CH1306">
            <v>0</v>
          </cell>
          <cell r="CI1306">
            <v>0</v>
          </cell>
          <cell r="CJ1306">
            <v>0</v>
          </cell>
          <cell r="CK1306">
            <v>0</v>
          </cell>
          <cell r="CL1306">
            <v>0</v>
          </cell>
        </row>
        <row r="1307">
          <cell r="B1307" t="str">
            <v>sustainable fashion</v>
          </cell>
          <cell r="D1307">
            <v>3.5</v>
          </cell>
          <cell r="I1307">
            <v>0.27355000000000002</v>
          </cell>
          <cell r="K1307">
            <v>1.1907000000000001</v>
          </cell>
          <cell r="CG1307">
            <v>0</v>
          </cell>
          <cell r="CH1307">
            <v>0</v>
          </cell>
          <cell r="CI1307">
            <v>0</v>
          </cell>
          <cell r="CJ1307">
            <v>0</v>
          </cell>
          <cell r="CK1307">
            <v>0</v>
          </cell>
          <cell r="CL1307">
            <v>0</v>
          </cell>
        </row>
        <row r="1308">
          <cell r="B1308" t="str">
            <v>sustainable fashion</v>
          </cell>
          <cell r="D1308">
            <v>3.5</v>
          </cell>
          <cell r="I1308">
            <v>0.14388999999999999</v>
          </cell>
          <cell r="K1308">
            <v>28.138000000000002</v>
          </cell>
          <cell r="CG1308">
            <v>0</v>
          </cell>
          <cell r="CH1308">
            <v>0</v>
          </cell>
          <cell r="CI1308">
            <v>0</v>
          </cell>
          <cell r="CJ1308">
            <v>0</v>
          </cell>
          <cell r="CK1308">
            <v>0</v>
          </cell>
          <cell r="CL1308">
            <v>0</v>
          </cell>
        </row>
        <row r="1309">
          <cell r="B1309" t="str">
            <v>sustainable fashion</v>
          </cell>
          <cell r="D1309">
            <v>3.5</v>
          </cell>
          <cell r="I1309">
            <v>0.17516000000000001</v>
          </cell>
          <cell r="K1309">
            <v>3.2890999999999999</v>
          </cell>
          <cell r="CG1309">
            <v>0</v>
          </cell>
          <cell r="CH1309">
            <v>0</v>
          </cell>
          <cell r="CI1309">
            <v>0</v>
          </cell>
          <cell r="CJ1309">
            <v>0</v>
          </cell>
          <cell r="CK1309">
            <v>0</v>
          </cell>
          <cell r="CL1309">
            <v>0</v>
          </cell>
        </row>
        <row r="1310">
          <cell r="B1310" t="str">
            <v>sustainable fashion</v>
          </cell>
          <cell r="D1310">
            <v>3.5</v>
          </cell>
          <cell r="I1310">
            <v>0.29411999999999999</v>
          </cell>
          <cell r="K1310">
            <v>1.2734000000000001</v>
          </cell>
          <cell r="CG1310">
            <v>0</v>
          </cell>
          <cell r="CH1310">
            <v>0</v>
          </cell>
          <cell r="CI1310">
            <v>0</v>
          </cell>
          <cell r="CJ1310">
            <v>0</v>
          </cell>
          <cell r="CK1310">
            <v>0</v>
          </cell>
          <cell r="CL1310">
            <v>0</v>
          </cell>
        </row>
        <row r="1311">
          <cell r="B1311" t="str">
            <v>sustainable fashion</v>
          </cell>
          <cell r="D1311">
            <v>3.5</v>
          </cell>
          <cell r="I1311">
            <v>0.35621000000000003</v>
          </cell>
          <cell r="K1311">
            <v>0.14180999999999999</v>
          </cell>
          <cell r="CG1311">
            <v>0</v>
          </cell>
          <cell r="CH1311">
            <v>0</v>
          </cell>
          <cell r="CI1311">
            <v>0</v>
          </cell>
          <cell r="CJ1311">
            <v>0</v>
          </cell>
          <cell r="CK1311">
            <v>0</v>
          </cell>
          <cell r="CL1311">
            <v>0</v>
          </cell>
        </row>
        <row r="1312">
          <cell r="B1312" t="str">
            <v>sustainable fashion</v>
          </cell>
          <cell r="D1312">
            <v>3.5</v>
          </cell>
          <cell r="I1312">
            <v>0.19639000000000001</v>
          </cell>
          <cell r="K1312">
            <v>3.504</v>
          </cell>
          <cell r="CG1312">
            <v>0</v>
          </cell>
          <cell r="CH1312">
            <v>0</v>
          </cell>
          <cell r="CI1312">
            <v>0</v>
          </cell>
          <cell r="CJ1312">
            <v>0</v>
          </cell>
          <cell r="CK1312">
            <v>0</v>
          </cell>
          <cell r="CL1312">
            <v>0</v>
          </cell>
        </row>
        <row r="1313">
          <cell r="B1313" t="str">
            <v>sustainable fashion</v>
          </cell>
          <cell r="D1313">
            <v>3.5</v>
          </cell>
          <cell r="I1313">
            <v>0.16191</v>
          </cell>
          <cell r="K1313">
            <v>0.38101000000000002</v>
          </cell>
          <cell r="CG1313">
            <v>0</v>
          </cell>
          <cell r="CH1313">
            <v>0</v>
          </cell>
          <cell r="CI1313">
            <v>0</v>
          </cell>
          <cell r="CJ1313">
            <v>0</v>
          </cell>
          <cell r="CK1313">
            <v>0</v>
          </cell>
          <cell r="CL1313">
            <v>0</v>
          </cell>
        </row>
        <row r="1314">
          <cell r="B1314" t="str">
            <v>sustainable fashion</v>
          </cell>
          <cell r="D1314">
            <v>3.5</v>
          </cell>
          <cell r="I1314">
            <v>0.32887</v>
          </cell>
          <cell r="K1314">
            <v>2.0276999999999998</v>
          </cell>
          <cell r="CG1314">
            <v>1</v>
          </cell>
          <cell r="CH1314">
            <v>1</v>
          </cell>
          <cell r="CI1314">
            <v>0</v>
          </cell>
          <cell r="CJ1314">
            <v>0</v>
          </cell>
          <cell r="CK1314">
            <v>0</v>
          </cell>
          <cell r="CL1314">
            <v>0</v>
          </cell>
        </row>
        <row r="1315">
          <cell r="B1315" t="str">
            <v>sustainable fashion</v>
          </cell>
          <cell r="D1315">
            <v>3.5</v>
          </cell>
          <cell r="I1315">
            <v>0.33337</v>
          </cell>
          <cell r="K1315">
            <v>0.22383</v>
          </cell>
          <cell r="CG1315">
            <v>0</v>
          </cell>
          <cell r="CH1315">
            <v>0</v>
          </cell>
          <cell r="CI1315">
            <v>0</v>
          </cell>
          <cell r="CJ1315">
            <v>0</v>
          </cell>
          <cell r="CK1315">
            <v>0</v>
          </cell>
          <cell r="CL1315">
            <v>0</v>
          </cell>
        </row>
        <row r="1316">
          <cell r="B1316" t="str">
            <v>sustainable fashion</v>
          </cell>
          <cell r="D1316">
            <v>3.5</v>
          </cell>
          <cell r="I1316">
            <v>0.31461</v>
          </cell>
          <cell r="K1316">
            <v>2.4666999999999999</v>
          </cell>
          <cell r="CG1316">
            <v>1</v>
          </cell>
          <cell r="CH1316">
            <v>1</v>
          </cell>
          <cell r="CI1316">
            <v>0</v>
          </cell>
          <cell r="CJ1316">
            <v>0</v>
          </cell>
          <cell r="CK1316">
            <v>0</v>
          </cell>
          <cell r="CL1316">
            <v>0</v>
          </cell>
        </row>
        <row r="1317">
          <cell r="B1317" t="str">
            <v>sustainable fashion</v>
          </cell>
          <cell r="D1317">
            <v>3.5</v>
          </cell>
          <cell r="I1317">
            <v>0.31363000000000002</v>
          </cell>
          <cell r="K1317">
            <v>0.40260000000000001</v>
          </cell>
          <cell r="CG1317">
            <v>0</v>
          </cell>
          <cell r="CH1317">
            <v>0</v>
          </cell>
          <cell r="CI1317">
            <v>0</v>
          </cell>
          <cell r="CJ1317">
            <v>0</v>
          </cell>
          <cell r="CK1317">
            <v>0</v>
          </cell>
          <cell r="CL1317">
            <v>0</v>
          </cell>
        </row>
        <row r="1318">
          <cell r="B1318" t="str">
            <v>sustainable fashion</v>
          </cell>
          <cell r="D1318">
            <v>3.5</v>
          </cell>
          <cell r="I1318">
            <v>0.56891000000000003</v>
          </cell>
          <cell r="K1318">
            <v>15.755000000000001</v>
          </cell>
          <cell r="CG1318">
            <v>1</v>
          </cell>
          <cell r="CH1318">
            <v>1</v>
          </cell>
          <cell r="CI1318">
            <v>0</v>
          </cell>
          <cell r="CJ1318">
            <v>0</v>
          </cell>
          <cell r="CK1318">
            <v>0</v>
          </cell>
          <cell r="CL1318">
            <v>0</v>
          </cell>
        </row>
        <row r="1319">
          <cell r="B1319" t="str">
            <v>sustainable fashion</v>
          </cell>
          <cell r="D1319">
            <v>3.5</v>
          </cell>
          <cell r="I1319">
            <v>0.30298999999999998</v>
          </cell>
          <cell r="K1319">
            <v>2.3748999999999998</v>
          </cell>
          <cell r="CG1319">
            <v>0</v>
          </cell>
          <cell r="CH1319">
            <v>0</v>
          </cell>
          <cell r="CI1319">
            <v>0</v>
          </cell>
          <cell r="CJ1319">
            <v>0</v>
          </cell>
          <cell r="CK1319">
            <v>0</v>
          </cell>
          <cell r="CL1319">
            <v>0</v>
          </cell>
        </row>
        <row r="1320">
          <cell r="B1320" t="str">
            <v>sustainable fashion</v>
          </cell>
          <cell r="D1320">
            <v>3.5</v>
          </cell>
          <cell r="I1320">
            <v>0.49297999999999997</v>
          </cell>
          <cell r="K1320">
            <v>3.7124000000000001</v>
          </cell>
          <cell r="CG1320">
            <v>1</v>
          </cell>
          <cell r="CH1320">
            <v>1</v>
          </cell>
          <cell r="CI1320">
            <v>0</v>
          </cell>
          <cell r="CJ1320">
            <v>0</v>
          </cell>
          <cell r="CK1320">
            <v>0</v>
          </cell>
          <cell r="CL1320">
            <v>0</v>
          </cell>
        </row>
        <row r="1321">
          <cell r="B1321" t="str">
            <v>sustainable fashion</v>
          </cell>
          <cell r="D1321">
            <v>3.5</v>
          </cell>
          <cell r="I1321">
            <v>1.8920999999999999</v>
          </cell>
          <cell r="K1321">
            <v>0.72897000000000001</v>
          </cell>
          <cell r="CG1321">
            <v>0</v>
          </cell>
          <cell r="CH1321">
            <v>0</v>
          </cell>
          <cell r="CI1321">
            <v>0</v>
          </cell>
          <cell r="CJ1321">
            <v>0</v>
          </cell>
          <cell r="CK1321">
            <v>0</v>
          </cell>
          <cell r="CL1321">
            <v>0</v>
          </cell>
        </row>
        <row r="1322">
          <cell r="B1322" t="str">
            <v>sustainable fashion</v>
          </cell>
          <cell r="D1322">
            <v>3.5</v>
          </cell>
          <cell r="I1322">
            <v>0.25602000000000003</v>
          </cell>
          <cell r="K1322">
            <v>35.698</v>
          </cell>
          <cell r="CG1322">
            <v>1</v>
          </cell>
          <cell r="CH1322">
            <v>1</v>
          </cell>
          <cell r="CI1322">
            <v>0</v>
          </cell>
          <cell r="CJ1322">
            <v>0</v>
          </cell>
          <cell r="CK1322">
            <v>0</v>
          </cell>
          <cell r="CL1322">
            <v>0</v>
          </cell>
        </row>
        <row r="1323">
          <cell r="B1323" t="str">
            <v>sustainable fashion</v>
          </cell>
          <cell r="D1323">
            <v>3.5</v>
          </cell>
          <cell r="I1323">
            <v>4.3966000000000003</v>
          </cell>
          <cell r="K1323">
            <v>8.4685000000000006</v>
          </cell>
          <cell r="CG1323">
            <v>0</v>
          </cell>
          <cell r="CH1323">
            <v>0</v>
          </cell>
          <cell r="CI1323">
            <v>0</v>
          </cell>
          <cell r="CJ1323">
            <v>0</v>
          </cell>
          <cell r="CK1323">
            <v>0</v>
          </cell>
          <cell r="CL1323">
            <v>0</v>
          </cell>
        </row>
        <row r="1324">
          <cell r="B1324" t="str">
            <v>sustainable fashion</v>
          </cell>
          <cell r="D1324">
            <v>3.5</v>
          </cell>
          <cell r="I1324">
            <v>4.4710999999999999</v>
          </cell>
          <cell r="K1324">
            <v>67.061999999999998</v>
          </cell>
          <cell r="CG1324">
            <v>1</v>
          </cell>
          <cell r="CH1324">
            <v>1</v>
          </cell>
          <cell r="CI1324">
            <v>0</v>
          </cell>
          <cell r="CJ1324">
            <v>0</v>
          </cell>
          <cell r="CK1324">
            <v>0</v>
          </cell>
          <cell r="CL1324">
            <v>0</v>
          </cell>
        </row>
        <row r="1325">
          <cell r="B1325" t="str">
            <v>sustainable fashion</v>
          </cell>
          <cell r="D1325">
            <v>3.5</v>
          </cell>
          <cell r="I1325">
            <v>7.1195000000000004</v>
          </cell>
          <cell r="K1325">
            <v>12.353999999999999</v>
          </cell>
          <cell r="CG1325">
            <v>0</v>
          </cell>
          <cell r="CH1325">
            <v>0</v>
          </cell>
          <cell r="CI1325">
            <v>0</v>
          </cell>
          <cell r="CJ1325">
            <v>0</v>
          </cell>
          <cell r="CK1325">
            <v>0</v>
          </cell>
          <cell r="CL1325">
            <v>0</v>
          </cell>
        </row>
        <row r="1326">
          <cell r="B1326" t="str">
            <v>sustainable fashion</v>
          </cell>
          <cell r="D1326">
            <v>3.5</v>
          </cell>
          <cell r="I1326">
            <v>0.34308</v>
          </cell>
          <cell r="K1326">
            <v>2.4842</v>
          </cell>
          <cell r="CG1326">
            <v>1</v>
          </cell>
          <cell r="CH1326">
            <v>1</v>
          </cell>
          <cell r="CI1326">
            <v>0</v>
          </cell>
          <cell r="CJ1326">
            <v>0</v>
          </cell>
          <cell r="CK1326">
            <v>0</v>
          </cell>
          <cell r="CL1326">
            <v>0</v>
          </cell>
        </row>
        <row r="1327">
          <cell r="B1327" t="str">
            <v>sustainable fashion</v>
          </cell>
          <cell r="D1327">
            <v>3.5</v>
          </cell>
          <cell r="I1327">
            <v>0.36368</v>
          </cell>
          <cell r="K1327">
            <v>0.27701999999999999</v>
          </cell>
          <cell r="CG1327">
            <v>0</v>
          </cell>
          <cell r="CH1327">
            <v>0</v>
          </cell>
          <cell r="CI1327">
            <v>0</v>
          </cell>
          <cell r="CJ1327">
            <v>0</v>
          </cell>
          <cell r="CK1327">
            <v>0</v>
          </cell>
          <cell r="CL1327">
            <v>0</v>
          </cell>
        </row>
        <row r="1328">
          <cell r="B1328" t="str">
            <v>sustainable fashion</v>
          </cell>
          <cell r="D1328">
            <v>3.5</v>
          </cell>
          <cell r="I1328">
            <v>0.27661000000000002</v>
          </cell>
          <cell r="K1328">
            <v>3.2919999999999998</v>
          </cell>
          <cell r="CG1328">
            <v>1</v>
          </cell>
          <cell r="CH1328">
            <v>1</v>
          </cell>
          <cell r="CI1328">
            <v>0</v>
          </cell>
          <cell r="CJ1328">
            <v>0</v>
          </cell>
          <cell r="CK1328">
            <v>0</v>
          </cell>
          <cell r="CL1328">
            <v>0</v>
          </cell>
        </row>
        <row r="1329">
          <cell r="B1329" t="str">
            <v>sustainable fashion</v>
          </cell>
          <cell r="D1329">
            <v>3.5</v>
          </cell>
          <cell r="I1329">
            <v>0.27783000000000002</v>
          </cell>
          <cell r="K1329">
            <v>0.50800000000000001</v>
          </cell>
          <cell r="CG1329">
            <v>0</v>
          </cell>
          <cell r="CH1329">
            <v>0</v>
          </cell>
          <cell r="CI1329">
            <v>0</v>
          </cell>
          <cell r="CJ1329">
            <v>0</v>
          </cell>
          <cell r="CK1329">
            <v>0</v>
          </cell>
          <cell r="CL1329">
            <v>0</v>
          </cell>
        </row>
        <row r="1330">
          <cell r="B1330" t="str">
            <v>sustainable fashion</v>
          </cell>
          <cell r="D1330">
            <v>4.0999999999999996</v>
          </cell>
          <cell r="I1330">
            <v>0.56728999999999996</v>
          </cell>
          <cell r="K1330">
            <v>5.3158000000000003</v>
          </cell>
          <cell r="CG1330">
            <v>1</v>
          </cell>
          <cell r="CH1330">
            <v>1</v>
          </cell>
          <cell r="CI1330">
            <v>0</v>
          </cell>
          <cell r="CJ1330">
            <v>0</v>
          </cell>
          <cell r="CK1330">
            <v>0</v>
          </cell>
          <cell r="CL1330">
            <v>0</v>
          </cell>
        </row>
        <row r="1331">
          <cell r="B1331" t="str">
            <v>sustainable fashion</v>
          </cell>
          <cell r="D1331">
            <v>4.0999999999999996</v>
          </cell>
          <cell r="I1331">
            <v>0.36436000000000002</v>
          </cell>
          <cell r="K1331">
            <v>5.1012000000000004</v>
          </cell>
          <cell r="CG1331">
            <v>1</v>
          </cell>
          <cell r="CH1331">
            <v>1</v>
          </cell>
          <cell r="CI1331">
            <v>0</v>
          </cell>
          <cell r="CJ1331">
            <v>0</v>
          </cell>
          <cell r="CK1331">
            <v>1</v>
          </cell>
          <cell r="CL1331">
            <v>1</v>
          </cell>
        </row>
        <row r="1332">
          <cell r="B1332" t="str">
            <v>sustainable fashion</v>
          </cell>
          <cell r="D1332">
            <v>2.2999999999999998</v>
          </cell>
          <cell r="I1332">
            <v>0.10238999999999999</v>
          </cell>
          <cell r="K1332">
            <v>2446400</v>
          </cell>
          <cell r="CG1332">
            <v>1</v>
          </cell>
          <cell r="CH1332">
            <v>1</v>
          </cell>
          <cell r="CI1332">
            <v>0</v>
          </cell>
          <cell r="CJ1332">
            <v>0</v>
          </cell>
          <cell r="CK1332">
            <v>0</v>
          </cell>
          <cell r="CL1332">
            <v>1</v>
          </cell>
        </row>
        <row r="1333">
          <cell r="B1333" t="str">
            <v>sustainable fashion</v>
          </cell>
          <cell r="D1333">
            <v>2.2999999999999998</v>
          </cell>
          <cell r="I1333">
            <v>1.482</v>
          </cell>
          <cell r="K1333">
            <v>288230</v>
          </cell>
          <cell r="CG1333">
            <v>0</v>
          </cell>
          <cell r="CH1333">
            <v>1</v>
          </cell>
          <cell r="CI1333">
            <v>0</v>
          </cell>
          <cell r="CJ1333">
            <v>0</v>
          </cell>
          <cell r="CK1333">
            <v>0</v>
          </cell>
          <cell r="CL1333">
            <v>0</v>
          </cell>
        </row>
        <row r="1334">
          <cell r="B1334" t="str">
            <v>sustainable fashion</v>
          </cell>
          <cell r="D1334">
            <v>3.5</v>
          </cell>
          <cell r="I1334">
            <v>0.70291000000000003</v>
          </cell>
          <cell r="K1334">
            <v>4.3215000000000003E-2</v>
          </cell>
          <cell r="CG1334">
            <v>1</v>
          </cell>
          <cell r="CH1334">
            <v>1</v>
          </cell>
          <cell r="CI1334">
            <v>0</v>
          </cell>
          <cell r="CJ1334">
            <v>0</v>
          </cell>
          <cell r="CK1334">
            <v>0</v>
          </cell>
          <cell r="CL1334">
            <v>1</v>
          </cell>
        </row>
        <row r="1335">
          <cell r="B1335" t="str">
            <v>sustainable fashion</v>
          </cell>
          <cell r="D1335">
            <v>3.5</v>
          </cell>
          <cell r="I1335">
            <v>43.616</v>
          </cell>
          <cell r="K1335">
            <v>6.8510999999999997E-3</v>
          </cell>
          <cell r="CG1335">
            <v>0</v>
          </cell>
          <cell r="CH1335">
            <v>1</v>
          </cell>
          <cell r="CI1335">
            <v>0</v>
          </cell>
          <cell r="CJ1335">
            <v>0</v>
          </cell>
          <cell r="CK1335">
            <v>0</v>
          </cell>
          <cell r="CL1335">
            <v>0</v>
          </cell>
        </row>
        <row r="1336">
          <cell r="B1336" t="str">
            <v>sustainable fashion</v>
          </cell>
          <cell r="D1336">
            <v>3.5</v>
          </cell>
          <cell r="I1336">
            <v>0.29036000000000001</v>
          </cell>
          <cell r="K1336">
            <v>6.4558999999999997E-3</v>
          </cell>
          <cell r="CG1336">
            <v>0</v>
          </cell>
          <cell r="CH1336">
            <v>1</v>
          </cell>
          <cell r="CI1336">
            <v>0</v>
          </cell>
          <cell r="CJ1336">
            <v>0</v>
          </cell>
          <cell r="CK1336">
            <v>0</v>
          </cell>
          <cell r="CL1336">
            <v>0</v>
          </cell>
        </row>
        <row r="1337">
          <cell r="B1337" t="str">
            <v>sustainable fashion</v>
          </cell>
          <cell r="D1337">
            <v>3.5</v>
          </cell>
          <cell r="I1337">
            <v>29.195</v>
          </cell>
          <cell r="K1337">
            <v>4.2439000000000001E-3</v>
          </cell>
          <cell r="CG1337">
            <v>0</v>
          </cell>
          <cell r="CH1337">
            <v>1</v>
          </cell>
          <cell r="CI1337">
            <v>0</v>
          </cell>
          <cell r="CJ1337">
            <v>0</v>
          </cell>
          <cell r="CK1337">
            <v>0</v>
          </cell>
          <cell r="CL1337">
            <v>0</v>
          </cell>
        </row>
        <row r="1338">
          <cell r="B1338" t="str">
            <v>sustainable fashion</v>
          </cell>
          <cell r="D1338">
            <v>3.5</v>
          </cell>
          <cell r="I1338">
            <v>29.195</v>
          </cell>
          <cell r="K1338">
            <v>4.2439000000000001E-3</v>
          </cell>
          <cell r="CG1338">
            <v>0</v>
          </cell>
          <cell r="CH1338">
            <v>1</v>
          </cell>
          <cell r="CI1338">
            <v>0</v>
          </cell>
          <cell r="CJ1338">
            <v>0</v>
          </cell>
          <cell r="CK1338">
            <v>0</v>
          </cell>
          <cell r="CL1338">
            <v>0</v>
          </cell>
        </row>
        <row r="1339">
          <cell r="B1339" t="str">
            <v>sustainable fashion</v>
          </cell>
          <cell r="D1339">
            <v>3.5</v>
          </cell>
          <cell r="I1339">
            <v>0.29036000000000001</v>
          </cell>
          <cell r="K1339">
            <v>6.4558999999999997E-3</v>
          </cell>
          <cell r="CG1339">
            <v>0</v>
          </cell>
          <cell r="CH1339">
            <v>1</v>
          </cell>
          <cell r="CI1339">
            <v>0</v>
          </cell>
          <cell r="CJ1339">
            <v>0</v>
          </cell>
          <cell r="CK1339">
            <v>0</v>
          </cell>
          <cell r="CL1339">
            <v>0</v>
          </cell>
        </row>
        <row r="1340">
          <cell r="B1340" t="str">
            <v>sustainable fashion</v>
          </cell>
          <cell r="D1340">
            <v>3.5</v>
          </cell>
          <cell r="I1340">
            <v>0.57387999999999995</v>
          </cell>
          <cell r="K1340">
            <v>0.16639999999999999</v>
          </cell>
          <cell r="CG1340">
            <v>0</v>
          </cell>
          <cell r="CH1340">
            <v>0</v>
          </cell>
          <cell r="CI1340">
            <v>0</v>
          </cell>
          <cell r="CJ1340">
            <v>0</v>
          </cell>
          <cell r="CK1340">
            <v>0</v>
          </cell>
          <cell r="CL1340">
            <v>0</v>
          </cell>
        </row>
        <row r="1341">
          <cell r="B1341" t="str">
            <v>sustainable fashion</v>
          </cell>
          <cell r="D1341">
            <v>3.5</v>
          </cell>
          <cell r="I1341">
            <v>0.84421999999999997</v>
          </cell>
          <cell r="K1341">
            <v>3.1711999999999997E-2</v>
          </cell>
          <cell r="CG1341">
            <v>0</v>
          </cell>
          <cell r="CH1341">
            <v>0</v>
          </cell>
          <cell r="CI1341">
            <v>0</v>
          </cell>
          <cell r="CJ1341">
            <v>0</v>
          </cell>
          <cell r="CK1341">
            <v>0</v>
          </cell>
          <cell r="CL1341">
            <v>0</v>
          </cell>
        </row>
        <row r="1342">
          <cell r="B1342" t="str">
            <v>sustainable fashion</v>
          </cell>
          <cell r="D1342">
            <v>3.5</v>
          </cell>
          <cell r="I1342">
            <v>0.70291000000000003</v>
          </cell>
          <cell r="K1342">
            <v>4.3215000000000003E-2</v>
          </cell>
          <cell r="CG1342">
            <v>0</v>
          </cell>
          <cell r="CH1342">
            <v>0</v>
          </cell>
          <cell r="CI1342">
            <v>0</v>
          </cell>
          <cell r="CJ1342">
            <v>0</v>
          </cell>
          <cell r="CK1342">
            <v>0</v>
          </cell>
          <cell r="CL1342">
            <v>0</v>
          </cell>
        </row>
        <row r="1343">
          <cell r="B1343" t="str">
            <v>sustainable fashion</v>
          </cell>
          <cell r="D1343">
            <v>3.5</v>
          </cell>
          <cell r="I1343">
            <v>18.106999999999999</v>
          </cell>
          <cell r="K1343">
            <v>4.0486000000000003E-3</v>
          </cell>
          <cell r="CG1343">
            <v>0</v>
          </cell>
          <cell r="CH1343">
            <v>0</v>
          </cell>
          <cell r="CI1343">
            <v>0</v>
          </cell>
          <cell r="CJ1343">
            <v>0</v>
          </cell>
          <cell r="CK1343">
            <v>0</v>
          </cell>
          <cell r="CL1343">
            <v>0</v>
          </cell>
        </row>
        <row r="1344">
          <cell r="B1344" t="str">
            <v>sustainable fashion</v>
          </cell>
          <cell r="D1344">
            <v>3.5</v>
          </cell>
          <cell r="I1344">
            <v>0.26489000000000001</v>
          </cell>
          <cell r="K1344">
            <v>4.7694E-2</v>
          </cell>
          <cell r="CG1344">
            <v>1</v>
          </cell>
          <cell r="CH1344">
            <v>1</v>
          </cell>
          <cell r="CI1344">
            <v>0</v>
          </cell>
          <cell r="CJ1344">
            <v>0</v>
          </cell>
          <cell r="CK1344">
            <v>0</v>
          </cell>
          <cell r="CL1344">
            <v>0</v>
          </cell>
        </row>
        <row r="1345">
          <cell r="B1345" t="str">
            <v>sustainable fashion</v>
          </cell>
          <cell r="D1345">
            <v>3.5</v>
          </cell>
          <cell r="I1345">
            <v>9.9397000000000002</v>
          </cell>
          <cell r="K1345">
            <v>8.6703000000000006E-3</v>
          </cell>
          <cell r="CG1345">
            <v>0</v>
          </cell>
          <cell r="CH1345">
            <v>0</v>
          </cell>
          <cell r="CI1345">
            <v>0</v>
          </cell>
          <cell r="CJ1345">
            <v>0</v>
          </cell>
          <cell r="CK1345">
            <v>0</v>
          </cell>
          <cell r="CL1345">
            <v>0</v>
          </cell>
        </row>
        <row r="1346">
          <cell r="B1346" t="str">
            <v>sustainable fashion</v>
          </cell>
          <cell r="D1346">
            <v>3.5</v>
          </cell>
          <cell r="I1346">
            <v>9.5669000000000004</v>
          </cell>
          <cell r="K1346">
            <v>5.8534999999999997E-2</v>
          </cell>
          <cell r="CG1346">
            <v>0</v>
          </cell>
          <cell r="CH1346">
            <v>1</v>
          </cell>
          <cell r="CI1346">
            <v>0</v>
          </cell>
          <cell r="CJ1346">
            <v>0</v>
          </cell>
          <cell r="CK1346">
            <v>0</v>
          </cell>
          <cell r="CL1346">
            <v>0</v>
          </cell>
        </row>
        <row r="1347">
          <cell r="B1347" t="str">
            <v>sustainable fashion</v>
          </cell>
          <cell r="D1347">
            <v>3.5</v>
          </cell>
          <cell r="K1347">
            <v>1.0225E-2</v>
          </cell>
          <cell r="CG1347">
            <v>0</v>
          </cell>
          <cell r="CH1347">
            <v>0</v>
          </cell>
          <cell r="CI1347">
            <v>0</v>
          </cell>
          <cell r="CJ1347">
            <v>0</v>
          </cell>
          <cell r="CK1347">
            <v>0</v>
          </cell>
          <cell r="CL1347">
            <v>0</v>
          </cell>
        </row>
        <row r="1348">
          <cell r="B1348" t="str">
            <v>sustainable fashion</v>
          </cell>
          <cell r="D1348">
            <v>3.5</v>
          </cell>
          <cell r="I1348">
            <v>9.5669000000000004</v>
          </cell>
          <cell r="K1348">
            <v>5.8534999999999997E-2</v>
          </cell>
          <cell r="CG1348">
            <v>0</v>
          </cell>
          <cell r="CH1348">
            <v>1</v>
          </cell>
          <cell r="CI1348">
            <v>0</v>
          </cell>
          <cell r="CJ1348">
            <v>0</v>
          </cell>
          <cell r="CK1348">
            <v>0</v>
          </cell>
          <cell r="CL1348">
            <v>0</v>
          </cell>
        </row>
        <row r="1349">
          <cell r="B1349" t="str">
            <v>sustainable fashion</v>
          </cell>
          <cell r="D1349">
            <v>3.5</v>
          </cell>
          <cell r="K1349">
            <v>1.0225E-2</v>
          </cell>
          <cell r="CG1349">
            <v>0</v>
          </cell>
          <cell r="CH1349">
            <v>0</v>
          </cell>
          <cell r="CI1349">
            <v>0</v>
          </cell>
          <cell r="CJ1349">
            <v>0</v>
          </cell>
          <cell r="CK1349">
            <v>0</v>
          </cell>
          <cell r="CL1349">
            <v>0</v>
          </cell>
        </row>
        <row r="1350">
          <cell r="B1350" t="str">
            <v>sustainable fashion</v>
          </cell>
          <cell r="D1350">
            <v>3.5</v>
          </cell>
          <cell r="I1350">
            <v>0.26489000000000001</v>
          </cell>
          <cell r="K1350">
            <v>4.7694E-2</v>
          </cell>
          <cell r="CG1350">
            <v>1</v>
          </cell>
          <cell r="CH1350">
            <v>1</v>
          </cell>
          <cell r="CI1350">
            <v>0</v>
          </cell>
          <cell r="CJ1350">
            <v>0</v>
          </cell>
          <cell r="CK1350">
            <v>0</v>
          </cell>
          <cell r="CL1350">
            <v>0</v>
          </cell>
        </row>
        <row r="1351">
          <cell r="B1351" t="str">
            <v>sustainable fashion</v>
          </cell>
          <cell r="D1351">
            <v>3.5</v>
          </cell>
          <cell r="I1351">
            <v>9.9397000000000002</v>
          </cell>
          <cell r="K1351">
            <v>8.6703000000000006E-3</v>
          </cell>
          <cell r="CG1351">
            <v>0</v>
          </cell>
          <cell r="CH1351">
            <v>0</v>
          </cell>
          <cell r="CI1351">
            <v>0</v>
          </cell>
          <cell r="CJ1351">
            <v>0</v>
          </cell>
          <cell r="CK1351">
            <v>0</v>
          </cell>
          <cell r="CL1351">
            <v>0</v>
          </cell>
        </row>
        <row r="1352">
          <cell r="B1352" t="str">
            <v>sustainable fashion</v>
          </cell>
          <cell r="D1352">
            <v>4.0999999999999996</v>
          </cell>
          <cell r="I1352">
            <v>4.6883999999999997</v>
          </cell>
          <cell r="K1352">
            <v>3.0806</v>
          </cell>
          <cell r="CG1352">
            <v>1</v>
          </cell>
          <cell r="CH1352">
            <v>1</v>
          </cell>
          <cell r="CI1352">
            <v>0</v>
          </cell>
          <cell r="CJ1352">
            <v>0</v>
          </cell>
          <cell r="CK1352">
            <v>0</v>
          </cell>
          <cell r="CL1352">
            <v>0</v>
          </cell>
        </row>
        <row r="1353">
          <cell r="B1353" t="str">
            <v>sustainable fashion</v>
          </cell>
          <cell r="D1353">
            <v>4.0999999999999996</v>
          </cell>
          <cell r="I1353">
            <v>0.55379</v>
          </cell>
          <cell r="K1353">
            <v>3.1865999999999999</v>
          </cell>
          <cell r="CG1353">
            <v>1</v>
          </cell>
          <cell r="CH1353">
            <v>1</v>
          </cell>
          <cell r="CI1353">
            <v>0</v>
          </cell>
          <cell r="CJ1353">
            <v>0</v>
          </cell>
          <cell r="CK1353">
            <v>0</v>
          </cell>
          <cell r="CL1353">
            <v>1</v>
          </cell>
        </row>
        <row r="1354">
          <cell r="B1354" t="str">
            <v>sustainable fashion</v>
          </cell>
          <cell r="D1354">
            <v>2.2999999999999998</v>
          </cell>
          <cell r="I1354">
            <v>0.33289999999999997</v>
          </cell>
          <cell r="K1354">
            <v>17961000</v>
          </cell>
          <cell r="CG1354">
            <v>1</v>
          </cell>
          <cell r="CH1354">
            <v>1</v>
          </cell>
          <cell r="CI1354">
            <v>0</v>
          </cell>
          <cell r="CJ1354">
            <v>0</v>
          </cell>
          <cell r="CK1354">
            <v>0</v>
          </cell>
          <cell r="CL1354">
            <v>1</v>
          </cell>
        </row>
        <row r="1355">
          <cell r="B1355" t="str">
            <v>sustainable fashion</v>
          </cell>
          <cell r="D1355">
            <v>2.2999999999999998</v>
          </cell>
          <cell r="I1355">
            <v>0.10657</v>
          </cell>
          <cell r="K1355">
            <v>2491300</v>
          </cell>
          <cell r="CG1355">
            <v>1</v>
          </cell>
          <cell r="CH1355">
            <v>1</v>
          </cell>
          <cell r="CI1355">
            <v>0</v>
          </cell>
          <cell r="CJ1355">
            <v>0</v>
          </cell>
          <cell r="CK1355">
            <v>0</v>
          </cell>
          <cell r="CL1355">
            <v>0</v>
          </cell>
        </row>
        <row r="1356">
          <cell r="B1356" t="str">
            <v>sustainable fashion</v>
          </cell>
          <cell r="D1356">
            <v>3.5</v>
          </cell>
          <cell r="I1356">
            <v>0.12272</v>
          </cell>
          <cell r="K1356">
            <v>0.50975000000000004</v>
          </cell>
          <cell r="CG1356">
            <v>1</v>
          </cell>
          <cell r="CH1356">
            <v>1</v>
          </cell>
          <cell r="CI1356">
            <v>0</v>
          </cell>
          <cell r="CJ1356">
            <v>0</v>
          </cell>
          <cell r="CK1356">
            <v>0</v>
          </cell>
          <cell r="CL1356">
            <v>1</v>
          </cell>
        </row>
        <row r="1357">
          <cell r="B1357" t="str">
            <v>sustainable fashion</v>
          </cell>
          <cell r="D1357">
            <v>3.5</v>
          </cell>
          <cell r="I1357">
            <v>1.8819999999999999</v>
          </cell>
          <cell r="K1357">
            <v>4.9144E-2</v>
          </cell>
          <cell r="CG1357">
            <v>0</v>
          </cell>
          <cell r="CH1357">
            <v>1</v>
          </cell>
          <cell r="CI1357">
            <v>0</v>
          </cell>
          <cell r="CJ1357">
            <v>0</v>
          </cell>
          <cell r="CK1357">
            <v>0</v>
          </cell>
          <cell r="CL1357">
            <v>0</v>
          </cell>
        </row>
        <row r="1358">
          <cell r="B1358" t="str">
            <v>sustainable fashion</v>
          </cell>
          <cell r="D1358">
            <v>3.5</v>
          </cell>
          <cell r="I1358">
            <v>1.7516</v>
          </cell>
          <cell r="K1358">
            <v>6.7984000000000003E-2</v>
          </cell>
          <cell r="CG1358">
            <v>0</v>
          </cell>
          <cell r="CH1358">
            <v>1</v>
          </cell>
          <cell r="CI1358">
            <v>0</v>
          </cell>
          <cell r="CJ1358">
            <v>0</v>
          </cell>
          <cell r="CK1358">
            <v>0</v>
          </cell>
          <cell r="CL1358">
            <v>0</v>
          </cell>
        </row>
        <row r="1359">
          <cell r="B1359" t="str">
            <v>sustainable fashion</v>
          </cell>
          <cell r="D1359">
            <v>3.5</v>
          </cell>
          <cell r="I1359">
            <v>20.975999999999999</v>
          </cell>
          <cell r="K1359">
            <v>4.9501000000000003E-2</v>
          </cell>
          <cell r="CG1359">
            <v>0</v>
          </cell>
          <cell r="CH1359">
            <v>1</v>
          </cell>
          <cell r="CI1359">
            <v>0</v>
          </cell>
          <cell r="CJ1359">
            <v>0</v>
          </cell>
          <cell r="CK1359">
            <v>0</v>
          </cell>
          <cell r="CL1359">
            <v>0</v>
          </cell>
        </row>
        <row r="1360">
          <cell r="B1360" t="str">
            <v>sustainable fashion</v>
          </cell>
          <cell r="D1360">
            <v>3.5</v>
          </cell>
          <cell r="I1360">
            <v>24.43</v>
          </cell>
          <cell r="K1360">
            <v>5.8192000000000001E-2</v>
          </cell>
          <cell r="CG1360">
            <v>0</v>
          </cell>
          <cell r="CH1360">
            <v>1</v>
          </cell>
          <cell r="CI1360">
            <v>0</v>
          </cell>
          <cell r="CJ1360">
            <v>0</v>
          </cell>
          <cell r="CK1360">
            <v>0</v>
          </cell>
          <cell r="CL1360">
            <v>0</v>
          </cell>
        </row>
        <row r="1361">
          <cell r="B1361" t="str">
            <v>sustainable fashion</v>
          </cell>
          <cell r="D1361">
            <v>3.5</v>
          </cell>
          <cell r="I1361">
            <v>1.3773</v>
          </cell>
          <cell r="K1361">
            <v>9.6706E-2</v>
          </cell>
          <cell r="CG1361">
            <v>0</v>
          </cell>
          <cell r="CH1361">
            <v>1</v>
          </cell>
          <cell r="CI1361">
            <v>0</v>
          </cell>
          <cell r="CJ1361">
            <v>0</v>
          </cell>
          <cell r="CK1361">
            <v>0</v>
          </cell>
          <cell r="CL1361">
            <v>0</v>
          </cell>
        </row>
        <row r="1362">
          <cell r="B1362" t="str">
            <v>sustainable fashion</v>
          </cell>
          <cell r="D1362">
            <v>3.5</v>
          </cell>
          <cell r="I1362">
            <v>0.11773</v>
          </cell>
          <cell r="K1362">
            <v>4.6247999999999996</v>
          </cell>
          <cell r="CG1362">
            <v>0</v>
          </cell>
          <cell r="CH1362">
            <v>0</v>
          </cell>
          <cell r="CI1362">
            <v>0</v>
          </cell>
          <cell r="CJ1362">
            <v>0</v>
          </cell>
          <cell r="CK1362">
            <v>0</v>
          </cell>
          <cell r="CL1362">
            <v>0</v>
          </cell>
        </row>
        <row r="1363">
          <cell r="B1363" t="str">
            <v>sustainable fashion</v>
          </cell>
          <cell r="D1363">
            <v>3.5</v>
          </cell>
          <cell r="I1363">
            <v>0.13142000000000001</v>
          </cell>
          <cell r="K1363">
            <v>0.47561999999999999</v>
          </cell>
          <cell r="CG1363">
            <v>0</v>
          </cell>
          <cell r="CH1363">
            <v>0</v>
          </cell>
          <cell r="CI1363">
            <v>0</v>
          </cell>
          <cell r="CJ1363">
            <v>0</v>
          </cell>
          <cell r="CK1363">
            <v>0</v>
          </cell>
          <cell r="CL1363">
            <v>0</v>
          </cell>
        </row>
        <row r="1364">
          <cell r="B1364" t="str">
            <v>sustainable fashion</v>
          </cell>
          <cell r="D1364">
            <v>3.5</v>
          </cell>
          <cell r="I1364">
            <v>0.12272</v>
          </cell>
          <cell r="K1364">
            <v>0.50975000000000004</v>
          </cell>
          <cell r="CG1364">
            <v>0</v>
          </cell>
          <cell r="CH1364">
            <v>0</v>
          </cell>
          <cell r="CI1364">
            <v>0</v>
          </cell>
          <cell r="CJ1364">
            <v>0</v>
          </cell>
          <cell r="CK1364">
            <v>0</v>
          </cell>
          <cell r="CL1364">
            <v>0</v>
          </cell>
        </row>
        <row r="1365">
          <cell r="B1365" t="str">
            <v>sustainable fashion</v>
          </cell>
          <cell r="D1365">
            <v>3.5</v>
          </cell>
          <cell r="I1365">
            <v>1.4219999999999999</v>
          </cell>
          <cell r="K1365">
            <v>4.6622999999999998E-2</v>
          </cell>
          <cell r="CG1365">
            <v>0</v>
          </cell>
          <cell r="CH1365">
            <v>0</v>
          </cell>
          <cell r="CI1365">
            <v>0</v>
          </cell>
          <cell r="CJ1365">
            <v>0</v>
          </cell>
          <cell r="CK1365">
            <v>0</v>
          </cell>
          <cell r="CL1365">
            <v>0</v>
          </cell>
        </row>
        <row r="1366">
          <cell r="B1366" t="str">
            <v>sustainable fashion</v>
          </cell>
          <cell r="D1366">
            <v>3.5</v>
          </cell>
          <cell r="I1366">
            <v>0.35171000000000002</v>
          </cell>
          <cell r="K1366">
            <v>0.35981999999999997</v>
          </cell>
          <cell r="CG1366">
            <v>1</v>
          </cell>
          <cell r="CH1366">
            <v>1</v>
          </cell>
          <cell r="CI1366">
            <v>0</v>
          </cell>
          <cell r="CJ1366">
            <v>0</v>
          </cell>
          <cell r="CK1366">
            <v>0</v>
          </cell>
          <cell r="CL1366">
            <v>0</v>
          </cell>
        </row>
        <row r="1367">
          <cell r="B1367" t="str">
            <v>sustainable fashion</v>
          </cell>
          <cell r="D1367">
            <v>3.5</v>
          </cell>
          <cell r="I1367">
            <v>0.95523000000000002</v>
          </cell>
          <cell r="K1367">
            <v>6.2368E-2</v>
          </cell>
          <cell r="CG1367">
            <v>0</v>
          </cell>
          <cell r="CH1367">
            <v>0</v>
          </cell>
          <cell r="CI1367">
            <v>0</v>
          </cell>
          <cell r="CJ1367">
            <v>0</v>
          </cell>
          <cell r="CK1367">
            <v>0</v>
          </cell>
          <cell r="CL1367">
            <v>0</v>
          </cell>
        </row>
        <row r="1368">
          <cell r="B1368" t="str">
            <v>sustainable fashion</v>
          </cell>
          <cell r="D1368">
            <v>3.5</v>
          </cell>
          <cell r="I1368">
            <v>0.26685999999999999</v>
          </cell>
          <cell r="K1368">
            <v>0.28106999999999999</v>
          </cell>
          <cell r="CG1368">
            <v>1</v>
          </cell>
          <cell r="CH1368">
            <v>1</v>
          </cell>
          <cell r="CI1368">
            <v>0</v>
          </cell>
          <cell r="CJ1368">
            <v>0</v>
          </cell>
          <cell r="CK1368">
            <v>0</v>
          </cell>
          <cell r="CL1368">
            <v>0</v>
          </cell>
        </row>
        <row r="1369">
          <cell r="B1369" t="str">
            <v>sustainable fashion</v>
          </cell>
          <cell r="D1369">
            <v>3.5</v>
          </cell>
          <cell r="I1369">
            <v>1.9912000000000001</v>
          </cell>
          <cell r="K1369">
            <v>3.5756000000000003E-2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</row>
        <row r="1370">
          <cell r="B1370" t="str">
            <v>sustainable fashion</v>
          </cell>
          <cell r="D1370">
            <v>3.5</v>
          </cell>
          <cell r="I1370">
            <v>0.17491000000000001</v>
          </cell>
          <cell r="K1370">
            <v>0.39483000000000001</v>
          </cell>
          <cell r="CG1370">
            <v>1</v>
          </cell>
          <cell r="CH1370">
            <v>1</v>
          </cell>
          <cell r="CI1370">
            <v>0</v>
          </cell>
          <cell r="CJ1370">
            <v>0</v>
          </cell>
          <cell r="CK1370">
            <v>0</v>
          </cell>
          <cell r="CL1370">
            <v>0</v>
          </cell>
        </row>
        <row r="1371">
          <cell r="B1371" t="str">
            <v>sustainable fashion</v>
          </cell>
          <cell r="D1371">
            <v>3.5</v>
          </cell>
          <cell r="I1371">
            <v>1.3573999999999999</v>
          </cell>
          <cell r="K1371">
            <v>4.1794999999999999E-2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</row>
        <row r="1372">
          <cell r="B1372" t="str">
            <v>sustainable fashion</v>
          </cell>
          <cell r="D1372">
            <v>3.5</v>
          </cell>
          <cell r="I1372">
            <v>0.25385999999999997</v>
          </cell>
          <cell r="K1372">
            <v>0.54374</v>
          </cell>
          <cell r="CG1372">
            <v>1</v>
          </cell>
          <cell r="CH1372">
            <v>1</v>
          </cell>
          <cell r="CI1372">
            <v>0</v>
          </cell>
          <cell r="CJ1372">
            <v>0</v>
          </cell>
          <cell r="CK1372">
            <v>0</v>
          </cell>
          <cell r="CL1372">
            <v>0</v>
          </cell>
        </row>
        <row r="1373">
          <cell r="B1373" t="str">
            <v>sustainable fashion</v>
          </cell>
          <cell r="D1373">
            <v>3.5</v>
          </cell>
          <cell r="I1373">
            <v>0.57523999999999997</v>
          </cell>
          <cell r="K1373">
            <v>6.8308999999999995E-2</v>
          </cell>
          <cell r="CG1373">
            <v>0</v>
          </cell>
          <cell r="CH1373">
            <v>0</v>
          </cell>
          <cell r="CI1373">
            <v>0</v>
          </cell>
          <cell r="CJ1373">
            <v>0</v>
          </cell>
          <cell r="CK1373">
            <v>0</v>
          </cell>
          <cell r="CL1373">
            <v>0</v>
          </cell>
        </row>
        <row r="1374">
          <cell r="B1374" t="str">
            <v>sustainable fashion</v>
          </cell>
          <cell r="D1374">
            <v>4.0999999999999996</v>
          </cell>
          <cell r="I1374">
            <v>0.75893999999999995</v>
          </cell>
          <cell r="K1374">
            <v>5.2603</v>
          </cell>
          <cell r="CG1374">
            <v>1</v>
          </cell>
          <cell r="CH1374">
            <v>1</v>
          </cell>
          <cell r="CI1374">
            <v>0</v>
          </cell>
          <cell r="CJ1374">
            <v>0</v>
          </cell>
          <cell r="CK1374">
            <v>0</v>
          </cell>
          <cell r="CL1374">
            <v>0</v>
          </cell>
        </row>
        <row r="1375">
          <cell r="B1375" t="str">
            <v>sustainable fashion</v>
          </cell>
          <cell r="D1375">
            <v>4.0999999999999996</v>
          </cell>
          <cell r="I1375">
            <v>0.49206</v>
          </cell>
          <cell r="K1375">
            <v>5.4008000000000003</v>
          </cell>
          <cell r="CG1375">
            <v>1</v>
          </cell>
          <cell r="CH1375">
            <v>1</v>
          </cell>
          <cell r="CI1375">
            <v>0</v>
          </cell>
          <cell r="CJ1375">
            <v>0</v>
          </cell>
          <cell r="CK1375">
            <v>0</v>
          </cell>
          <cell r="CL1375">
            <v>1</v>
          </cell>
        </row>
        <row r="1376">
          <cell r="B1376" t="str">
            <v>sustainable fashion</v>
          </cell>
          <cell r="D1376">
            <v>2.2999999999999998</v>
          </cell>
          <cell r="I1376">
            <v>6.9855E-2</v>
          </cell>
          <cell r="K1376">
            <v>23064000</v>
          </cell>
          <cell r="CG1376">
            <v>1</v>
          </cell>
          <cell r="CH1376">
            <v>1</v>
          </cell>
          <cell r="CI1376">
            <v>0</v>
          </cell>
          <cell r="CJ1376">
            <v>0</v>
          </cell>
          <cell r="CK1376">
            <v>0</v>
          </cell>
          <cell r="CL1376">
            <v>1</v>
          </cell>
        </row>
        <row r="1377">
          <cell r="B1377" t="str">
            <v>sustainable fashion</v>
          </cell>
          <cell r="D1377">
            <v>2.2999999999999998</v>
          </cell>
          <cell r="I1377">
            <v>5.5196000000000002E-2</v>
          </cell>
          <cell r="K1377">
            <v>320550</v>
          </cell>
          <cell r="CG1377">
            <v>1</v>
          </cell>
          <cell r="CH1377">
            <v>1</v>
          </cell>
          <cell r="CI1377">
            <v>0</v>
          </cell>
          <cell r="CJ1377">
            <v>0</v>
          </cell>
          <cell r="CK1377">
            <v>0</v>
          </cell>
          <cell r="CL1377">
            <v>0</v>
          </cell>
        </row>
        <row r="1378">
          <cell r="B1378" t="str">
            <v>sustainable fashion</v>
          </cell>
          <cell r="D1378">
            <v>3.5</v>
          </cell>
          <cell r="I1378">
            <v>0.18862000000000001</v>
          </cell>
          <cell r="K1378">
            <v>0.89315</v>
          </cell>
          <cell r="CG1378">
            <v>1</v>
          </cell>
          <cell r="CH1378">
            <v>1</v>
          </cell>
          <cell r="CI1378">
            <v>0</v>
          </cell>
          <cell r="CJ1378">
            <v>0</v>
          </cell>
          <cell r="CK1378">
            <v>0</v>
          </cell>
          <cell r="CL1378">
            <v>1</v>
          </cell>
        </row>
        <row r="1379">
          <cell r="B1379" t="str">
            <v>sustainable fashion</v>
          </cell>
          <cell r="D1379">
            <v>3.5</v>
          </cell>
          <cell r="I1379">
            <v>0.28833999999999999</v>
          </cell>
          <cell r="K1379">
            <v>7.3122999999999994E-2</v>
          </cell>
          <cell r="CG1379">
            <v>0</v>
          </cell>
          <cell r="CH1379">
            <v>1</v>
          </cell>
          <cell r="CI1379">
            <v>0</v>
          </cell>
          <cell r="CJ1379">
            <v>0</v>
          </cell>
          <cell r="CK1379">
            <v>0</v>
          </cell>
          <cell r="CL1379">
            <v>0</v>
          </cell>
        </row>
        <row r="1380">
          <cell r="B1380" t="str">
            <v>sustainable fashion</v>
          </cell>
          <cell r="D1380">
            <v>3.5</v>
          </cell>
          <cell r="I1380">
            <v>0.32740999999999998</v>
          </cell>
          <cell r="K1380">
            <v>0.10791000000000001</v>
          </cell>
          <cell r="CG1380">
            <v>1</v>
          </cell>
          <cell r="CH1380">
            <v>1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</row>
        <row r="1381">
          <cell r="B1381" t="str">
            <v>sustainable fashion</v>
          </cell>
          <cell r="D1381">
            <v>3.5</v>
          </cell>
          <cell r="I1381">
            <v>0.40095999999999998</v>
          </cell>
          <cell r="K1381">
            <v>0.39344000000000001</v>
          </cell>
          <cell r="CG1381">
            <v>1</v>
          </cell>
          <cell r="CH1381">
            <v>1</v>
          </cell>
          <cell r="CI1381">
            <v>0</v>
          </cell>
          <cell r="CJ1381">
            <v>0</v>
          </cell>
          <cell r="CK1381">
            <v>0</v>
          </cell>
          <cell r="CL1381">
            <v>0</v>
          </cell>
        </row>
        <row r="1382">
          <cell r="B1382" t="str">
            <v>sustainable fashion</v>
          </cell>
          <cell r="D1382">
            <v>3.5</v>
          </cell>
          <cell r="I1382">
            <v>0.39195999999999998</v>
          </cell>
          <cell r="K1382">
            <v>0.40505999999999998</v>
          </cell>
          <cell r="CG1382">
            <v>1</v>
          </cell>
          <cell r="CH1382">
            <v>1</v>
          </cell>
          <cell r="CI1382">
            <v>0</v>
          </cell>
          <cell r="CJ1382">
            <v>0</v>
          </cell>
          <cell r="CK1382">
            <v>0</v>
          </cell>
          <cell r="CL1382">
            <v>0</v>
          </cell>
        </row>
        <row r="1383">
          <cell r="B1383" t="str">
            <v>sustainable fashion</v>
          </cell>
          <cell r="D1383">
            <v>3.5</v>
          </cell>
          <cell r="I1383">
            <v>0.29607</v>
          </cell>
          <cell r="K1383">
            <v>0.13650000000000001</v>
          </cell>
          <cell r="CG1383">
            <v>1</v>
          </cell>
          <cell r="CH1383">
            <v>1</v>
          </cell>
          <cell r="CI1383">
            <v>0</v>
          </cell>
          <cell r="CJ1383">
            <v>0</v>
          </cell>
          <cell r="CK1383">
            <v>0</v>
          </cell>
          <cell r="CL1383">
            <v>0</v>
          </cell>
        </row>
        <row r="1384">
          <cell r="B1384" t="str">
            <v>sustainable fashion</v>
          </cell>
          <cell r="D1384">
            <v>3.5</v>
          </cell>
          <cell r="I1384">
            <v>0.21360999999999999</v>
          </cell>
          <cell r="K1384">
            <v>7.1542000000000003</v>
          </cell>
          <cell r="CG1384">
            <v>0</v>
          </cell>
          <cell r="CH1384">
            <v>0</v>
          </cell>
          <cell r="CI1384">
            <v>0</v>
          </cell>
          <cell r="CJ1384">
            <v>0</v>
          </cell>
          <cell r="CK1384">
            <v>0</v>
          </cell>
          <cell r="CL1384">
            <v>0</v>
          </cell>
        </row>
        <row r="1385">
          <cell r="B1385" t="str">
            <v>sustainable fashion</v>
          </cell>
          <cell r="D1385">
            <v>3.5</v>
          </cell>
          <cell r="I1385">
            <v>0.18418000000000001</v>
          </cell>
          <cell r="K1385">
            <v>0.84967999999999999</v>
          </cell>
          <cell r="CG1385">
            <v>0</v>
          </cell>
          <cell r="CH1385">
            <v>0</v>
          </cell>
          <cell r="CI1385">
            <v>0</v>
          </cell>
          <cell r="CJ1385">
            <v>0</v>
          </cell>
          <cell r="CK1385">
            <v>0</v>
          </cell>
          <cell r="CL1385">
            <v>0</v>
          </cell>
        </row>
        <row r="1386">
          <cell r="B1386" t="str">
            <v>sustainable fashion</v>
          </cell>
          <cell r="D1386">
            <v>3.5</v>
          </cell>
          <cell r="I1386">
            <v>0.18862000000000001</v>
          </cell>
          <cell r="K1386">
            <v>0.89315</v>
          </cell>
          <cell r="CG1386">
            <v>0</v>
          </cell>
          <cell r="CH1386">
            <v>0</v>
          </cell>
          <cell r="CI1386">
            <v>0</v>
          </cell>
          <cell r="CJ1386">
            <v>0</v>
          </cell>
          <cell r="CK1386">
            <v>0</v>
          </cell>
          <cell r="CL1386">
            <v>0</v>
          </cell>
        </row>
        <row r="1387">
          <cell r="B1387" t="str">
            <v>sustainable fashion</v>
          </cell>
          <cell r="D1387">
            <v>3.5</v>
          </cell>
          <cell r="I1387">
            <v>0.12005</v>
          </cell>
          <cell r="K1387">
            <v>8.5973999999999995E-2</v>
          </cell>
          <cell r="CG1387">
            <v>0</v>
          </cell>
          <cell r="CH1387">
            <v>0</v>
          </cell>
          <cell r="CI1387">
            <v>0</v>
          </cell>
          <cell r="CJ1387">
            <v>0</v>
          </cell>
          <cell r="CK1387">
            <v>0</v>
          </cell>
          <cell r="CL1387">
            <v>0</v>
          </cell>
        </row>
        <row r="1388">
          <cell r="B1388" t="str">
            <v>sustainable fashion</v>
          </cell>
          <cell r="D1388">
            <v>3.5</v>
          </cell>
          <cell r="I1388">
            <v>0.29189999999999999</v>
          </cell>
          <cell r="K1388">
            <v>0.73873999999999995</v>
          </cell>
          <cell r="CG1388">
            <v>1</v>
          </cell>
          <cell r="CH1388">
            <v>1</v>
          </cell>
          <cell r="CI1388">
            <v>0</v>
          </cell>
          <cell r="CJ1388">
            <v>0</v>
          </cell>
          <cell r="CK1388">
            <v>0</v>
          </cell>
          <cell r="CL1388">
            <v>0</v>
          </cell>
        </row>
        <row r="1389">
          <cell r="B1389" t="str">
            <v>sustainable fashion</v>
          </cell>
          <cell r="D1389">
            <v>3.5</v>
          </cell>
          <cell r="I1389">
            <v>0.23597000000000001</v>
          </cell>
          <cell r="K1389">
            <v>9.7885E-2</v>
          </cell>
          <cell r="CG1389">
            <v>0</v>
          </cell>
          <cell r="CH1389">
            <v>0</v>
          </cell>
          <cell r="CI1389">
            <v>0</v>
          </cell>
          <cell r="CJ1389">
            <v>0</v>
          </cell>
          <cell r="CK1389">
            <v>0</v>
          </cell>
          <cell r="CL1389">
            <v>0</v>
          </cell>
        </row>
        <row r="1390">
          <cell r="B1390" t="str">
            <v>sustainable fashion</v>
          </cell>
          <cell r="D1390">
            <v>3.5</v>
          </cell>
          <cell r="I1390">
            <v>0.39560000000000001</v>
          </cell>
          <cell r="K1390">
            <v>1.2075</v>
          </cell>
          <cell r="CG1390">
            <v>1</v>
          </cell>
          <cell r="CH1390">
            <v>1</v>
          </cell>
          <cell r="CI1390">
            <v>0</v>
          </cell>
          <cell r="CJ1390">
            <v>0</v>
          </cell>
          <cell r="CK1390">
            <v>0</v>
          </cell>
          <cell r="CL1390">
            <v>0</v>
          </cell>
        </row>
        <row r="1391">
          <cell r="B1391" t="str">
            <v>sustainable fashion</v>
          </cell>
          <cell r="D1391">
            <v>3.5</v>
          </cell>
          <cell r="I1391">
            <v>0.40095999999999998</v>
          </cell>
          <cell r="K1391">
            <v>0.39344000000000001</v>
          </cell>
          <cell r="CG1391">
            <v>0</v>
          </cell>
          <cell r="CH1391">
            <v>0</v>
          </cell>
          <cell r="CI1391">
            <v>0</v>
          </cell>
          <cell r="CJ1391">
            <v>0</v>
          </cell>
          <cell r="CK1391">
            <v>0</v>
          </cell>
          <cell r="CL1391">
            <v>0</v>
          </cell>
        </row>
        <row r="1392">
          <cell r="B1392" t="str">
            <v>sustainable fashion</v>
          </cell>
          <cell r="D1392">
            <v>3.5</v>
          </cell>
          <cell r="I1392">
            <v>0.30603000000000002</v>
          </cell>
          <cell r="K1392">
            <v>1.5518000000000001</v>
          </cell>
          <cell r="CG1392">
            <v>1</v>
          </cell>
          <cell r="CH1392">
            <v>1</v>
          </cell>
          <cell r="CI1392">
            <v>0</v>
          </cell>
          <cell r="CJ1392">
            <v>0</v>
          </cell>
          <cell r="CK1392">
            <v>0</v>
          </cell>
          <cell r="CL1392">
            <v>0</v>
          </cell>
        </row>
        <row r="1393">
          <cell r="B1393" t="str">
            <v>sustainable fashion</v>
          </cell>
          <cell r="D1393">
            <v>3.5</v>
          </cell>
          <cell r="I1393">
            <v>0.39195999999999998</v>
          </cell>
          <cell r="K1393">
            <v>0.40505999999999998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</row>
        <row r="1394">
          <cell r="B1394" t="str">
            <v>sustainable fashion</v>
          </cell>
          <cell r="D1394">
            <v>3.5</v>
          </cell>
          <cell r="I1394">
            <v>0.26690000000000003</v>
          </cell>
          <cell r="K1394">
            <v>0.97602</v>
          </cell>
          <cell r="CG1394">
            <v>1</v>
          </cell>
          <cell r="CH1394">
            <v>1</v>
          </cell>
          <cell r="CI1394">
            <v>0</v>
          </cell>
          <cell r="CJ1394">
            <v>0</v>
          </cell>
          <cell r="CK1394">
            <v>0</v>
          </cell>
          <cell r="CL1394">
            <v>0</v>
          </cell>
        </row>
        <row r="1395">
          <cell r="B1395" t="str">
            <v>sustainable fashion</v>
          </cell>
          <cell r="D1395">
            <v>3.5</v>
          </cell>
          <cell r="I1395">
            <v>0.17962</v>
          </cell>
          <cell r="K1395">
            <v>0.11855</v>
          </cell>
          <cell r="CG1395">
            <v>0</v>
          </cell>
          <cell r="CH1395">
            <v>0</v>
          </cell>
          <cell r="CI1395">
            <v>0</v>
          </cell>
          <cell r="CJ1395">
            <v>0</v>
          </cell>
          <cell r="CK1395">
            <v>0</v>
          </cell>
          <cell r="CL1395">
            <v>0</v>
          </cell>
        </row>
        <row r="1396">
          <cell r="B1396" t="str">
            <v>sustainable fashion</v>
          </cell>
          <cell r="D1396">
            <v>4.0999999999999996</v>
          </cell>
          <cell r="I1396">
            <v>0.51853000000000005</v>
          </cell>
          <cell r="K1396">
            <v>5.3407</v>
          </cell>
          <cell r="CG1396">
            <v>1</v>
          </cell>
          <cell r="CH1396">
            <v>1</v>
          </cell>
          <cell r="CI1396">
            <v>0</v>
          </cell>
          <cell r="CJ1396">
            <v>0</v>
          </cell>
          <cell r="CK1396">
            <v>0</v>
          </cell>
          <cell r="CL1396">
            <v>0</v>
          </cell>
        </row>
        <row r="1397">
          <cell r="B1397" t="str">
            <v>sustainable fashion</v>
          </cell>
          <cell r="D1397">
            <v>4.0999999999999996</v>
          </cell>
          <cell r="I1397">
            <v>0.37602000000000002</v>
          </cell>
          <cell r="K1397">
            <v>5.0754000000000001</v>
          </cell>
          <cell r="CG1397">
            <v>1</v>
          </cell>
          <cell r="CH1397">
            <v>1</v>
          </cell>
          <cell r="CI1397">
            <v>0</v>
          </cell>
          <cell r="CJ1397">
            <v>0</v>
          </cell>
          <cell r="CK1397">
            <v>0</v>
          </cell>
          <cell r="CL1397">
            <v>1</v>
          </cell>
        </row>
        <row r="1398">
          <cell r="B1398" t="str">
            <v>teleworking</v>
          </cell>
          <cell r="D1398">
            <v>1.1000000000000001</v>
          </cell>
          <cell r="I1398">
            <v>0.18110999999999999</v>
          </cell>
          <cell r="K1398">
            <v>4.6303000000000004E-3</v>
          </cell>
          <cell r="CG1398">
            <v>0</v>
          </cell>
          <cell r="CH1398">
            <v>1</v>
          </cell>
          <cell r="CI1398">
            <v>0</v>
          </cell>
          <cell r="CJ1398">
            <v>0</v>
          </cell>
          <cell r="CK1398">
            <v>0</v>
          </cell>
          <cell r="CL1398">
            <v>0</v>
          </cell>
        </row>
        <row r="1399">
          <cell r="B1399" t="str">
            <v>teleworking</v>
          </cell>
          <cell r="D1399">
            <v>1.1000000000000001</v>
          </cell>
          <cell r="I1399">
            <v>-1.4532E-2</v>
          </cell>
          <cell r="K1399">
            <v>-1.4285999999999999E-3</v>
          </cell>
          <cell r="CG1399">
            <v>1</v>
          </cell>
          <cell r="CH1399">
            <v>1</v>
          </cell>
          <cell r="CI1399">
            <v>0</v>
          </cell>
          <cell r="CJ1399">
            <v>1</v>
          </cell>
          <cell r="CK1399">
            <v>0</v>
          </cell>
          <cell r="CL1399">
            <v>0</v>
          </cell>
          <cell r="CM1399" t="str">
            <v>declining to 2019</v>
          </cell>
        </row>
        <row r="1400">
          <cell r="B1400" t="str">
            <v>teleworking</v>
          </cell>
          <cell r="D1400">
            <v>1.1000000000000001</v>
          </cell>
          <cell r="I1400">
            <v>0.18110999999999999</v>
          </cell>
          <cell r="K1400">
            <v>4.6303000000000004E-3</v>
          </cell>
          <cell r="CG1400">
            <v>0</v>
          </cell>
          <cell r="CH1400">
            <v>1</v>
          </cell>
          <cell r="CI1400">
            <v>0</v>
          </cell>
          <cell r="CJ1400">
            <v>0</v>
          </cell>
          <cell r="CK1400">
            <v>0</v>
          </cell>
          <cell r="CL1400">
            <v>0</v>
          </cell>
          <cell r="CM1400" t="str">
            <v>full market share indicator includes covid</v>
          </cell>
        </row>
        <row r="1401">
          <cell r="B1401" t="str">
            <v>teleworking</v>
          </cell>
          <cell r="D1401">
            <v>3.2</v>
          </cell>
          <cell r="I1401">
            <v>0.17854999999999999</v>
          </cell>
          <cell r="K1401">
            <v>4.2909000000000003E-3</v>
          </cell>
          <cell r="CG1401">
            <v>0</v>
          </cell>
          <cell r="CH1401">
            <v>0</v>
          </cell>
          <cell r="CI1401">
            <v>0</v>
          </cell>
          <cell r="CJ1401">
            <v>0</v>
          </cell>
          <cell r="CK1401">
            <v>0</v>
          </cell>
          <cell r="CL1401">
            <v>1</v>
          </cell>
        </row>
        <row r="1402">
          <cell r="B1402" t="str">
            <v>teleworking</v>
          </cell>
          <cell r="D1402">
            <v>3.2</v>
          </cell>
          <cell r="I1402">
            <v>0.19005</v>
          </cell>
          <cell r="K1402">
            <v>4.9455000000000002E-3</v>
          </cell>
          <cell r="CG1402">
            <v>0</v>
          </cell>
          <cell r="CH1402">
            <v>0</v>
          </cell>
          <cell r="CI1402">
            <v>0</v>
          </cell>
          <cell r="CJ1402">
            <v>0</v>
          </cell>
          <cell r="CK1402">
            <v>0</v>
          </cell>
          <cell r="CL1402">
            <v>0</v>
          </cell>
        </row>
        <row r="1403">
          <cell r="B1403" t="str">
            <v>teleworking</v>
          </cell>
          <cell r="D1403">
            <v>3.5</v>
          </cell>
          <cell r="I1403">
            <v>0.26408999999999999</v>
          </cell>
          <cell r="K1403">
            <v>3.2938000000000002E-2</v>
          </cell>
          <cell r="CG1403">
            <v>1</v>
          </cell>
          <cell r="CH1403">
            <v>1</v>
          </cell>
          <cell r="CI1403">
            <v>0</v>
          </cell>
          <cell r="CJ1403">
            <v>0</v>
          </cell>
          <cell r="CK1403">
            <v>0</v>
          </cell>
          <cell r="CL1403">
            <v>1</v>
          </cell>
        </row>
        <row r="1404">
          <cell r="B1404" t="str">
            <v>teleworking</v>
          </cell>
          <cell r="D1404">
            <v>3.5</v>
          </cell>
          <cell r="I1404">
            <v>51.36</v>
          </cell>
          <cell r="K1404">
            <v>4.2161000000000004E-3</v>
          </cell>
          <cell r="CG1404">
            <v>0</v>
          </cell>
          <cell r="CH1404">
            <v>1</v>
          </cell>
          <cell r="CI1404">
            <v>0</v>
          </cell>
          <cell r="CJ1404">
            <v>0</v>
          </cell>
          <cell r="CK1404">
            <v>0</v>
          </cell>
          <cell r="CL1404">
            <v>0</v>
          </cell>
        </row>
        <row r="1405">
          <cell r="B1405" t="str">
            <v>teleworking</v>
          </cell>
          <cell r="D1405">
            <v>3.5</v>
          </cell>
          <cell r="I1405">
            <v>52.595999999999997</v>
          </cell>
          <cell r="K1405">
            <v>4.6112999999999996E-3</v>
          </cell>
          <cell r="CG1405">
            <v>0</v>
          </cell>
          <cell r="CH1405">
            <v>1</v>
          </cell>
          <cell r="CI1405">
            <v>0</v>
          </cell>
          <cell r="CJ1405">
            <v>0</v>
          </cell>
          <cell r="CK1405">
            <v>0</v>
          </cell>
          <cell r="CL1405">
            <v>0</v>
          </cell>
        </row>
        <row r="1406">
          <cell r="B1406" t="str">
            <v>teleworking</v>
          </cell>
          <cell r="D1406">
            <v>3.5</v>
          </cell>
          <cell r="I1406">
            <v>27.370999999999999</v>
          </cell>
          <cell r="K1406">
            <v>3.7582000000000002E-3</v>
          </cell>
          <cell r="CG1406">
            <v>0</v>
          </cell>
          <cell r="CH1406">
            <v>1</v>
          </cell>
          <cell r="CI1406">
            <v>0</v>
          </cell>
          <cell r="CJ1406">
            <v>0</v>
          </cell>
          <cell r="CK1406">
            <v>0</v>
          </cell>
          <cell r="CL1406">
            <v>0</v>
          </cell>
        </row>
        <row r="1407">
          <cell r="B1407" t="str">
            <v>teleworking</v>
          </cell>
          <cell r="D1407">
            <v>3.5</v>
          </cell>
          <cell r="I1407">
            <v>27.370999999999999</v>
          </cell>
          <cell r="K1407">
            <v>3.7582000000000002E-3</v>
          </cell>
          <cell r="CG1407">
            <v>0</v>
          </cell>
          <cell r="CH1407">
            <v>1</v>
          </cell>
          <cell r="CI1407">
            <v>0</v>
          </cell>
          <cell r="CJ1407">
            <v>0</v>
          </cell>
          <cell r="CK1407">
            <v>0</v>
          </cell>
          <cell r="CL1407">
            <v>0</v>
          </cell>
        </row>
        <row r="1408">
          <cell r="B1408" t="str">
            <v>teleworking</v>
          </cell>
          <cell r="D1408">
            <v>3.5</v>
          </cell>
          <cell r="I1408">
            <v>52.595999999999997</v>
          </cell>
          <cell r="K1408">
            <v>4.6112999999999996E-3</v>
          </cell>
          <cell r="CG1408">
            <v>0</v>
          </cell>
          <cell r="CH1408">
            <v>1</v>
          </cell>
          <cell r="CI1408">
            <v>0</v>
          </cell>
          <cell r="CJ1408">
            <v>0</v>
          </cell>
          <cell r="CK1408">
            <v>0</v>
          </cell>
          <cell r="CL1408">
            <v>0</v>
          </cell>
        </row>
        <row r="1409">
          <cell r="B1409" t="str">
            <v>teleworking</v>
          </cell>
          <cell r="D1409">
            <v>3.5</v>
          </cell>
          <cell r="I1409">
            <v>0.34090999999999999</v>
          </cell>
          <cell r="K1409">
            <v>0.17918000000000001</v>
          </cell>
          <cell r="CG1409">
            <v>0</v>
          </cell>
          <cell r="CH1409">
            <v>0</v>
          </cell>
          <cell r="CI1409">
            <v>0</v>
          </cell>
          <cell r="CJ1409">
            <v>0</v>
          </cell>
          <cell r="CK1409">
            <v>0</v>
          </cell>
          <cell r="CL1409">
            <v>0</v>
          </cell>
        </row>
        <row r="1410">
          <cell r="B1410" t="str">
            <v>teleworking</v>
          </cell>
          <cell r="D1410">
            <v>3.5</v>
          </cell>
          <cell r="I1410">
            <v>8.4277999999999995</v>
          </cell>
          <cell r="K1410">
            <v>2.6276000000000001E-2</v>
          </cell>
          <cell r="CG1410">
            <v>0</v>
          </cell>
          <cell r="CH1410">
            <v>0</v>
          </cell>
          <cell r="CI1410">
            <v>0</v>
          </cell>
          <cell r="CJ1410">
            <v>0</v>
          </cell>
          <cell r="CK1410">
            <v>0</v>
          </cell>
          <cell r="CL1410">
            <v>0</v>
          </cell>
        </row>
        <row r="1411">
          <cell r="B1411" t="str">
            <v>teleworking</v>
          </cell>
          <cell r="D1411">
            <v>3.5</v>
          </cell>
          <cell r="I1411">
            <v>0.26408999999999999</v>
          </cell>
          <cell r="K1411">
            <v>3.2938000000000002E-2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</row>
        <row r="1412">
          <cell r="B1412" t="str">
            <v>teleworking</v>
          </cell>
          <cell r="D1412">
            <v>3.5</v>
          </cell>
          <cell r="I1412">
            <v>18.126000000000001</v>
          </cell>
          <cell r="K1412">
            <v>4.7619000000000003E-3</v>
          </cell>
          <cell r="CG1412">
            <v>0</v>
          </cell>
          <cell r="CH1412">
            <v>0</v>
          </cell>
          <cell r="CI1412">
            <v>0</v>
          </cell>
          <cell r="CJ1412">
            <v>0</v>
          </cell>
          <cell r="CK1412">
            <v>0</v>
          </cell>
          <cell r="CL1412">
            <v>0</v>
          </cell>
        </row>
        <row r="1413">
          <cell r="B1413" t="str">
            <v>teleworking</v>
          </cell>
          <cell r="D1413">
            <v>3.5</v>
          </cell>
          <cell r="I1413">
            <v>0.45399</v>
          </cell>
          <cell r="K1413">
            <v>2.7799999999999998E-2</v>
          </cell>
          <cell r="CG1413">
            <v>0</v>
          </cell>
          <cell r="CH1413">
            <v>1</v>
          </cell>
          <cell r="CI1413">
            <v>0</v>
          </cell>
          <cell r="CJ1413">
            <v>0</v>
          </cell>
          <cell r="CK1413">
            <v>0</v>
          </cell>
          <cell r="CL1413">
            <v>0</v>
          </cell>
        </row>
        <row r="1414">
          <cell r="B1414" t="str">
            <v>teleworking</v>
          </cell>
          <cell r="D1414">
            <v>3.5</v>
          </cell>
          <cell r="I1414">
            <v>18.106999999999999</v>
          </cell>
          <cell r="K1414">
            <v>4.0486000000000003E-3</v>
          </cell>
          <cell r="CG1414">
            <v>0</v>
          </cell>
          <cell r="CH1414">
            <v>0</v>
          </cell>
          <cell r="CI1414">
            <v>0</v>
          </cell>
          <cell r="CJ1414">
            <v>0</v>
          </cell>
          <cell r="CK1414">
            <v>0</v>
          </cell>
          <cell r="CL1414">
            <v>0</v>
          </cell>
        </row>
        <row r="1415">
          <cell r="B1415" t="str">
            <v>teleworking</v>
          </cell>
          <cell r="D1415">
            <v>3.5</v>
          </cell>
          <cell r="I1415">
            <v>6.5457000000000001</v>
          </cell>
          <cell r="K1415">
            <v>2.7345999999999999E-2</v>
          </cell>
          <cell r="CG1415">
            <v>0</v>
          </cell>
          <cell r="CH1415">
            <v>1</v>
          </cell>
          <cell r="CI1415">
            <v>0</v>
          </cell>
          <cell r="CJ1415">
            <v>0</v>
          </cell>
          <cell r="CK1415">
            <v>0</v>
          </cell>
          <cell r="CL1415">
            <v>0</v>
          </cell>
        </row>
        <row r="1416">
          <cell r="B1416" t="str">
            <v>teleworking</v>
          </cell>
          <cell r="D1416">
            <v>3.5</v>
          </cell>
          <cell r="I1416">
            <v>18.16</v>
          </cell>
          <cell r="K1416">
            <v>4.7296999999999999E-3</v>
          </cell>
          <cell r="CG1416">
            <v>0</v>
          </cell>
          <cell r="CH1416">
            <v>0</v>
          </cell>
          <cell r="CI1416">
            <v>0</v>
          </cell>
          <cell r="CJ1416">
            <v>0</v>
          </cell>
          <cell r="CK1416">
            <v>0</v>
          </cell>
          <cell r="CL1416">
            <v>0</v>
          </cell>
        </row>
        <row r="1417">
          <cell r="B1417" t="str">
            <v>teleworking</v>
          </cell>
          <cell r="D1417">
            <v>3.5</v>
          </cell>
          <cell r="I1417">
            <v>6.5457000000000001</v>
          </cell>
          <cell r="K1417">
            <v>2.7345999999999999E-2</v>
          </cell>
          <cell r="CG1417">
            <v>0</v>
          </cell>
          <cell r="CH1417">
            <v>1</v>
          </cell>
          <cell r="CI1417">
            <v>0</v>
          </cell>
          <cell r="CJ1417">
            <v>0</v>
          </cell>
          <cell r="CK1417">
            <v>0</v>
          </cell>
          <cell r="CL1417">
            <v>0</v>
          </cell>
        </row>
        <row r="1418">
          <cell r="B1418" t="str">
            <v>teleworking</v>
          </cell>
          <cell r="D1418">
            <v>3.5</v>
          </cell>
          <cell r="I1418">
            <v>18.16</v>
          </cell>
          <cell r="K1418">
            <v>4.7296999999999999E-3</v>
          </cell>
          <cell r="CG1418">
            <v>0</v>
          </cell>
          <cell r="CH1418">
            <v>0</v>
          </cell>
          <cell r="CI1418">
            <v>0</v>
          </cell>
          <cell r="CJ1418">
            <v>0</v>
          </cell>
          <cell r="CK1418">
            <v>0</v>
          </cell>
          <cell r="CL1418">
            <v>0</v>
          </cell>
        </row>
        <row r="1419">
          <cell r="B1419" t="str">
            <v>teleworking</v>
          </cell>
          <cell r="D1419">
            <v>3.5</v>
          </cell>
          <cell r="I1419">
            <v>0.45399</v>
          </cell>
          <cell r="K1419">
            <v>2.7799999999999998E-2</v>
          </cell>
          <cell r="CG1419">
            <v>0</v>
          </cell>
          <cell r="CH1419">
            <v>1</v>
          </cell>
          <cell r="CI1419">
            <v>0</v>
          </cell>
          <cell r="CJ1419">
            <v>0</v>
          </cell>
          <cell r="CK1419">
            <v>0</v>
          </cell>
          <cell r="CL1419">
            <v>0</v>
          </cell>
        </row>
        <row r="1420">
          <cell r="B1420" t="str">
            <v>teleworking</v>
          </cell>
          <cell r="D1420">
            <v>3.5</v>
          </cell>
          <cell r="I1420">
            <v>18.106999999999999</v>
          </cell>
          <cell r="K1420">
            <v>4.0486000000000003E-3</v>
          </cell>
          <cell r="CG1420">
            <v>0</v>
          </cell>
          <cell r="CH1420">
            <v>0</v>
          </cell>
          <cell r="CI1420">
            <v>0</v>
          </cell>
          <cell r="CJ1420">
            <v>0</v>
          </cell>
          <cell r="CK1420">
            <v>0</v>
          </cell>
          <cell r="CL1420">
            <v>0</v>
          </cell>
        </row>
        <row r="1421">
          <cell r="B1421" t="str">
            <v>teleworking</v>
          </cell>
          <cell r="D1421">
            <v>1.1000000000000001</v>
          </cell>
          <cell r="I1421">
            <v>0.29081000000000001</v>
          </cell>
          <cell r="K1421">
            <v>8.1817999999999995E-3</v>
          </cell>
          <cell r="CG1421">
            <v>0</v>
          </cell>
          <cell r="CH1421">
            <v>1</v>
          </cell>
          <cell r="CI1421">
            <v>0</v>
          </cell>
          <cell r="CJ1421">
            <v>0</v>
          </cell>
          <cell r="CK1421">
            <v>0</v>
          </cell>
          <cell r="CL1421">
            <v>0</v>
          </cell>
        </row>
        <row r="1422">
          <cell r="B1422" t="str">
            <v>teleworking</v>
          </cell>
          <cell r="D1422">
            <v>1.1000000000000001</v>
          </cell>
          <cell r="I1422">
            <v>2.4076E-2</v>
          </cell>
          <cell r="K1422">
            <v>1.1999999999999999E-3</v>
          </cell>
          <cell r="CG1422">
            <v>1</v>
          </cell>
          <cell r="CH1422">
            <v>1</v>
          </cell>
          <cell r="CI1422">
            <v>0</v>
          </cell>
          <cell r="CJ1422">
            <v>1</v>
          </cell>
          <cell r="CK1422">
            <v>0</v>
          </cell>
          <cell r="CL1422">
            <v>0</v>
          </cell>
          <cell r="CM1422" t="str">
            <v>to 2019 only</v>
          </cell>
        </row>
        <row r="1423">
          <cell r="B1423" t="str">
            <v>teleworking</v>
          </cell>
          <cell r="D1423">
            <v>1.1000000000000001</v>
          </cell>
          <cell r="I1423">
            <v>0.29081000000000001</v>
          </cell>
          <cell r="K1423">
            <v>8.1817999999999995E-3</v>
          </cell>
          <cell r="CG1423">
            <v>0</v>
          </cell>
          <cell r="CH1423">
            <v>1</v>
          </cell>
          <cell r="CI1423">
            <v>0</v>
          </cell>
          <cell r="CJ1423">
            <v>0</v>
          </cell>
          <cell r="CK1423">
            <v>0</v>
          </cell>
          <cell r="CL1423">
            <v>0</v>
          </cell>
          <cell r="CM1423" t="str">
            <v>full market share indicator includes covid</v>
          </cell>
        </row>
        <row r="1424">
          <cell r="B1424" t="str">
            <v>teleworking</v>
          </cell>
          <cell r="D1424">
            <v>3.2</v>
          </cell>
          <cell r="I1424">
            <v>0.56215000000000004</v>
          </cell>
          <cell r="K1424">
            <v>5.4000000000000003E-3</v>
          </cell>
          <cell r="CG1424">
            <v>0</v>
          </cell>
          <cell r="CH1424">
            <v>1</v>
          </cell>
          <cell r="CI1424">
            <v>0</v>
          </cell>
          <cell r="CJ1424">
            <v>0</v>
          </cell>
          <cell r="CK1424">
            <v>0</v>
          </cell>
          <cell r="CL1424">
            <v>0</v>
          </cell>
        </row>
        <row r="1425">
          <cell r="B1425" t="str">
            <v>teleworking</v>
          </cell>
          <cell r="D1425">
            <v>3.2</v>
          </cell>
          <cell r="I1425">
            <v>0.32617000000000002</v>
          </cell>
          <cell r="K1425">
            <v>9.0060999999999995E-3</v>
          </cell>
          <cell r="CG1425">
            <v>0</v>
          </cell>
          <cell r="CH1425">
            <v>1</v>
          </cell>
          <cell r="CI1425">
            <v>0</v>
          </cell>
          <cell r="CJ1425">
            <v>0</v>
          </cell>
          <cell r="CK1425">
            <v>0</v>
          </cell>
          <cell r="CL1425">
            <v>0</v>
          </cell>
        </row>
        <row r="1426">
          <cell r="B1426" t="str">
            <v>teleworking</v>
          </cell>
          <cell r="D1426">
            <v>3.2</v>
          </cell>
          <cell r="I1426">
            <v>0.20476</v>
          </cell>
          <cell r="K1426">
            <v>5.8424000000000002E-3</v>
          </cell>
          <cell r="CG1426">
            <v>0</v>
          </cell>
          <cell r="CH1426">
            <v>1</v>
          </cell>
          <cell r="CI1426">
            <v>0</v>
          </cell>
          <cell r="CJ1426">
            <v>0</v>
          </cell>
          <cell r="CK1426">
            <v>0</v>
          </cell>
          <cell r="CL1426">
            <v>0</v>
          </cell>
        </row>
        <row r="1427">
          <cell r="B1427" t="str">
            <v>teleworking</v>
          </cell>
          <cell r="D1427">
            <v>3.2</v>
          </cell>
          <cell r="I1427">
            <v>0.29718</v>
          </cell>
          <cell r="K1427">
            <v>8.8909000000000002E-3</v>
          </cell>
          <cell r="CG1427">
            <v>0</v>
          </cell>
          <cell r="CH1427">
            <v>1</v>
          </cell>
          <cell r="CI1427">
            <v>0</v>
          </cell>
          <cell r="CJ1427">
            <v>0</v>
          </cell>
          <cell r="CK1427">
            <v>0</v>
          </cell>
          <cell r="CL1427">
            <v>1</v>
          </cell>
        </row>
        <row r="1428">
          <cell r="B1428" t="str">
            <v>teleworking</v>
          </cell>
          <cell r="D1428">
            <v>3.2</v>
          </cell>
          <cell r="I1428">
            <v>0.28994999999999999</v>
          </cell>
          <cell r="K1428">
            <v>7.7029999999999998E-3</v>
          </cell>
          <cell r="CG1428">
            <v>0</v>
          </cell>
          <cell r="CH1428">
            <v>1</v>
          </cell>
          <cell r="CI1428">
            <v>0</v>
          </cell>
          <cell r="CJ1428">
            <v>0</v>
          </cell>
          <cell r="CK1428">
            <v>0</v>
          </cell>
          <cell r="CL1428">
            <v>0</v>
          </cell>
        </row>
        <row r="1429">
          <cell r="B1429" t="str">
            <v>teleworking</v>
          </cell>
          <cell r="D1429">
            <v>3.5</v>
          </cell>
          <cell r="I1429">
            <v>0.18457999999999999</v>
          </cell>
          <cell r="K1429">
            <v>1.4140999999999999</v>
          </cell>
          <cell r="CG1429">
            <v>1</v>
          </cell>
          <cell r="CH1429">
            <v>1</v>
          </cell>
          <cell r="CI1429">
            <v>0</v>
          </cell>
          <cell r="CJ1429">
            <v>0</v>
          </cell>
          <cell r="CK1429">
            <v>0</v>
          </cell>
          <cell r="CL1429">
            <v>1</v>
          </cell>
        </row>
        <row r="1430">
          <cell r="B1430" t="str">
            <v>teleworking</v>
          </cell>
          <cell r="D1430">
            <v>3.5</v>
          </cell>
          <cell r="I1430">
            <v>0.39566000000000001</v>
          </cell>
          <cell r="K1430">
            <v>0.14241999999999999</v>
          </cell>
          <cell r="CG1430">
            <v>1</v>
          </cell>
          <cell r="CH1430">
            <v>1</v>
          </cell>
          <cell r="CI1430">
            <v>0</v>
          </cell>
          <cell r="CJ1430">
            <v>0</v>
          </cell>
          <cell r="CK1430">
            <v>0</v>
          </cell>
          <cell r="CL1430">
            <v>0</v>
          </cell>
        </row>
        <row r="1431">
          <cell r="B1431" t="str">
            <v>teleworking</v>
          </cell>
          <cell r="D1431">
            <v>3.5</v>
          </cell>
          <cell r="I1431">
            <v>0.68755999999999995</v>
          </cell>
          <cell r="K1431">
            <v>0.14848</v>
          </cell>
          <cell r="CG1431">
            <v>1</v>
          </cell>
          <cell r="CH1431">
            <v>1</v>
          </cell>
          <cell r="CI1431">
            <v>0</v>
          </cell>
          <cell r="CJ1431">
            <v>0</v>
          </cell>
          <cell r="CK1431">
            <v>0</v>
          </cell>
          <cell r="CL1431">
            <v>0</v>
          </cell>
        </row>
        <row r="1432">
          <cell r="B1432" t="str">
            <v>teleworking</v>
          </cell>
          <cell r="D1432">
            <v>3.5</v>
          </cell>
          <cell r="I1432">
            <v>3.5708000000000002</v>
          </cell>
          <cell r="K1432">
            <v>0.2135</v>
          </cell>
          <cell r="CG1432">
            <v>1</v>
          </cell>
          <cell r="CH1432">
            <v>1</v>
          </cell>
          <cell r="CI1432">
            <v>0</v>
          </cell>
          <cell r="CJ1432">
            <v>0</v>
          </cell>
          <cell r="CK1432">
            <v>0</v>
          </cell>
          <cell r="CL1432">
            <v>0</v>
          </cell>
        </row>
        <row r="1433">
          <cell r="B1433" t="str">
            <v>teleworking</v>
          </cell>
          <cell r="D1433">
            <v>3.5</v>
          </cell>
          <cell r="I1433">
            <v>17.010000000000002</v>
          </cell>
          <cell r="K1433">
            <v>0.26889000000000002</v>
          </cell>
          <cell r="CG1433">
            <v>0</v>
          </cell>
          <cell r="CH1433">
            <v>1</v>
          </cell>
          <cell r="CI1433">
            <v>0</v>
          </cell>
          <cell r="CJ1433">
            <v>0</v>
          </cell>
          <cell r="CK1433">
            <v>0</v>
          </cell>
          <cell r="CL1433">
            <v>0</v>
          </cell>
        </row>
        <row r="1434">
          <cell r="B1434" t="str">
            <v>teleworking</v>
          </cell>
          <cell r="D1434">
            <v>3.5</v>
          </cell>
          <cell r="I1434">
            <v>1.0647</v>
          </cell>
          <cell r="K1434">
            <v>0.22239999999999999</v>
          </cell>
          <cell r="CG1434">
            <v>1</v>
          </cell>
          <cell r="CH1434">
            <v>1</v>
          </cell>
          <cell r="CI1434">
            <v>0</v>
          </cell>
          <cell r="CJ1434">
            <v>0</v>
          </cell>
          <cell r="CK1434">
            <v>0</v>
          </cell>
          <cell r="CL1434">
            <v>0</v>
          </cell>
        </row>
        <row r="1435">
          <cell r="B1435" t="str">
            <v>teleworking</v>
          </cell>
          <cell r="D1435">
            <v>3.5</v>
          </cell>
          <cell r="I1435">
            <v>0.14791000000000001</v>
          </cell>
          <cell r="K1435">
            <v>10.831</v>
          </cell>
          <cell r="CG1435">
            <v>0</v>
          </cell>
          <cell r="CH1435">
            <v>0</v>
          </cell>
          <cell r="CI1435">
            <v>0</v>
          </cell>
          <cell r="CJ1435">
            <v>0</v>
          </cell>
          <cell r="CK1435">
            <v>0</v>
          </cell>
          <cell r="CL1435">
            <v>0</v>
          </cell>
        </row>
        <row r="1436">
          <cell r="B1436" t="str">
            <v>teleworking</v>
          </cell>
          <cell r="D1436">
            <v>3.5</v>
          </cell>
          <cell r="I1436">
            <v>0.15612000000000001</v>
          </cell>
          <cell r="K1436">
            <v>1.3171999999999999</v>
          </cell>
          <cell r="CG1436">
            <v>0</v>
          </cell>
          <cell r="CH1436">
            <v>0</v>
          </cell>
          <cell r="CI1436">
            <v>0</v>
          </cell>
          <cell r="CJ1436">
            <v>0</v>
          </cell>
          <cell r="CK1436">
            <v>0</v>
          </cell>
          <cell r="CL1436">
            <v>0</v>
          </cell>
        </row>
        <row r="1437">
          <cell r="B1437" t="str">
            <v>teleworking</v>
          </cell>
          <cell r="D1437">
            <v>3.5</v>
          </cell>
          <cell r="I1437">
            <v>0.18457999999999999</v>
          </cell>
          <cell r="K1437">
            <v>1.4140999999999999</v>
          </cell>
          <cell r="CG1437">
            <v>0</v>
          </cell>
          <cell r="CH1437">
            <v>0</v>
          </cell>
          <cell r="CI1437">
            <v>0</v>
          </cell>
          <cell r="CJ1437">
            <v>0</v>
          </cell>
          <cell r="CK1437">
            <v>0</v>
          </cell>
          <cell r="CL1437">
            <v>0</v>
          </cell>
        </row>
        <row r="1438">
          <cell r="B1438" t="str">
            <v>teleworking</v>
          </cell>
          <cell r="D1438">
            <v>3.5</v>
          </cell>
          <cell r="I1438">
            <v>0.31362000000000001</v>
          </cell>
          <cell r="K1438">
            <v>0.14077000000000001</v>
          </cell>
          <cell r="CG1438">
            <v>0</v>
          </cell>
          <cell r="CH1438">
            <v>0</v>
          </cell>
          <cell r="CI1438">
            <v>0</v>
          </cell>
          <cell r="CJ1438">
            <v>0</v>
          </cell>
          <cell r="CK1438">
            <v>0</v>
          </cell>
          <cell r="CL1438">
            <v>0</v>
          </cell>
        </row>
        <row r="1439">
          <cell r="B1439" t="str">
            <v>teleworking</v>
          </cell>
          <cell r="D1439">
            <v>3.5</v>
          </cell>
          <cell r="I1439">
            <v>0.40615000000000001</v>
          </cell>
          <cell r="K1439">
            <v>0.82265999999999995</v>
          </cell>
          <cell r="CG1439">
            <v>1</v>
          </cell>
          <cell r="CH1439">
            <v>1</v>
          </cell>
          <cell r="CI1439">
            <v>0</v>
          </cell>
          <cell r="CJ1439">
            <v>0</v>
          </cell>
          <cell r="CK1439">
            <v>0</v>
          </cell>
          <cell r="CL1439">
            <v>0</v>
          </cell>
        </row>
        <row r="1440">
          <cell r="B1440" t="str">
            <v>teleworking</v>
          </cell>
          <cell r="D1440">
            <v>3.5</v>
          </cell>
          <cell r="I1440">
            <v>0.35951</v>
          </cell>
          <cell r="K1440">
            <v>0.14949999999999999</v>
          </cell>
          <cell r="CG1440">
            <v>0</v>
          </cell>
          <cell r="CH1440">
            <v>0</v>
          </cell>
          <cell r="CI1440">
            <v>0</v>
          </cell>
          <cell r="CJ1440">
            <v>0</v>
          </cell>
          <cell r="CK1440">
            <v>0</v>
          </cell>
          <cell r="CL1440">
            <v>0</v>
          </cell>
        </row>
        <row r="1441">
          <cell r="B1441" t="str">
            <v>teleworking</v>
          </cell>
          <cell r="D1441">
            <v>3.5</v>
          </cell>
          <cell r="I1441">
            <v>0.99238999999999999</v>
          </cell>
          <cell r="K1441">
            <v>0.90908</v>
          </cell>
          <cell r="CG1441">
            <v>1</v>
          </cell>
          <cell r="CH1441">
            <v>1</v>
          </cell>
          <cell r="CI1441">
            <v>0</v>
          </cell>
          <cell r="CJ1441">
            <v>0</v>
          </cell>
          <cell r="CK1441">
            <v>0</v>
          </cell>
          <cell r="CL1441">
            <v>0</v>
          </cell>
        </row>
        <row r="1442">
          <cell r="B1442" t="str">
            <v>teleworking</v>
          </cell>
          <cell r="D1442">
            <v>3.5</v>
          </cell>
          <cell r="I1442">
            <v>0.95853999999999995</v>
          </cell>
          <cell r="K1442">
            <v>0.21079999999999999</v>
          </cell>
          <cell r="CG1442">
            <v>0</v>
          </cell>
          <cell r="CH1442">
            <v>0</v>
          </cell>
          <cell r="CI1442">
            <v>0</v>
          </cell>
          <cell r="CJ1442">
            <v>0</v>
          </cell>
          <cell r="CK1442">
            <v>0</v>
          </cell>
          <cell r="CL1442">
            <v>0</v>
          </cell>
        </row>
        <row r="1443">
          <cell r="B1443" t="str">
            <v>teleworking</v>
          </cell>
          <cell r="D1443">
            <v>3.5</v>
          </cell>
          <cell r="I1443">
            <v>0.85336999999999996</v>
          </cell>
          <cell r="K1443">
            <v>1.1540999999999999</v>
          </cell>
          <cell r="CG1443">
            <v>1</v>
          </cell>
          <cell r="CH1443">
            <v>1</v>
          </cell>
          <cell r="CI1443">
            <v>0</v>
          </cell>
          <cell r="CJ1443">
            <v>0</v>
          </cell>
          <cell r="CK1443">
            <v>0</v>
          </cell>
          <cell r="CL1443">
            <v>0</v>
          </cell>
        </row>
        <row r="1444">
          <cell r="B1444" t="str">
            <v>teleworking</v>
          </cell>
          <cell r="D1444">
            <v>3.5</v>
          </cell>
          <cell r="I1444">
            <v>0.58670999999999995</v>
          </cell>
          <cell r="K1444">
            <v>0.26067000000000001</v>
          </cell>
          <cell r="CG1444">
            <v>0</v>
          </cell>
          <cell r="CH1444">
            <v>0</v>
          </cell>
          <cell r="CI1444">
            <v>0</v>
          </cell>
          <cell r="CJ1444">
            <v>0</v>
          </cell>
          <cell r="CK1444">
            <v>0</v>
          </cell>
          <cell r="CL1444">
            <v>0</v>
          </cell>
        </row>
        <row r="1445">
          <cell r="B1445" t="str">
            <v>teleworking</v>
          </cell>
          <cell r="D1445">
            <v>3.5</v>
          </cell>
          <cell r="I1445">
            <v>0.36660999999999999</v>
          </cell>
          <cell r="K1445">
            <v>1.1782999999999999</v>
          </cell>
          <cell r="CG1445">
            <v>1</v>
          </cell>
          <cell r="CH1445">
            <v>1</v>
          </cell>
          <cell r="CI1445">
            <v>0</v>
          </cell>
          <cell r="CJ1445">
            <v>0</v>
          </cell>
          <cell r="CK1445">
            <v>0</v>
          </cell>
          <cell r="CL1445">
            <v>0</v>
          </cell>
        </row>
        <row r="1446">
          <cell r="B1446" t="str">
            <v>teleworking</v>
          </cell>
          <cell r="D1446">
            <v>3.5</v>
          </cell>
          <cell r="I1446">
            <v>0.35641</v>
          </cell>
          <cell r="K1446">
            <v>0.20507</v>
          </cell>
          <cell r="CG1446">
            <v>0</v>
          </cell>
          <cell r="CH1446">
            <v>0</v>
          </cell>
          <cell r="CI1446">
            <v>0</v>
          </cell>
          <cell r="CJ1446">
            <v>0</v>
          </cell>
          <cell r="CK1446">
            <v>0</v>
          </cell>
          <cell r="CL1446">
            <v>0</v>
          </cell>
        </row>
        <row r="1447">
          <cell r="B1447" t="str">
            <v>teleworking</v>
          </cell>
          <cell r="D1447">
            <v>1.1000000000000001</v>
          </cell>
          <cell r="I1447">
            <v>0.25401000000000001</v>
          </cell>
          <cell r="K1447">
            <v>9.1938999999999996E-3</v>
          </cell>
          <cell r="CG1447">
            <v>0</v>
          </cell>
          <cell r="CH1447">
            <v>1</v>
          </cell>
          <cell r="CI1447">
            <v>0</v>
          </cell>
          <cell r="CJ1447">
            <v>0</v>
          </cell>
          <cell r="CK1447">
            <v>0</v>
          </cell>
          <cell r="CL1447">
            <v>0</v>
          </cell>
        </row>
        <row r="1448">
          <cell r="B1448" t="str">
            <v>teleworking</v>
          </cell>
          <cell r="D1448">
            <v>1.1000000000000001</v>
          </cell>
          <cell r="I1448">
            <v>-1.8388E-3</v>
          </cell>
          <cell r="K1448">
            <v>-1.1429000000000001E-4</v>
          </cell>
          <cell r="CG1448">
            <v>1</v>
          </cell>
          <cell r="CH1448">
            <v>1</v>
          </cell>
          <cell r="CI1448">
            <v>0</v>
          </cell>
          <cell r="CJ1448">
            <v>1</v>
          </cell>
          <cell r="CK1448">
            <v>0</v>
          </cell>
          <cell r="CL1448">
            <v>0</v>
          </cell>
          <cell r="CM1448" t="str">
            <v>declining to 2019</v>
          </cell>
        </row>
        <row r="1449">
          <cell r="B1449" t="str">
            <v>teleworking</v>
          </cell>
          <cell r="D1449">
            <v>1.1000000000000001</v>
          </cell>
          <cell r="I1449">
            <v>0.25401000000000001</v>
          </cell>
          <cell r="K1449">
            <v>9.1938999999999996E-3</v>
          </cell>
          <cell r="CG1449">
            <v>0</v>
          </cell>
          <cell r="CH1449">
            <v>1</v>
          </cell>
          <cell r="CI1449">
            <v>0</v>
          </cell>
          <cell r="CJ1449">
            <v>0</v>
          </cell>
          <cell r="CK1449">
            <v>0</v>
          </cell>
          <cell r="CL1449">
            <v>0</v>
          </cell>
          <cell r="CM1449" t="str">
            <v>full market share indicator includes covid</v>
          </cell>
        </row>
        <row r="1450">
          <cell r="B1450" t="str">
            <v>teleworking</v>
          </cell>
          <cell r="D1450">
            <v>3.2</v>
          </cell>
          <cell r="I1450">
            <v>0.20504</v>
          </cell>
          <cell r="K1450">
            <v>9.1696999999999994E-3</v>
          </cell>
          <cell r="CG1450">
            <v>0</v>
          </cell>
          <cell r="CH1450">
            <v>1</v>
          </cell>
          <cell r="CI1450">
            <v>0</v>
          </cell>
          <cell r="CJ1450">
            <v>0</v>
          </cell>
          <cell r="CK1450">
            <v>0</v>
          </cell>
          <cell r="CL1450">
            <v>1</v>
          </cell>
        </row>
        <row r="1451">
          <cell r="B1451" t="str">
            <v>teleworking</v>
          </cell>
          <cell r="D1451">
            <v>3.2</v>
          </cell>
          <cell r="I1451">
            <v>0.32972000000000001</v>
          </cell>
          <cell r="K1451">
            <v>9.1999999999999998E-3</v>
          </cell>
          <cell r="CG1451">
            <v>0</v>
          </cell>
          <cell r="CH1451">
            <v>1</v>
          </cell>
          <cell r="CI1451">
            <v>0</v>
          </cell>
          <cell r="CJ1451">
            <v>0</v>
          </cell>
          <cell r="CK1451">
            <v>0</v>
          </cell>
          <cell r="CL1451">
            <v>0</v>
          </cell>
        </row>
        <row r="1452">
          <cell r="B1452" t="str">
            <v>teleworking</v>
          </cell>
          <cell r="D1452">
            <v>3.5</v>
          </cell>
          <cell r="I1452">
            <v>0.27729999999999999</v>
          </cell>
          <cell r="K1452">
            <v>0.28432000000000002</v>
          </cell>
          <cell r="CG1452">
            <v>1</v>
          </cell>
          <cell r="CH1452">
            <v>1</v>
          </cell>
          <cell r="CI1452">
            <v>0</v>
          </cell>
          <cell r="CJ1452">
            <v>0</v>
          </cell>
          <cell r="CK1452">
            <v>0</v>
          </cell>
          <cell r="CL1452">
            <v>1</v>
          </cell>
        </row>
        <row r="1453">
          <cell r="B1453" t="str">
            <v>teleworking</v>
          </cell>
          <cell r="D1453">
            <v>3.5</v>
          </cell>
          <cell r="I1453">
            <v>48.341999999999999</v>
          </cell>
          <cell r="K1453">
            <v>1.7655000000000001E-2</v>
          </cell>
          <cell r="CG1453">
            <v>0</v>
          </cell>
          <cell r="CH1453">
            <v>1</v>
          </cell>
          <cell r="CI1453">
            <v>0</v>
          </cell>
          <cell r="CJ1453">
            <v>0</v>
          </cell>
          <cell r="CK1453">
            <v>0</v>
          </cell>
          <cell r="CL1453">
            <v>0</v>
          </cell>
        </row>
        <row r="1454">
          <cell r="B1454" t="str">
            <v>teleworking</v>
          </cell>
          <cell r="D1454">
            <v>3.5</v>
          </cell>
          <cell r="I1454">
            <v>0.44613000000000003</v>
          </cell>
          <cell r="K1454">
            <v>2.1343999999999998E-2</v>
          </cell>
          <cell r="CG1454">
            <v>0</v>
          </cell>
          <cell r="CH1454">
            <v>1</v>
          </cell>
          <cell r="CI1454">
            <v>0</v>
          </cell>
          <cell r="CJ1454">
            <v>0</v>
          </cell>
          <cell r="CK1454">
            <v>0</v>
          </cell>
          <cell r="CL1454">
            <v>0</v>
          </cell>
        </row>
        <row r="1455">
          <cell r="B1455" t="str">
            <v>teleworking</v>
          </cell>
          <cell r="D1455">
            <v>3.5</v>
          </cell>
          <cell r="I1455">
            <v>33.820999999999998</v>
          </cell>
          <cell r="K1455">
            <v>1.3487000000000001E-2</v>
          </cell>
          <cell r="CG1455">
            <v>0</v>
          </cell>
          <cell r="CH1455">
            <v>1</v>
          </cell>
          <cell r="CI1455">
            <v>0</v>
          </cell>
          <cell r="CJ1455">
            <v>0</v>
          </cell>
          <cell r="CK1455">
            <v>0</v>
          </cell>
          <cell r="CL1455">
            <v>0</v>
          </cell>
        </row>
        <row r="1456">
          <cell r="B1456" t="str">
            <v>teleworking</v>
          </cell>
          <cell r="D1456">
            <v>3.5</v>
          </cell>
          <cell r="I1456">
            <v>27.443000000000001</v>
          </cell>
          <cell r="K1456">
            <v>1.5433000000000001E-2</v>
          </cell>
          <cell r="CG1456">
            <v>0</v>
          </cell>
          <cell r="CH1456">
            <v>1</v>
          </cell>
          <cell r="CI1456">
            <v>0</v>
          </cell>
          <cell r="CJ1456">
            <v>0</v>
          </cell>
          <cell r="CK1456">
            <v>0</v>
          </cell>
          <cell r="CL1456">
            <v>0</v>
          </cell>
        </row>
        <row r="1457">
          <cell r="B1457" t="str">
            <v>teleworking</v>
          </cell>
          <cell r="D1457">
            <v>3.5</v>
          </cell>
          <cell r="I1457">
            <v>2.5194000000000001</v>
          </cell>
          <cell r="K1457">
            <v>4.4796000000000002E-2</v>
          </cell>
          <cell r="CG1457">
            <v>1</v>
          </cell>
          <cell r="CH1457">
            <v>1</v>
          </cell>
          <cell r="CI1457">
            <v>0</v>
          </cell>
          <cell r="CJ1457">
            <v>0</v>
          </cell>
          <cell r="CK1457">
            <v>0</v>
          </cell>
          <cell r="CL1457">
            <v>0</v>
          </cell>
        </row>
        <row r="1458">
          <cell r="B1458" t="str">
            <v>teleworking</v>
          </cell>
          <cell r="D1458">
            <v>3.5</v>
          </cell>
          <cell r="I1458">
            <v>0.22078999999999999</v>
          </cell>
          <cell r="K1458">
            <v>2.4275000000000002</v>
          </cell>
          <cell r="CG1458">
            <v>0</v>
          </cell>
          <cell r="CH1458">
            <v>0</v>
          </cell>
          <cell r="CI1458">
            <v>0</v>
          </cell>
          <cell r="CJ1458">
            <v>0</v>
          </cell>
          <cell r="CK1458">
            <v>0</v>
          </cell>
          <cell r="CL1458">
            <v>0</v>
          </cell>
        </row>
        <row r="1459">
          <cell r="B1459" t="str">
            <v>teleworking</v>
          </cell>
          <cell r="D1459">
            <v>3.5</v>
          </cell>
          <cell r="I1459">
            <v>0.2697</v>
          </cell>
          <cell r="K1459">
            <v>0.25297999999999998</v>
          </cell>
          <cell r="CG1459">
            <v>0</v>
          </cell>
          <cell r="CH1459">
            <v>0</v>
          </cell>
          <cell r="CI1459">
            <v>0</v>
          </cell>
          <cell r="CJ1459">
            <v>0</v>
          </cell>
          <cell r="CK1459">
            <v>0</v>
          </cell>
          <cell r="CL1459">
            <v>0</v>
          </cell>
        </row>
        <row r="1460">
          <cell r="B1460" t="str">
            <v>teleworking</v>
          </cell>
          <cell r="D1460">
            <v>3.5</v>
          </cell>
          <cell r="I1460">
            <v>0.27729999999999999</v>
          </cell>
          <cell r="K1460">
            <v>0.28432000000000002</v>
          </cell>
          <cell r="CG1460">
            <v>0</v>
          </cell>
          <cell r="CH1460">
            <v>0</v>
          </cell>
          <cell r="CI1460">
            <v>0</v>
          </cell>
          <cell r="CJ1460">
            <v>0</v>
          </cell>
          <cell r="CK1460">
            <v>0</v>
          </cell>
          <cell r="CL1460">
            <v>0</v>
          </cell>
        </row>
        <row r="1461">
          <cell r="B1461" t="str">
            <v>teleworking</v>
          </cell>
          <cell r="D1461">
            <v>3.5</v>
          </cell>
          <cell r="I1461">
            <v>10.521000000000001</v>
          </cell>
          <cell r="K1461">
            <v>2.5805999999999999E-2</v>
          </cell>
          <cell r="CG1461">
            <v>0</v>
          </cell>
          <cell r="CH1461">
            <v>0</v>
          </cell>
          <cell r="CI1461">
            <v>0</v>
          </cell>
          <cell r="CJ1461">
            <v>0</v>
          </cell>
          <cell r="CK1461">
            <v>0</v>
          </cell>
          <cell r="CL1461">
            <v>0</v>
          </cell>
        </row>
        <row r="1462">
          <cell r="B1462" t="str">
            <v>teleworking</v>
          </cell>
          <cell r="D1462">
            <v>3.5</v>
          </cell>
          <cell r="I1462">
            <v>0.23783000000000001</v>
          </cell>
          <cell r="K1462">
            <v>0.15679000000000001</v>
          </cell>
          <cell r="CG1462">
            <v>1</v>
          </cell>
          <cell r="CH1462">
            <v>1</v>
          </cell>
          <cell r="CI1462">
            <v>0</v>
          </cell>
          <cell r="CJ1462">
            <v>0</v>
          </cell>
          <cell r="CK1462">
            <v>0</v>
          </cell>
          <cell r="CL1462">
            <v>0</v>
          </cell>
        </row>
        <row r="1463">
          <cell r="B1463" t="str">
            <v>teleworking</v>
          </cell>
          <cell r="D1463">
            <v>3.5</v>
          </cell>
          <cell r="I1463">
            <v>0.20932999999999999</v>
          </cell>
          <cell r="K1463">
            <v>1.8069999999999999E-2</v>
          </cell>
          <cell r="CG1463">
            <v>0</v>
          </cell>
          <cell r="CH1463">
            <v>0</v>
          </cell>
          <cell r="CI1463">
            <v>0</v>
          </cell>
          <cell r="CJ1463">
            <v>0</v>
          </cell>
          <cell r="CK1463">
            <v>0</v>
          </cell>
          <cell r="CL1463">
            <v>0</v>
          </cell>
        </row>
        <row r="1464">
          <cell r="B1464" t="str">
            <v>teleworking</v>
          </cell>
          <cell r="D1464">
            <v>3.5</v>
          </cell>
          <cell r="I1464">
            <v>0.20074</v>
          </cell>
          <cell r="K1464">
            <v>0.19564999999999999</v>
          </cell>
          <cell r="CG1464">
            <v>1</v>
          </cell>
          <cell r="CH1464">
            <v>1</v>
          </cell>
          <cell r="CI1464">
            <v>0</v>
          </cell>
          <cell r="CJ1464">
            <v>0</v>
          </cell>
          <cell r="CK1464">
            <v>0</v>
          </cell>
          <cell r="CL1464">
            <v>0</v>
          </cell>
        </row>
        <row r="1465">
          <cell r="B1465" t="str">
            <v>teleworking</v>
          </cell>
          <cell r="D1465">
            <v>3.5</v>
          </cell>
          <cell r="I1465">
            <v>17.678999999999998</v>
          </cell>
          <cell r="K1465">
            <v>2.9738000000000001E-2</v>
          </cell>
          <cell r="CG1465">
            <v>0</v>
          </cell>
          <cell r="CH1465">
            <v>0</v>
          </cell>
          <cell r="CI1465">
            <v>0</v>
          </cell>
          <cell r="CJ1465">
            <v>0</v>
          </cell>
          <cell r="CK1465">
            <v>0</v>
          </cell>
          <cell r="CL1465">
            <v>0</v>
          </cell>
        </row>
        <row r="1466">
          <cell r="B1466" t="str">
            <v>teleworking</v>
          </cell>
          <cell r="D1466">
            <v>3.5</v>
          </cell>
          <cell r="I1466">
            <v>0.17555999999999999</v>
          </cell>
          <cell r="K1466">
            <v>0.20421</v>
          </cell>
          <cell r="CG1466">
            <v>1</v>
          </cell>
          <cell r="CH1466">
            <v>1</v>
          </cell>
          <cell r="CI1466">
            <v>0</v>
          </cell>
          <cell r="CJ1466">
            <v>0</v>
          </cell>
          <cell r="CK1466">
            <v>0</v>
          </cell>
          <cell r="CL1466">
            <v>0</v>
          </cell>
        </row>
        <row r="1467">
          <cell r="B1467" t="str">
            <v>teleworking</v>
          </cell>
          <cell r="D1467">
            <v>3.5</v>
          </cell>
          <cell r="I1467">
            <v>17.678999999999998</v>
          </cell>
          <cell r="K1467">
            <v>2.9738000000000001E-2</v>
          </cell>
          <cell r="CG1467">
            <v>0</v>
          </cell>
          <cell r="CH1467">
            <v>0</v>
          </cell>
          <cell r="CI1467">
            <v>0</v>
          </cell>
          <cell r="CJ1467">
            <v>0</v>
          </cell>
          <cell r="CK1467">
            <v>0</v>
          </cell>
          <cell r="CL1467">
            <v>0</v>
          </cell>
        </row>
        <row r="1468">
          <cell r="B1468" t="str">
            <v>teleworking</v>
          </cell>
          <cell r="D1468">
            <v>3.5</v>
          </cell>
          <cell r="I1468">
            <v>0.34954000000000002</v>
          </cell>
          <cell r="K1468">
            <v>0.23530999999999999</v>
          </cell>
          <cell r="CG1468">
            <v>1</v>
          </cell>
          <cell r="CH1468">
            <v>1</v>
          </cell>
          <cell r="CI1468">
            <v>0</v>
          </cell>
          <cell r="CJ1468">
            <v>0</v>
          </cell>
          <cell r="CK1468">
            <v>0</v>
          </cell>
          <cell r="CL1468">
            <v>0</v>
          </cell>
        </row>
        <row r="1469">
          <cell r="B1469" t="str">
            <v>teleworking</v>
          </cell>
          <cell r="D1469">
            <v>3.5</v>
          </cell>
          <cell r="I1469">
            <v>0.78236000000000006</v>
          </cell>
          <cell r="K1469">
            <v>3.4356999999999999E-2</v>
          </cell>
          <cell r="CG1469">
            <v>0</v>
          </cell>
          <cell r="CH1469">
            <v>0</v>
          </cell>
          <cell r="CI1469">
            <v>0</v>
          </cell>
          <cell r="CJ1469">
            <v>0</v>
          </cell>
          <cell r="CK1469">
            <v>0</v>
          </cell>
          <cell r="CL1469">
            <v>0</v>
          </cell>
        </row>
        <row r="1470">
          <cell r="B1470" t="str">
            <v>teleworking</v>
          </cell>
          <cell r="D1470">
            <v>1.1000000000000001</v>
          </cell>
          <cell r="I1470">
            <v>0.58098000000000005</v>
          </cell>
          <cell r="K1470">
            <v>1.5855000000000001E-2</v>
          </cell>
          <cell r="CG1470">
            <v>1</v>
          </cell>
          <cell r="CH1470">
            <v>1</v>
          </cell>
          <cell r="CI1470">
            <v>0</v>
          </cell>
          <cell r="CJ1470">
            <v>0</v>
          </cell>
          <cell r="CK1470">
            <v>0</v>
          </cell>
          <cell r="CL1470">
            <v>0</v>
          </cell>
        </row>
        <row r="1471">
          <cell r="B1471" t="str">
            <v>teleworking</v>
          </cell>
          <cell r="D1471">
            <v>1.1000000000000001</v>
          </cell>
          <cell r="I1471">
            <v>0.17660000000000001</v>
          </cell>
          <cell r="K1471">
            <v>4.7714000000000003E-3</v>
          </cell>
          <cell r="CG1471">
            <v>1</v>
          </cell>
          <cell r="CH1471">
            <v>1</v>
          </cell>
          <cell r="CI1471">
            <v>0</v>
          </cell>
          <cell r="CJ1471">
            <v>1</v>
          </cell>
          <cell r="CK1471">
            <v>0</v>
          </cell>
          <cell r="CL1471">
            <v>0</v>
          </cell>
          <cell r="CM1471" t="str">
            <v>to 2019 only</v>
          </cell>
        </row>
        <row r="1472">
          <cell r="B1472" t="str">
            <v>teleworking</v>
          </cell>
          <cell r="D1472">
            <v>1.1000000000000001</v>
          </cell>
          <cell r="I1472">
            <v>0.58098000000000005</v>
          </cell>
          <cell r="K1472">
            <v>1.5855000000000001E-2</v>
          </cell>
          <cell r="CG1472">
            <v>1</v>
          </cell>
          <cell r="CH1472">
            <v>1</v>
          </cell>
          <cell r="CI1472">
            <v>0</v>
          </cell>
          <cell r="CJ1472">
            <v>0</v>
          </cell>
          <cell r="CK1472">
            <v>0</v>
          </cell>
          <cell r="CL1472">
            <v>0</v>
          </cell>
          <cell r="CM1472" t="str">
            <v>full market share indicator includes covid</v>
          </cell>
        </row>
        <row r="1473">
          <cell r="B1473" t="str">
            <v>teleworking</v>
          </cell>
          <cell r="D1473">
            <v>3.2</v>
          </cell>
          <cell r="I1473">
            <v>0.51604000000000005</v>
          </cell>
          <cell r="K1473">
            <v>1.5539000000000001E-2</v>
          </cell>
          <cell r="CG1473">
            <v>1</v>
          </cell>
          <cell r="CH1473">
            <v>1</v>
          </cell>
          <cell r="CI1473">
            <v>0</v>
          </cell>
          <cell r="CJ1473">
            <v>0</v>
          </cell>
          <cell r="CK1473">
            <v>0</v>
          </cell>
          <cell r="CL1473">
            <v>1</v>
          </cell>
        </row>
        <row r="1474">
          <cell r="B1474" t="str">
            <v>teleworking</v>
          </cell>
          <cell r="D1474">
            <v>3.2</v>
          </cell>
          <cell r="I1474">
            <v>0.64649000000000001</v>
          </cell>
          <cell r="K1474">
            <v>1.6126999999999999E-2</v>
          </cell>
          <cell r="CG1474">
            <v>1</v>
          </cell>
          <cell r="CH1474">
            <v>1</v>
          </cell>
          <cell r="CI1474">
            <v>0</v>
          </cell>
          <cell r="CJ1474">
            <v>0</v>
          </cell>
          <cell r="CK1474">
            <v>0</v>
          </cell>
          <cell r="CL1474">
            <v>0</v>
          </cell>
        </row>
        <row r="1475">
          <cell r="B1475" t="str">
            <v>teleworking</v>
          </cell>
          <cell r="D1475">
            <v>3.5</v>
          </cell>
          <cell r="I1475">
            <v>1.0159</v>
          </cell>
          <cell r="K1475">
            <v>9.3017000000000002E-2</v>
          </cell>
          <cell r="CG1475">
            <v>1</v>
          </cell>
          <cell r="CH1475">
            <v>1</v>
          </cell>
          <cell r="CI1475">
            <v>0</v>
          </cell>
          <cell r="CJ1475">
            <v>0</v>
          </cell>
          <cell r="CK1475">
            <v>0</v>
          </cell>
          <cell r="CL1475">
            <v>1</v>
          </cell>
        </row>
        <row r="1476">
          <cell r="B1476" t="str">
            <v>teleworking</v>
          </cell>
          <cell r="D1476">
            <v>3.5</v>
          </cell>
          <cell r="I1476">
            <v>19.951000000000001</v>
          </cell>
          <cell r="K1476">
            <v>1.6469000000000001E-2</v>
          </cell>
          <cell r="CG1476">
            <v>0</v>
          </cell>
          <cell r="CH1476">
            <v>1</v>
          </cell>
          <cell r="CI1476">
            <v>0</v>
          </cell>
          <cell r="CJ1476">
            <v>0</v>
          </cell>
          <cell r="CK1476">
            <v>0</v>
          </cell>
          <cell r="CL1476">
            <v>0</v>
          </cell>
        </row>
        <row r="1477">
          <cell r="B1477" t="str">
            <v>teleworking</v>
          </cell>
          <cell r="D1477">
            <v>3.5</v>
          </cell>
          <cell r="I1477">
            <v>63.523000000000003</v>
          </cell>
          <cell r="K1477">
            <v>1.8314E-2</v>
          </cell>
          <cell r="CG1477">
            <v>0</v>
          </cell>
          <cell r="CH1477">
            <v>1</v>
          </cell>
          <cell r="CI1477">
            <v>0</v>
          </cell>
          <cell r="CJ1477">
            <v>0</v>
          </cell>
          <cell r="CK1477">
            <v>0</v>
          </cell>
          <cell r="CL1477">
            <v>0</v>
          </cell>
        </row>
        <row r="1478">
          <cell r="B1478" t="str">
            <v>teleworking</v>
          </cell>
          <cell r="D1478">
            <v>3.5</v>
          </cell>
          <cell r="I1478">
            <v>40.238999999999997</v>
          </cell>
          <cell r="K1478">
            <v>9.5339999999999994E-2</v>
          </cell>
          <cell r="CG1478">
            <v>0</v>
          </cell>
          <cell r="CH1478">
            <v>1</v>
          </cell>
          <cell r="CI1478">
            <v>0</v>
          </cell>
          <cell r="CJ1478">
            <v>0</v>
          </cell>
          <cell r="CK1478">
            <v>0</v>
          </cell>
          <cell r="CL1478">
            <v>0</v>
          </cell>
        </row>
        <row r="1479">
          <cell r="B1479" t="str">
            <v>teleworking</v>
          </cell>
          <cell r="D1479">
            <v>3.5</v>
          </cell>
          <cell r="I1479">
            <v>49.502000000000002</v>
          </cell>
          <cell r="K1479">
            <v>9.6738000000000005E-2</v>
          </cell>
          <cell r="CG1479">
            <v>0</v>
          </cell>
          <cell r="CH1479">
            <v>1</v>
          </cell>
          <cell r="CI1479">
            <v>0</v>
          </cell>
          <cell r="CJ1479">
            <v>0</v>
          </cell>
          <cell r="CK1479">
            <v>0</v>
          </cell>
          <cell r="CL1479">
            <v>0</v>
          </cell>
        </row>
        <row r="1480">
          <cell r="B1480" t="str">
            <v>teleworking</v>
          </cell>
          <cell r="D1480">
            <v>3.5</v>
          </cell>
          <cell r="I1480">
            <v>48.929000000000002</v>
          </cell>
          <cell r="K1480">
            <v>2.3584000000000001E-2</v>
          </cell>
          <cell r="CG1480">
            <v>0</v>
          </cell>
          <cell r="CH1480">
            <v>1</v>
          </cell>
          <cell r="CI1480">
            <v>0</v>
          </cell>
          <cell r="CJ1480">
            <v>0</v>
          </cell>
          <cell r="CK1480">
            <v>0</v>
          </cell>
          <cell r="CL1480">
            <v>0</v>
          </cell>
        </row>
        <row r="1481">
          <cell r="B1481" t="str">
            <v>teleworking</v>
          </cell>
          <cell r="D1481">
            <v>3.5</v>
          </cell>
          <cell r="I1481">
            <v>0.63749</v>
          </cell>
          <cell r="K1481">
            <v>0.32477</v>
          </cell>
          <cell r="CG1481">
            <v>0</v>
          </cell>
          <cell r="CH1481">
            <v>0</v>
          </cell>
          <cell r="CI1481">
            <v>0</v>
          </cell>
          <cell r="CJ1481">
            <v>0</v>
          </cell>
          <cell r="CK1481">
            <v>0</v>
          </cell>
          <cell r="CL1481">
            <v>0</v>
          </cell>
        </row>
        <row r="1482">
          <cell r="B1482" t="str">
            <v>teleworking</v>
          </cell>
          <cell r="D1482">
            <v>3.5</v>
          </cell>
          <cell r="I1482">
            <v>0.77686999999999995</v>
          </cell>
          <cell r="K1482">
            <v>6.4481999999999998E-2</v>
          </cell>
          <cell r="CG1482">
            <v>0</v>
          </cell>
          <cell r="CH1482">
            <v>0</v>
          </cell>
          <cell r="CI1482">
            <v>0</v>
          </cell>
          <cell r="CJ1482">
            <v>0</v>
          </cell>
          <cell r="CK1482">
            <v>0</v>
          </cell>
          <cell r="CL1482">
            <v>0</v>
          </cell>
        </row>
        <row r="1483">
          <cell r="B1483" t="str">
            <v>teleworking</v>
          </cell>
          <cell r="D1483">
            <v>3.5</v>
          </cell>
          <cell r="I1483">
            <v>1.0159</v>
          </cell>
          <cell r="K1483">
            <v>9.3017000000000002E-2</v>
          </cell>
          <cell r="CG1483">
            <v>0</v>
          </cell>
          <cell r="CH1483">
            <v>0</v>
          </cell>
          <cell r="CI1483">
            <v>0</v>
          </cell>
          <cell r="CJ1483">
            <v>0</v>
          </cell>
          <cell r="CK1483">
            <v>0</v>
          </cell>
          <cell r="CL1483">
            <v>0</v>
          </cell>
        </row>
        <row r="1484">
          <cell r="B1484" t="str">
            <v>teleworking</v>
          </cell>
          <cell r="D1484">
            <v>3.5</v>
          </cell>
          <cell r="I1484">
            <v>0.82960999999999996</v>
          </cell>
          <cell r="K1484">
            <v>1.3065999999999999E-2</v>
          </cell>
          <cell r="CG1484">
            <v>0</v>
          </cell>
          <cell r="CH1484">
            <v>0</v>
          </cell>
          <cell r="CI1484">
            <v>0</v>
          </cell>
          <cell r="CJ1484">
            <v>0</v>
          </cell>
          <cell r="CK1484">
            <v>0</v>
          </cell>
          <cell r="CL1484">
            <v>0</v>
          </cell>
        </row>
        <row r="1485">
          <cell r="B1485" t="str">
            <v>teleworking</v>
          </cell>
          <cell r="D1485">
            <v>3.5</v>
          </cell>
          <cell r="I1485">
            <v>3.4064999999999999</v>
          </cell>
          <cell r="K1485">
            <v>6.0343000000000001E-2</v>
          </cell>
          <cell r="CG1485">
            <v>0</v>
          </cell>
          <cell r="CH1485">
            <v>1</v>
          </cell>
          <cell r="CI1485">
            <v>0</v>
          </cell>
          <cell r="CJ1485">
            <v>0</v>
          </cell>
          <cell r="CK1485">
            <v>0</v>
          </cell>
          <cell r="CL1485">
            <v>0</v>
          </cell>
        </row>
        <row r="1486">
          <cell r="B1486" t="str">
            <v>teleworking</v>
          </cell>
          <cell r="D1486">
            <v>3.5</v>
          </cell>
          <cell r="I1486">
            <v>11.161</v>
          </cell>
          <cell r="K1486">
            <v>1.8724999999999999E-2</v>
          </cell>
          <cell r="CG1486">
            <v>0</v>
          </cell>
          <cell r="CH1486">
            <v>0</v>
          </cell>
          <cell r="CI1486">
            <v>0</v>
          </cell>
          <cell r="CJ1486">
            <v>0</v>
          </cell>
          <cell r="CK1486">
            <v>0</v>
          </cell>
          <cell r="CL1486">
            <v>0</v>
          </cell>
        </row>
        <row r="1487">
          <cell r="B1487" t="str">
            <v>teleworking</v>
          </cell>
          <cell r="D1487">
            <v>3.5</v>
          </cell>
          <cell r="K1487">
            <v>0.29699999999999999</v>
          </cell>
          <cell r="CG1487">
            <v>0</v>
          </cell>
          <cell r="CH1487">
            <v>1</v>
          </cell>
          <cell r="CI1487">
            <v>0</v>
          </cell>
          <cell r="CJ1487">
            <v>0</v>
          </cell>
          <cell r="CK1487">
            <v>0</v>
          </cell>
          <cell r="CL1487">
            <v>0</v>
          </cell>
        </row>
        <row r="1488">
          <cell r="B1488" t="str">
            <v>teleworking</v>
          </cell>
          <cell r="D1488">
            <v>3.5</v>
          </cell>
          <cell r="I1488">
            <v>17.969000000000001</v>
          </cell>
          <cell r="K1488">
            <v>0.11112</v>
          </cell>
          <cell r="CG1488">
            <v>0</v>
          </cell>
          <cell r="CH1488">
            <v>0</v>
          </cell>
          <cell r="CI1488">
            <v>0</v>
          </cell>
          <cell r="CJ1488">
            <v>0</v>
          </cell>
          <cell r="CK1488">
            <v>0</v>
          </cell>
          <cell r="CL1488">
            <v>0</v>
          </cell>
        </row>
        <row r="1489">
          <cell r="B1489" t="str">
            <v>teleworking</v>
          </cell>
          <cell r="D1489">
            <v>3.5</v>
          </cell>
          <cell r="I1489">
            <v>7.6029</v>
          </cell>
          <cell r="K1489">
            <v>0.30476999999999999</v>
          </cell>
          <cell r="CG1489">
            <v>0</v>
          </cell>
          <cell r="CH1489">
            <v>1</v>
          </cell>
          <cell r="CI1489">
            <v>0</v>
          </cell>
          <cell r="CJ1489">
            <v>0</v>
          </cell>
          <cell r="CK1489">
            <v>0</v>
          </cell>
          <cell r="CL1489">
            <v>0</v>
          </cell>
        </row>
        <row r="1490">
          <cell r="B1490" t="str">
            <v>teleworking</v>
          </cell>
          <cell r="D1490">
            <v>3.5</v>
          </cell>
          <cell r="I1490">
            <v>12.699</v>
          </cell>
          <cell r="K1490">
            <v>0.11280999999999999</v>
          </cell>
          <cell r="CG1490">
            <v>0</v>
          </cell>
          <cell r="CH1490">
            <v>0</v>
          </cell>
          <cell r="CI1490">
            <v>0</v>
          </cell>
          <cell r="CJ1490">
            <v>0</v>
          </cell>
          <cell r="CK1490">
            <v>0</v>
          </cell>
          <cell r="CL1490">
            <v>0</v>
          </cell>
        </row>
        <row r="1491">
          <cell r="B1491" t="str">
            <v>teleworking</v>
          </cell>
          <cell r="D1491">
            <v>3.5</v>
          </cell>
          <cell r="I1491">
            <v>1.5729</v>
          </cell>
          <cell r="K1491">
            <v>7.6415999999999998E-2</v>
          </cell>
          <cell r="CG1491">
            <v>1</v>
          </cell>
          <cell r="CH1491">
            <v>1</v>
          </cell>
          <cell r="CI1491">
            <v>0</v>
          </cell>
          <cell r="CJ1491">
            <v>0</v>
          </cell>
          <cell r="CK1491">
            <v>0</v>
          </cell>
          <cell r="CL1491">
            <v>0</v>
          </cell>
        </row>
        <row r="1492">
          <cell r="B1492" t="str">
            <v>teleworking</v>
          </cell>
          <cell r="D1492">
            <v>3.5</v>
          </cell>
          <cell r="I1492">
            <v>8.6552000000000007</v>
          </cell>
          <cell r="K1492">
            <v>2.1595E-2</v>
          </cell>
          <cell r="CG1492">
            <v>0</v>
          </cell>
          <cell r="CH1492">
            <v>0</v>
          </cell>
          <cell r="CI1492">
            <v>0</v>
          </cell>
          <cell r="CJ1492">
            <v>0</v>
          </cell>
          <cell r="CK1492">
            <v>0</v>
          </cell>
          <cell r="CL1492">
            <v>0</v>
          </cell>
        </row>
        <row r="1493">
          <cell r="B1493" t="str">
            <v>teleworking</v>
          </cell>
          <cell r="D1493">
            <v>3.3</v>
          </cell>
          <cell r="I1493">
            <v>2.8654000000000002</v>
          </cell>
          <cell r="K1493">
            <v>14.478</v>
          </cell>
          <cell r="CG1493">
            <v>1</v>
          </cell>
          <cell r="CH1493">
            <v>1</v>
          </cell>
          <cell r="CI1493">
            <v>0</v>
          </cell>
          <cell r="CJ1493">
            <v>0</v>
          </cell>
          <cell r="CK1493">
            <v>1</v>
          </cell>
          <cell r="CL1493">
            <v>1</v>
          </cell>
        </row>
        <row r="1494">
          <cell r="B1494" t="str">
            <v>teleworking</v>
          </cell>
          <cell r="D1494">
            <v>3.5</v>
          </cell>
          <cell r="I1494">
            <v>0.13322000000000001</v>
          </cell>
          <cell r="K1494">
            <v>7.3579999999999997</v>
          </cell>
          <cell r="CG1494">
            <v>1</v>
          </cell>
          <cell r="CH1494">
            <v>1</v>
          </cell>
          <cell r="CI1494">
            <v>0</v>
          </cell>
          <cell r="CJ1494">
            <v>0</v>
          </cell>
          <cell r="CK1494">
            <v>0</v>
          </cell>
          <cell r="CL1494">
            <v>1</v>
          </cell>
        </row>
        <row r="1495">
          <cell r="B1495" t="str">
            <v>teleworking</v>
          </cell>
          <cell r="D1495">
            <v>3.5</v>
          </cell>
          <cell r="I1495">
            <v>0.48283999999999999</v>
          </cell>
          <cell r="K1495">
            <v>0.58643000000000001</v>
          </cell>
          <cell r="CG1495">
            <v>1</v>
          </cell>
          <cell r="CH1495">
            <v>1</v>
          </cell>
          <cell r="CI1495">
            <v>0</v>
          </cell>
          <cell r="CJ1495">
            <v>0</v>
          </cell>
          <cell r="CK1495">
            <v>0</v>
          </cell>
          <cell r="CL1495">
            <v>0</v>
          </cell>
        </row>
        <row r="1496">
          <cell r="B1496" t="str">
            <v>teleworking</v>
          </cell>
          <cell r="D1496">
            <v>3.5</v>
          </cell>
          <cell r="I1496">
            <v>0.64263000000000003</v>
          </cell>
          <cell r="K1496">
            <v>0.95335999999999999</v>
          </cell>
          <cell r="CG1496">
            <v>1</v>
          </cell>
          <cell r="CH1496">
            <v>1</v>
          </cell>
          <cell r="CI1496">
            <v>0</v>
          </cell>
          <cell r="CJ1496">
            <v>0</v>
          </cell>
          <cell r="CK1496">
            <v>0</v>
          </cell>
          <cell r="CL1496">
            <v>0</v>
          </cell>
        </row>
        <row r="1497">
          <cell r="B1497" t="str">
            <v>teleworking</v>
          </cell>
          <cell r="D1497">
            <v>3.5</v>
          </cell>
          <cell r="I1497">
            <v>0.14104</v>
          </cell>
          <cell r="K1497">
            <v>3.5158</v>
          </cell>
          <cell r="CG1497">
            <v>1</v>
          </cell>
          <cell r="CH1497">
            <v>1</v>
          </cell>
          <cell r="CI1497">
            <v>0</v>
          </cell>
          <cell r="CJ1497">
            <v>0</v>
          </cell>
          <cell r="CK1497">
            <v>0</v>
          </cell>
          <cell r="CL1497">
            <v>0</v>
          </cell>
        </row>
        <row r="1498">
          <cell r="B1498" t="str">
            <v>teleworking</v>
          </cell>
          <cell r="D1498">
            <v>3.5</v>
          </cell>
          <cell r="I1498">
            <v>0.72048999999999996</v>
          </cell>
          <cell r="K1498">
            <v>12.936</v>
          </cell>
          <cell r="CG1498">
            <v>1</v>
          </cell>
          <cell r="CH1498">
            <v>1</v>
          </cell>
          <cell r="CI1498">
            <v>0</v>
          </cell>
          <cell r="CJ1498">
            <v>0</v>
          </cell>
          <cell r="CK1498">
            <v>0</v>
          </cell>
          <cell r="CL1498">
            <v>0</v>
          </cell>
        </row>
        <row r="1499">
          <cell r="B1499" t="str">
            <v>teleworking</v>
          </cell>
          <cell r="D1499">
            <v>3.5</v>
          </cell>
          <cell r="I1499">
            <v>0.60099000000000002</v>
          </cell>
          <cell r="K1499">
            <v>1.28</v>
          </cell>
          <cell r="CG1499">
            <v>1</v>
          </cell>
          <cell r="CH1499">
            <v>1</v>
          </cell>
          <cell r="CI1499">
            <v>0</v>
          </cell>
          <cell r="CJ1499">
            <v>0</v>
          </cell>
          <cell r="CK1499">
            <v>0</v>
          </cell>
          <cell r="CL1499">
            <v>0</v>
          </cell>
        </row>
        <row r="1500">
          <cell r="B1500" t="str">
            <v>teleworking</v>
          </cell>
          <cell r="D1500">
            <v>3.5</v>
          </cell>
          <cell r="I1500">
            <v>0.12189</v>
          </cell>
          <cell r="K1500">
            <v>70.331000000000003</v>
          </cell>
          <cell r="CG1500">
            <v>0</v>
          </cell>
          <cell r="CH1500">
            <v>0</v>
          </cell>
          <cell r="CI1500">
            <v>0</v>
          </cell>
          <cell r="CJ1500">
            <v>0</v>
          </cell>
          <cell r="CK1500">
            <v>0</v>
          </cell>
          <cell r="CL1500">
            <v>0</v>
          </cell>
        </row>
        <row r="1501">
          <cell r="B1501" t="str">
            <v>teleworking</v>
          </cell>
          <cell r="D1501">
            <v>3.5</v>
          </cell>
          <cell r="I1501">
            <v>0.11786000000000001</v>
          </cell>
          <cell r="K1501">
            <v>6.9870999999999999</v>
          </cell>
          <cell r="CG1501">
            <v>0</v>
          </cell>
          <cell r="CH1501">
            <v>0</v>
          </cell>
          <cell r="CI1501">
            <v>0</v>
          </cell>
          <cell r="CJ1501">
            <v>0</v>
          </cell>
          <cell r="CK1501">
            <v>0</v>
          </cell>
          <cell r="CL1501">
            <v>0</v>
          </cell>
        </row>
        <row r="1502">
          <cell r="B1502" t="str">
            <v>teleworking</v>
          </cell>
          <cell r="D1502">
            <v>3.5</v>
          </cell>
          <cell r="I1502">
            <v>0.13322000000000001</v>
          </cell>
          <cell r="K1502">
            <v>7.3579999999999997</v>
          </cell>
          <cell r="CG1502">
            <v>0</v>
          </cell>
          <cell r="CH1502">
            <v>0</v>
          </cell>
          <cell r="CI1502">
            <v>0</v>
          </cell>
          <cell r="CJ1502">
            <v>0</v>
          </cell>
          <cell r="CK1502">
            <v>0</v>
          </cell>
          <cell r="CL1502">
            <v>0</v>
          </cell>
        </row>
        <row r="1503">
          <cell r="B1503" t="str">
            <v>teleworking</v>
          </cell>
          <cell r="D1503">
            <v>3.5</v>
          </cell>
          <cell r="I1503">
            <v>0.16314000000000001</v>
          </cell>
          <cell r="K1503">
            <v>0.65976000000000001</v>
          </cell>
          <cell r="CG1503">
            <v>0</v>
          </cell>
          <cell r="CH1503">
            <v>0</v>
          </cell>
          <cell r="CI1503">
            <v>0</v>
          </cell>
          <cell r="CJ1503">
            <v>0</v>
          </cell>
          <cell r="CK1503">
            <v>0</v>
          </cell>
          <cell r="CL1503">
            <v>0</v>
          </cell>
        </row>
        <row r="1504">
          <cell r="B1504" t="str">
            <v>teleworking</v>
          </cell>
          <cell r="D1504">
            <v>3.5</v>
          </cell>
          <cell r="I1504">
            <v>0.36352000000000001</v>
          </cell>
          <cell r="K1504">
            <v>5.6265999999999998</v>
          </cell>
          <cell r="CG1504">
            <v>1</v>
          </cell>
          <cell r="CH1504">
            <v>1</v>
          </cell>
          <cell r="CI1504">
            <v>0</v>
          </cell>
          <cell r="CJ1504">
            <v>0</v>
          </cell>
          <cell r="CK1504">
            <v>0</v>
          </cell>
          <cell r="CL1504">
            <v>0</v>
          </cell>
        </row>
        <row r="1505">
          <cell r="B1505" t="str">
            <v>teleworking</v>
          </cell>
          <cell r="D1505">
            <v>3.5</v>
          </cell>
          <cell r="I1505">
            <v>0.28916999999999998</v>
          </cell>
          <cell r="K1505">
            <v>0.93688000000000005</v>
          </cell>
          <cell r="CG1505">
            <v>0</v>
          </cell>
          <cell r="CH1505">
            <v>0</v>
          </cell>
          <cell r="CI1505">
            <v>0</v>
          </cell>
          <cell r="CJ1505">
            <v>0</v>
          </cell>
          <cell r="CK1505">
            <v>0</v>
          </cell>
          <cell r="CL1505">
            <v>0</v>
          </cell>
        </row>
        <row r="1506">
          <cell r="B1506" t="str">
            <v>teleworking</v>
          </cell>
          <cell r="D1506">
            <v>3.5</v>
          </cell>
          <cell r="I1506">
            <v>0.13134000000000001</v>
          </cell>
          <cell r="K1506">
            <v>34.445</v>
          </cell>
          <cell r="CG1506">
            <v>1</v>
          </cell>
          <cell r="CH1506">
            <v>1</v>
          </cell>
          <cell r="CI1506">
            <v>0</v>
          </cell>
          <cell r="CJ1506">
            <v>0</v>
          </cell>
          <cell r="CK1506">
            <v>0</v>
          </cell>
          <cell r="CL1506">
            <v>0</v>
          </cell>
        </row>
        <row r="1507">
          <cell r="B1507" t="str">
            <v>teleworking</v>
          </cell>
          <cell r="D1507">
            <v>3.5</v>
          </cell>
          <cell r="I1507">
            <v>0.19217999999999999</v>
          </cell>
          <cell r="K1507">
            <v>3.5550999999999999</v>
          </cell>
          <cell r="CG1507">
            <v>0</v>
          </cell>
          <cell r="CH1507">
            <v>0</v>
          </cell>
          <cell r="CI1507">
            <v>0</v>
          </cell>
          <cell r="CJ1507">
            <v>0</v>
          </cell>
          <cell r="CK1507">
            <v>0</v>
          </cell>
          <cell r="CL1507">
            <v>0</v>
          </cell>
        </row>
        <row r="1508">
          <cell r="B1508" t="str">
            <v>teleworking</v>
          </cell>
          <cell r="D1508">
            <v>3.5</v>
          </cell>
          <cell r="I1508">
            <v>0.19075</v>
          </cell>
          <cell r="K1508">
            <v>123.91</v>
          </cell>
          <cell r="CG1508">
            <v>1</v>
          </cell>
          <cell r="CH1508">
            <v>1</v>
          </cell>
          <cell r="CI1508">
            <v>0</v>
          </cell>
          <cell r="CJ1508">
            <v>0</v>
          </cell>
          <cell r="CK1508">
            <v>0</v>
          </cell>
          <cell r="CL1508">
            <v>0</v>
          </cell>
        </row>
        <row r="1509">
          <cell r="B1509" t="str">
            <v>teleworking</v>
          </cell>
          <cell r="D1509">
            <v>3.5</v>
          </cell>
          <cell r="I1509">
            <v>2.7744</v>
          </cell>
          <cell r="K1509">
            <v>11.444000000000001</v>
          </cell>
          <cell r="CG1509">
            <v>0</v>
          </cell>
          <cell r="CH1509">
            <v>0</v>
          </cell>
          <cell r="CI1509">
            <v>0</v>
          </cell>
          <cell r="CJ1509">
            <v>0</v>
          </cell>
          <cell r="CK1509">
            <v>0</v>
          </cell>
          <cell r="CL1509">
            <v>0</v>
          </cell>
        </row>
        <row r="1510">
          <cell r="B1510" t="str">
            <v>teleworking</v>
          </cell>
          <cell r="D1510">
            <v>3.5</v>
          </cell>
          <cell r="I1510">
            <v>0.27052999999999999</v>
          </cell>
          <cell r="K1510">
            <v>8.1233000000000004</v>
          </cell>
          <cell r="CG1510">
            <v>1</v>
          </cell>
          <cell r="CH1510">
            <v>1</v>
          </cell>
          <cell r="CI1510">
            <v>0</v>
          </cell>
          <cell r="CJ1510">
            <v>0</v>
          </cell>
          <cell r="CK1510">
            <v>0</v>
          </cell>
          <cell r="CL1510">
            <v>0</v>
          </cell>
        </row>
        <row r="1511">
          <cell r="B1511" t="str">
            <v>teleworking</v>
          </cell>
          <cell r="D1511">
            <v>3.5</v>
          </cell>
          <cell r="I1511">
            <v>0.27296999999999999</v>
          </cell>
          <cell r="K1511">
            <v>1.2242999999999999</v>
          </cell>
          <cell r="CG1511">
            <v>0</v>
          </cell>
          <cell r="CH1511">
            <v>0</v>
          </cell>
          <cell r="CI1511">
            <v>0</v>
          </cell>
          <cell r="CJ1511">
            <v>0</v>
          </cell>
          <cell r="CK1511">
            <v>0</v>
          </cell>
          <cell r="CL1511">
            <v>0</v>
          </cell>
        </row>
        <row r="1512">
          <cell r="B1512" t="str">
            <v>teleworking</v>
          </cell>
          <cell r="D1512">
            <v>1.1000000000000001</v>
          </cell>
          <cell r="I1512">
            <v>1.9608000000000001</v>
          </cell>
          <cell r="K1512">
            <v>3.0703000000000001E-2</v>
          </cell>
          <cell r="CG1512">
            <v>1</v>
          </cell>
          <cell r="CH1512">
            <v>1</v>
          </cell>
          <cell r="CI1512">
            <v>0</v>
          </cell>
          <cell r="CJ1512">
            <v>0</v>
          </cell>
          <cell r="CK1512">
            <v>0</v>
          </cell>
          <cell r="CL1512">
            <v>0</v>
          </cell>
        </row>
        <row r="1513">
          <cell r="B1513" t="str">
            <v>teleworking</v>
          </cell>
          <cell r="D1513">
            <v>1.1000000000000001</v>
          </cell>
          <cell r="I1513">
            <v>0.16952</v>
          </cell>
          <cell r="K1513">
            <v>7.7428999999999996E-3</v>
          </cell>
          <cell r="CG1513">
            <v>1</v>
          </cell>
          <cell r="CH1513">
            <v>1</v>
          </cell>
          <cell r="CI1513">
            <v>0</v>
          </cell>
          <cell r="CJ1513">
            <v>1</v>
          </cell>
          <cell r="CK1513">
            <v>0</v>
          </cell>
          <cell r="CL1513">
            <v>0</v>
          </cell>
          <cell r="CM1513" t="str">
            <v>to 2019 only</v>
          </cell>
        </row>
        <row r="1514">
          <cell r="B1514" t="str">
            <v>teleworking</v>
          </cell>
          <cell r="D1514">
            <v>1.1000000000000001</v>
          </cell>
          <cell r="I1514">
            <v>1.9608000000000001</v>
          </cell>
          <cell r="K1514">
            <v>3.0703000000000001E-2</v>
          </cell>
          <cell r="CG1514">
            <v>1</v>
          </cell>
          <cell r="CH1514">
            <v>1</v>
          </cell>
          <cell r="CI1514">
            <v>0</v>
          </cell>
          <cell r="CJ1514">
            <v>0</v>
          </cell>
          <cell r="CK1514">
            <v>0</v>
          </cell>
          <cell r="CL1514">
            <v>0</v>
          </cell>
          <cell r="CM1514" t="str">
            <v>full market share indicator includes covid</v>
          </cell>
        </row>
        <row r="1515">
          <cell r="B1515" t="str">
            <v>teleworking</v>
          </cell>
          <cell r="D1515">
            <v>3.2</v>
          </cell>
          <cell r="I1515">
            <v>2.6791999999999998</v>
          </cell>
          <cell r="K1515">
            <v>3.0685E-2</v>
          </cell>
          <cell r="CG1515">
            <v>1</v>
          </cell>
          <cell r="CH1515">
            <v>1</v>
          </cell>
          <cell r="CI1515">
            <v>0</v>
          </cell>
          <cell r="CJ1515">
            <v>0</v>
          </cell>
          <cell r="CK1515">
            <v>0</v>
          </cell>
          <cell r="CL1515">
            <v>1</v>
          </cell>
        </row>
        <row r="1516">
          <cell r="B1516" t="str">
            <v>teleworking</v>
          </cell>
          <cell r="D1516">
            <v>3.2</v>
          </cell>
          <cell r="I1516">
            <v>1.2414000000000001</v>
          </cell>
          <cell r="K1516">
            <v>3.0667E-2</v>
          </cell>
          <cell r="CG1516">
            <v>1</v>
          </cell>
          <cell r="CH1516">
            <v>1</v>
          </cell>
          <cell r="CI1516">
            <v>0</v>
          </cell>
          <cell r="CJ1516">
            <v>0</v>
          </cell>
          <cell r="CK1516">
            <v>0</v>
          </cell>
          <cell r="CL1516">
            <v>0</v>
          </cell>
        </row>
        <row r="1517">
          <cell r="B1517" t="str">
            <v>teleworking</v>
          </cell>
          <cell r="D1517">
            <v>3.5</v>
          </cell>
          <cell r="I1517">
            <v>0.17385</v>
          </cell>
          <cell r="K1517">
            <v>0.12872</v>
          </cell>
          <cell r="CG1517">
            <v>1</v>
          </cell>
          <cell r="CH1517">
            <v>1</v>
          </cell>
          <cell r="CI1517">
            <v>0</v>
          </cell>
          <cell r="CJ1517">
            <v>0</v>
          </cell>
          <cell r="CK1517">
            <v>0</v>
          </cell>
          <cell r="CL1517">
            <v>1</v>
          </cell>
        </row>
        <row r="1518">
          <cell r="B1518" t="str">
            <v>teleworking</v>
          </cell>
          <cell r="D1518">
            <v>3.5</v>
          </cell>
          <cell r="I1518">
            <v>51.768000000000001</v>
          </cell>
          <cell r="K1518">
            <v>9.3544000000000006E-3</v>
          </cell>
          <cell r="CG1518">
            <v>0</v>
          </cell>
          <cell r="CH1518">
            <v>1</v>
          </cell>
          <cell r="CI1518">
            <v>0</v>
          </cell>
          <cell r="CJ1518">
            <v>0</v>
          </cell>
          <cell r="CK1518">
            <v>0</v>
          </cell>
          <cell r="CL1518">
            <v>0</v>
          </cell>
        </row>
        <row r="1519">
          <cell r="B1519" t="str">
            <v>teleworking</v>
          </cell>
          <cell r="D1519">
            <v>3.5</v>
          </cell>
          <cell r="I1519">
            <v>20.282</v>
          </cell>
          <cell r="K1519">
            <v>2.1475999999999999E-2</v>
          </cell>
          <cell r="CG1519">
            <v>0</v>
          </cell>
          <cell r="CH1519">
            <v>1</v>
          </cell>
          <cell r="CI1519">
            <v>0</v>
          </cell>
          <cell r="CJ1519">
            <v>0</v>
          </cell>
          <cell r="CK1519">
            <v>0</v>
          </cell>
          <cell r="CL1519">
            <v>0</v>
          </cell>
        </row>
        <row r="1520">
          <cell r="B1520" t="str">
            <v>teleworking</v>
          </cell>
          <cell r="D1520">
            <v>3.5</v>
          </cell>
          <cell r="I1520">
            <v>74.066000000000003</v>
          </cell>
          <cell r="K1520">
            <v>1.8474000000000001E-2</v>
          </cell>
          <cell r="CG1520">
            <v>0</v>
          </cell>
          <cell r="CH1520">
            <v>1</v>
          </cell>
          <cell r="CI1520">
            <v>0</v>
          </cell>
          <cell r="CJ1520">
            <v>0</v>
          </cell>
          <cell r="CK1520">
            <v>0</v>
          </cell>
          <cell r="CL1520">
            <v>0</v>
          </cell>
        </row>
        <row r="1521">
          <cell r="B1521" t="str">
            <v>teleworking</v>
          </cell>
          <cell r="D1521">
            <v>3.5</v>
          </cell>
          <cell r="I1521">
            <v>0.41288000000000002</v>
          </cell>
          <cell r="K1521">
            <v>2.2183999999999999E-2</v>
          </cell>
          <cell r="CG1521">
            <v>1</v>
          </cell>
          <cell r="CH1521">
            <v>1</v>
          </cell>
          <cell r="CI1521">
            <v>0</v>
          </cell>
          <cell r="CJ1521">
            <v>0</v>
          </cell>
          <cell r="CK1521">
            <v>0</v>
          </cell>
          <cell r="CL1521">
            <v>0</v>
          </cell>
        </row>
        <row r="1522">
          <cell r="B1522" t="str">
            <v>teleworking</v>
          </cell>
          <cell r="D1522">
            <v>3.5</v>
          </cell>
          <cell r="I1522">
            <v>1.5337000000000001</v>
          </cell>
          <cell r="K1522">
            <v>3.61E-2</v>
          </cell>
          <cell r="CG1522">
            <v>1</v>
          </cell>
          <cell r="CH1522">
            <v>1</v>
          </cell>
          <cell r="CI1522">
            <v>0</v>
          </cell>
          <cell r="CJ1522">
            <v>0</v>
          </cell>
          <cell r="CK1522">
            <v>0</v>
          </cell>
          <cell r="CL1522">
            <v>0</v>
          </cell>
        </row>
        <row r="1523">
          <cell r="B1523" t="str">
            <v>teleworking</v>
          </cell>
          <cell r="D1523">
            <v>3.5</v>
          </cell>
          <cell r="I1523">
            <v>0.15098</v>
          </cell>
          <cell r="K1523">
            <v>1.1642999999999999</v>
          </cell>
          <cell r="CG1523">
            <v>0</v>
          </cell>
          <cell r="CH1523">
            <v>0</v>
          </cell>
          <cell r="CI1523">
            <v>0</v>
          </cell>
          <cell r="CJ1523">
            <v>0</v>
          </cell>
          <cell r="CK1523">
            <v>0</v>
          </cell>
          <cell r="CL1523">
            <v>0</v>
          </cell>
        </row>
        <row r="1524">
          <cell r="B1524" t="str">
            <v>teleworking</v>
          </cell>
          <cell r="D1524">
            <v>3.5</v>
          </cell>
          <cell r="I1524">
            <v>0.13242000000000001</v>
          </cell>
          <cell r="K1524">
            <v>0.10899</v>
          </cell>
          <cell r="CG1524">
            <v>0</v>
          </cell>
          <cell r="CH1524">
            <v>0</v>
          </cell>
          <cell r="CI1524">
            <v>0</v>
          </cell>
          <cell r="CJ1524">
            <v>0</v>
          </cell>
          <cell r="CK1524">
            <v>0</v>
          </cell>
          <cell r="CL1524">
            <v>0</v>
          </cell>
        </row>
        <row r="1525">
          <cell r="B1525" t="str">
            <v>teleworking</v>
          </cell>
          <cell r="D1525">
            <v>3.5</v>
          </cell>
          <cell r="I1525">
            <v>0.17385</v>
          </cell>
          <cell r="K1525">
            <v>0.12872</v>
          </cell>
          <cell r="CG1525">
            <v>0</v>
          </cell>
          <cell r="CH1525">
            <v>0</v>
          </cell>
          <cell r="CI1525">
            <v>0</v>
          </cell>
          <cell r="CJ1525">
            <v>0</v>
          </cell>
          <cell r="CK1525">
            <v>0</v>
          </cell>
          <cell r="CL1525">
            <v>0</v>
          </cell>
        </row>
        <row r="1526">
          <cell r="B1526" t="str">
            <v>teleworking</v>
          </cell>
          <cell r="D1526">
            <v>3.5</v>
          </cell>
          <cell r="I1526">
            <v>61.03</v>
          </cell>
          <cell r="K1526">
            <v>1.3384999999999999E-2</v>
          </cell>
          <cell r="CG1526">
            <v>0</v>
          </cell>
          <cell r="CH1526">
            <v>0</v>
          </cell>
          <cell r="CI1526">
            <v>0</v>
          </cell>
          <cell r="CJ1526">
            <v>0</v>
          </cell>
          <cell r="CK1526">
            <v>0</v>
          </cell>
          <cell r="CL1526">
            <v>0</v>
          </cell>
        </row>
        <row r="1527">
          <cell r="B1527" t="str">
            <v>teleworking</v>
          </cell>
          <cell r="D1527">
            <v>3.5</v>
          </cell>
          <cell r="I1527">
            <v>0.48209000000000002</v>
          </cell>
          <cell r="K1527">
            <v>0.11212</v>
          </cell>
          <cell r="CG1527">
            <v>1</v>
          </cell>
          <cell r="CH1527">
            <v>1</v>
          </cell>
          <cell r="CI1527">
            <v>0</v>
          </cell>
          <cell r="CJ1527">
            <v>0</v>
          </cell>
          <cell r="CK1527">
            <v>0</v>
          </cell>
          <cell r="CL1527">
            <v>0</v>
          </cell>
        </row>
        <row r="1528">
          <cell r="B1528" t="str">
            <v>teleworking</v>
          </cell>
          <cell r="D1528">
            <v>3.5</v>
          </cell>
          <cell r="I1528">
            <v>21.978999999999999</v>
          </cell>
          <cell r="K1528">
            <v>1.9178000000000001E-2</v>
          </cell>
          <cell r="CG1528">
            <v>0</v>
          </cell>
          <cell r="CH1528">
            <v>0</v>
          </cell>
          <cell r="CI1528">
            <v>0</v>
          </cell>
          <cell r="CJ1528">
            <v>0</v>
          </cell>
          <cell r="CK1528">
            <v>0</v>
          </cell>
          <cell r="CL1528">
            <v>0</v>
          </cell>
        </row>
        <row r="1529">
          <cell r="B1529" t="str">
            <v>teleworking</v>
          </cell>
          <cell r="D1529">
            <v>3.5</v>
          </cell>
          <cell r="I1529">
            <v>0.49112</v>
          </cell>
          <cell r="K1529">
            <v>5.7533000000000001E-2</v>
          </cell>
          <cell r="CG1529">
            <v>1</v>
          </cell>
          <cell r="CH1529">
            <v>1</v>
          </cell>
          <cell r="CI1529">
            <v>0</v>
          </cell>
          <cell r="CJ1529">
            <v>0</v>
          </cell>
          <cell r="CK1529">
            <v>0</v>
          </cell>
          <cell r="CL1529">
            <v>0</v>
          </cell>
        </row>
        <row r="1530">
          <cell r="B1530" t="str">
            <v>teleworking</v>
          </cell>
          <cell r="D1530">
            <v>3.5</v>
          </cell>
          <cell r="I1530">
            <v>17.879000000000001</v>
          </cell>
          <cell r="K1530">
            <v>1.5502E-2</v>
          </cell>
          <cell r="CG1530">
            <v>0</v>
          </cell>
          <cell r="CH1530">
            <v>0</v>
          </cell>
          <cell r="CI1530">
            <v>0</v>
          </cell>
          <cell r="CJ1530">
            <v>0</v>
          </cell>
          <cell r="CK1530">
            <v>0</v>
          </cell>
          <cell r="CL1530">
            <v>0</v>
          </cell>
        </row>
        <row r="1531">
          <cell r="B1531" t="str">
            <v>teleworking</v>
          </cell>
          <cell r="D1531">
            <v>3.5</v>
          </cell>
          <cell r="I1531">
            <v>0.44352000000000003</v>
          </cell>
          <cell r="K1531">
            <v>8.3071999999999993E-2</v>
          </cell>
          <cell r="CG1531">
            <v>1</v>
          </cell>
          <cell r="CH1531">
            <v>1</v>
          </cell>
          <cell r="CI1531">
            <v>0</v>
          </cell>
          <cell r="CJ1531">
            <v>0</v>
          </cell>
          <cell r="CK1531">
            <v>0</v>
          </cell>
          <cell r="CL1531">
            <v>0</v>
          </cell>
        </row>
        <row r="1532">
          <cell r="B1532" t="str">
            <v>teleworking</v>
          </cell>
          <cell r="D1532">
            <v>3.5</v>
          </cell>
          <cell r="I1532">
            <v>0.34928999999999999</v>
          </cell>
          <cell r="K1532">
            <v>1.9588000000000001E-2</v>
          </cell>
          <cell r="CG1532">
            <v>0</v>
          </cell>
          <cell r="CH1532">
            <v>0</v>
          </cell>
          <cell r="CI1532">
            <v>0</v>
          </cell>
          <cell r="CJ1532">
            <v>0</v>
          </cell>
          <cell r="CK1532">
            <v>0</v>
          </cell>
          <cell r="CL1532">
            <v>0</v>
          </cell>
        </row>
        <row r="1533">
          <cell r="B1533" t="str">
            <v>teleworking</v>
          </cell>
          <cell r="D1533">
            <v>3.5</v>
          </cell>
          <cell r="I1533">
            <v>0.57369000000000003</v>
          </cell>
          <cell r="K1533">
            <v>0.183</v>
          </cell>
          <cell r="CG1533">
            <v>1</v>
          </cell>
          <cell r="CH1533">
            <v>1</v>
          </cell>
          <cell r="CI1533">
            <v>0</v>
          </cell>
          <cell r="CJ1533">
            <v>0</v>
          </cell>
          <cell r="CK1533">
            <v>0</v>
          </cell>
          <cell r="CL1533">
            <v>0</v>
          </cell>
        </row>
        <row r="1534">
          <cell r="B1534" t="str">
            <v>teleworking</v>
          </cell>
          <cell r="D1534">
            <v>3.5</v>
          </cell>
          <cell r="I1534">
            <v>1.3119000000000001</v>
          </cell>
          <cell r="K1534">
            <v>3.3524999999999999E-2</v>
          </cell>
          <cell r="CG1534">
            <v>0</v>
          </cell>
          <cell r="CH1534">
            <v>0</v>
          </cell>
          <cell r="CI1534">
            <v>0</v>
          </cell>
          <cell r="CJ1534">
            <v>0</v>
          </cell>
          <cell r="CK1534">
            <v>0</v>
          </cell>
          <cell r="CL1534">
            <v>0</v>
          </cell>
        </row>
        <row r="1535">
          <cell r="B1535" t="str">
            <v>teleworking</v>
          </cell>
          <cell r="D1535">
            <v>1.1000000000000001</v>
          </cell>
          <cell r="I1535">
            <v>0.45149</v>
          </cell>
          <cell r="K1535">
            <v>4.5151999999999996E-3</v>
          </cell>
          <cell r="CG1535">
            <v>0</v>
          </cell>
          <cell r="CH1535">
            <v>1</v>
          </cell>
          <cell r="CI1535">
            <v>0</v>
          </cell>
          <cell r="CJ1535">
            <v>0</v>
          </cell>
          <cell r="CK1535">
            <v>0</v>
          </cell>
          <cell r="CL1535">
            <v>0</v>
          </cell>
        </row>
        <row r="1536">
          <cell r="B1536" t="str">
            <v>teleworking</v>
          </cell>
          <cell r="D1536">
            <v>1.1000000000000001</v>
          </cell>
          <cell r="I1536">
            <v>0.13217999999999999</v>
          </cell>
          <cell r="K1536">
            <v>8.0000000000000004E-4</v>
          </cell>
          <cell r="CG1536">
            <v>0</v>
          </cell>
          <cell r="CH1536">
            <v>1</v>
          </cell>
          <cell r="CI1536">
            <v>0</v>
          </cell>
          <cell r="CJ1536">
            <v>1</v>
          </cell>
          <cell r="CK1536">
            <v>0</v>
          </cell>
          <cell r="CL1536">
            <v>0</v>
          </cell>
          <cell r="CM1536" t="str">
            <v>to 2019 only</v>
          </cell>
        </row>
        <row r="1537">
          <cell r="B1537" t="str">
            <v>teleworking</v>
          </cell>
          <cell r="D1537">
            <v>1.1000000000000001</v>
          </cell>
          <cell r="I1537">
            <v>0.45149</v>
          </cell>
          <cell r="K1537">
            <v>4.5151999999999996E-3</v>
          </cell>
          <cell r="CG1537">
            <v>0</v>
          </cell>
          <cell r="CH1537">
            <v>1</v>
          </cell>
          <cell r="CI1537">
            <v>0</v>
          </cell>
          <cell r="CJ1537">
            <v>0</v>
          </cell>
          <cell r="CK1537">
            <v>0</v>
          </cell>
          <cell r="CL1537">
            <v>0</v>
          </cell>
          <cell r="CM1537" t="str">
            <v>full market share indicator includes covid</v>
          </cell>
        </row>
        <row r="1538">
          <cell r="B1538" t="str">
            <v>teleworking</v>
          </cell>
          <cell r="D1538">
            <v>3.2</v>
          </cell>
          <cell r="I1538">
            <v>0.55647000000000002</v>
          </cell>
          <cell r="K1538">
            <v>6.1878999999999997E-3</v>
          </cell>
          <cell r="CG1538">
            <v>0</v>
          </cell>
          <cell r="CH1538">
            <v>1</v>
          </cell>
          <cell r="CI1538">
            <v>0</v>
          </cell>
          <cell r="CJ1538">
            <v>0</v>
          </cell>
          <cell r="CK1538">
            <v>0</v>
          </cell>
          <cell r="CL1538">
            <v>1</v>
          </cell>
        </row>
        <row r="1539">
          <cell r="B1539" t="str">
            <v>teleworking</v>
          </cell>
          <cell r="D1539">
            <v>3.2</v>
          </cell>
          <cell r="I1539">
            <v>0.40576000000000001</v>
          </cell>
          <cell r="K1539">
            <v>3.2303000000000002E-3</v>
          </cell>
          <cell r="CG1539">
            <v>0</v>
          </cell>
          <cell r="CH1539">
            <v>1</v>
          </cell>
          <cell r="CI1539">
            <v>0</v>
          </cell>
          <cell r="CJ1539">
            <v>0</v>
          </cell>
          <cell r="CK1539">
            <v>0</v>
          </cell>
          <cell r="CL1539">
            <v>0</v>
          </cell>
        </row>
        <row r="1540">
          <cell r="B1540" t="str">
            <v>teleworking</v>
          </cell>
          <cell r="D1540">
            <v>3.5</v>
          </cell>
          <cell r="I1540">
            <v>0.32876</v>
          </cell>
          <cell r="K1540">
            <v>9.1700000000000004E-2</v>
          </cell>
          <cell r="CG1540">
            <v>1</v>
          </cell>
          <cell r="CH1540">
            <v>1</v>
          </cell>
          <cell r="CI1540">
            <v>0</v>
          </cell>
          <cell r="CJ1540">
            <v>0</v>
          </cell>
          <cell r="CK1540">
            <v>0</v>
          </cell>
          <cell r="CL1540">
            <v>1</v>
          </cell>
        </row>
        <row r="1541">
          <cell r="B1541" t="str">
            <v>teleworking</v>
          </cell>
          <cell r="D1541">
            <v>3.5</v>
          </cell>
          <cell r="I1541">
            <v>61.009</v>
          </cell>
          <cell r="K1541">
            <v>1.0012999999999999E-2</v>
          </cell>
          <cell r="CG1541">
            <v>0</v>
          </cell>
          <cell r="CH1541">
            <v>1</v>
          </cell>
          <cell r="CI1541">
            <v>0</v>
          </cell>
          <cell r="CJ1541">
            <v>0</v>
          </cell>
          <cell r="CK1541">
            <v>0</v>
          </cell>
          <cell r="CL1541">
            <v>0</v>
          </cell>
        </row>
        <row r="1542">
          <cell r="B1542" t="str">
            <v>teleworking</v>
          </cell>
          <cell r="D1542">
            <v>3.5</v>
          </cell>
          <cell r="I1542">
            <v>0.56618999999999997</v>
          </cell>
          <cell r="K1542">
            <v>1.2253E-2</v>
          </cell>
          <cell r="CG1542">
            <v>0</v>
          </cell>
          <cell r="CH1542">
            <v>1</v>
          </cell>
          <cell r="CI1542">
            <v>0</v>
          </cell>
          <cell r="CJ1542">
            <v>0</v>
          </cell>
          <cell r="CK1542">
            <v>0</v>
          </cell>
          <cell r="CL1542">
            <v>0</v>
          </cell>
        </row>
        <row r="1543">
          <cell r="B1543" t="str">
            <v>teleworking</v>
          </cell>
          <cell r="D1543">
            <v>3.5</v>
          </cell>
          <cell r="I1543">
            <v>2.1141000000000001</v>
          </cell>
          <cell r="K1543">
            <v>1.8943000000000002E-2</v>
          </cell>
          <cell r="CG1543">
            <v>0</v>
          </cell>
          <cell r="CH1543">
            <v>1</v>
          </cell>
          <cell r="CI1543">
            <v>0</v>
          </cell>
          <cell r="CJ1543">
            <v>0</v>
          </cell>
          <cell r="CK1543">
            <v>0</v>
          </cell>
          <cell r="CL1543">
            <v>0</v>
          </cell>
        </row>
        <row r="1544">
          <cell r="B1544" t="str">
            <v>teleworking</v>
          </cell>
          <cell r="D1544">
            <v>3.5</v>
          </cell>
          <cell r="I1544">
            <v>85.325000000000003</v>
          </cell>
          <cell r="K1544">
            <v>5.2464999999999998E-2</v>
          </cell>
          <cell r="CG1544">
            <v>0</v>
          </cell>
          <cell r="CH1544">
            <v>1</v>
          </cell>
          <cell r="CI1544">
            <v>0</v>
          </cell>
          <cell r="CJ1544">
            <v>0</v>
          </cell>
          <cell r="CK1544">
            <v>0</v>
          </cell>
          <cell r="CL1544">
            <v>0</v>
          </cell>
        </row>
        <row r="1545">
          <cell r="B1545" t="str">
            <v>teleworking</v>
          </cell>
          <cell r="D1545">
            <v>3.5</v>
          </cell>
          <cell r="I1545">
            <v>43.982999999999997</v>
          </cell>
          <cell r="K1545">
            <v>1.4625000000000001E-2</v>
          </cell>
          <cell r="CG1545">
            <v>0</v>
          </cell>
          <cell r="CH1545">
            <v>1</v>
          </cell>
          <cell r="CI1545">
            <v>0</v>
          </cell>
          <cell r="CJ1545">
            <v>0</v>
          </cell>
          <cell r="CK1545">
            <v>0</v>
          </cell>
          <cell r="CL1545">
            <v>0</v>
          </cell>
        </row>
        <row r="1546">
          <cell r="B1546" t="str">
            <v>teleworking</v>
          </cell>
          <cell r="D1546">
            <v>3.5</v>
          </cell>
          <cell r="I1546">
            <v>0.33660000000000001</v>
          </cell>
          <cell r="K1546">
            <v>0.49934000000000001</v>
          </cell>
          <cell r="CG1546">
            <v>0</v>
          </cell>
          <cell r="CH1546">
            <v>0</v>
          </cell>
          <cell r="CI1546">
            <v>0</v>
          </cell>
          <cell r="CJ1546">
            <v>0</v>
          </cell>
          <cell r="CK1546">
            <v>0</v>
          </cell>
          <cell r="CL1546">
            <v>0</v>
          </cell>
        </row>
        <row r="1547">
          <cell r="B1547" t="str">
            <v>teleworking</v>
          </cell>
          <cell r="D1547">
            <v>3.5</v>
          </cell>
          <cell r="I1547">
            <v>0.22750999999999999</v>
          </cell>
          <cell r="K1547">
            <v>5.6446000000000003E-2</v>
          </cell>
          <cell r="CG1547">
            <v>0</v>
          </cell>
          <cell r="CH1547">
            <v>0</v>
          </cell>
          <cell r="CI1547">
            <v>0</v>
          </cell>
          <cell r="CJ1547">
            <v>0</v>
          </cell>
          <cell r="CK1547">
            <v>0</v>
          </cell>
          <cell r="CL1547">
            <v>0</v>
          </cell>
        </row>
        <row r="1548">
          <cell r="B1548" t="str">
            <v>teleworking</v>
          </cell>
          <cell r="D1548">
            <v>3.5</v>
          </cell>
          <cell r="I1548">
            <v>0.32876</v>
          </cell>
          <cell r="K1548">
            <v>9.1700000000000004E-2</v>
          </cell>
          <cell r="CG1548">
            <v>0</v>
          </cell>
          <cell r="CH1548">
            <v>0</v>
          </cell>
          <cell r="CI1548">
            <v>0</v>
          </cell>
          <cell r="CJ1548">
            <v>0</v>
          </cell>
          <cell r="CK1548">
            <v>0</v>
          </cell>
          <cell r="CL1548">
            <v>0</v>
          </cell>
        </row>
        <row r="1549">
          <cell r="B1549" t="str">
            <v>teleworking</v>
          </cell>
          <cell r="D1549">
            <v>3.5</v>
          </cell>
          <cell r="I1549">
            <v>9.1790000000000003</v>
          </cell>
          <cell r="K1549">
            <v>1.4983E-2</v>
          </cell>
          <cell r="CG1549">
            <v>0</v>
          </cell>
          <cell r="CH1549">
            <v>0</v>
          </cell>
          <cell r="CI1549">
            <v>0</v>
          </cell>
          <cell r="CJ1549">
            <v>0</v>
          </cell>
          <cell r="CK1549">
            <v>0</v>
          </cell>
          <cell r="CL1549">
            <v>0</v>
          </cell>
        </row>
        <row r="1550">
          <cell r="B1550" t="str">
            <v>teleworking</v>
          </cell>
          <cell r="D1550">
            <v>3.5</v>
          </cell>
          <cell r="I1550">
            <v>0.25174999999999997</v>
          </cell>
          <cell r="K1550">
            <v>5.4677000000000003E-2</v>
          </cell>
          <cell r="CG1550">
            <v>1</v>
          </cell>
          <cell r="CH1550">
            <v>1</v>
          </cell>
          <cell r="CI1550">
            <v>0</v>
          </cell>
          <cell r="CJ1550">
            <v>0</v>
          </cell>
          <cell r="CK1550">
            <v>0</v>
          </cell>
          <cell r="CL1550">
            <v>0</v>
          </cell>
        </row>
        <row r="1551">
          <cell r="B1551" t="str">
            <v>teleworking</v>
          </cell>
          <cell r="D1551">
            <v>3.5</v>
          </cell>
          <cell r="I1551">
            <v>18.126000000000001</v>
          </cell>
          <cell r="K1551">
            <v>4.7619000000000003E-3</v>
          </cell>
          <cell r="CG1551">
            <v>0</v>
          </cell>
          <cell r="CH1551">
            <v>0</v>
          </cell>
          <cell r="CI1551">
            <v>0</v>
          </cell>
          <cell r="CJ1551">
            <v>0</v>
          </cell>
          <cell r="CK1551">
            <v>0</v>
          </cell>
          <cell r="CL1551">
            <v>0</v>
          </cell>
        </row>
        <row r="1552">
          <cell r="B1552" t="str">
            <v>teleworking</v>
          </cell>
          <cell r="D1552">
            <v>3.5</v>
          </cell>
          <cell r="I1552">
            <v>2.1396999999999999</v>
          </cell>
          <cell r="K1552">
            <v>2.6755000000000001E-2</v>
          </cell>
          <cell r="CG1552">
            <v>1</v>
          </cell>
          <cell r="CH1552">
            <v>1</v>
          </cell>
          <cell r="CI1552">
            <v>0</v>
          </cell>
          <cell r="CJ1552">
            <v>0</v>
          </cell>
          <cell r="CK1552">
            <v>0</v>
          </cell>
          <cell r="CL1552">
            <v>0</v>
          </cell>
        </row>
        <row r="1553">
          <cell r="B1553" t="str">
            <v>teleworking</v>
          </cell>
          <cell r="D1553">
            <v>3.5</v>
          </cell>
          <cell r="I1553">
            <v>2.1141000000000001</v>
          </cell>
          <cell r="K1553">
            <v>1.8943000000000002E-2</v>
          </cell>
          <cell r="CG1553">
            <v>0</v>
          </cell>
          <cell r="CH1553">
            <v>0</v>
          </cell>
          <cell r="CI1553">
            <v>0</v>
          </cell>
          <cell r="CJ1553">
            <v>0</v>
          </cell>
          <cell r="CK1553">
            <v>0</v>
          </cell>
          <cell r="CL1553">
            <v>0</v>
          </cell>
        </row>
        <row r="1554">
          <cell r="B1554" t="str">
            <v>teleworking</v>
          </cell>
          <cell r="D1554">
            <v>3.5</v>
          </cell>
          <cell r="I1554">
            <v>7.3221999999999996</v>
          </cell>
          <cell r="K1554">
            <v>0.21299000000000001</v>
          </cell>
          <cell r="CG1554">
            <v>1</v>
          </cell>
          <cell r="CH1554">
            <v>1</v>
          </cell>
          <cell r="CI1554">
            <v>0</v>
          </cell>
          <cell r="CJ1554">
            <v>0</v>
          </cell>
          <cell r="CK1554">
            <v>0</v>
          </cell>
          <cell r="CL1554">
            <v>0</v>
          </cell>
        </row>
        <row r="1555">
          <cell r="B1555" t="str">
            <v>teleworking</v>
          </cell>
          <cell r="D1555">
            <v>3.5</v>
          </cell>
          <cell r="I1555">
            <v>17.925999999999998</v>
          </cell>
          <cell r="K1555">
            <v>4.9251000000000003E-2</v>
          </cell>
          <cell r="CG1555">
            <v>0</v>
          </cell>
          <cell r="CH1555">
            <v>0</v>
          </cell>
          <cell r="CI1555">
            <v>0</v>
          </cell>
          <cell r="CJ1555">
            <v>0</v>
          </cell>
          <cell r="CK1555">
            <v>0</v>
          </cell>
          <cell r="CL1555">
            <v>0</v>
          </cell>
        </row>
        <row r="1556">
          <cell r="B1556" t="str">
            <v>teleworking</v>
          </cell>
          <cell r="D1556">
            <v>3.5</v>
          </cell>
          <cell r="I1556">
            <v>0.32312999999999997</v>
          </cell>
          <cell r="K1556">
            <v>6.7851999999999996E-2</v>
          </cell>
          <cell r="CG1556">
            <v>1</v>
          </cell>
          <cell r="CH1556">
            <v>1</v>
          </cell>
          <cell r="CI1556">
            <v>0</v>
          </cell>
          <cell r="CJ1556">
            <v>0</v>
          </cell>
          <cell r="CK1556">
            <v>0</v>
          </cell>
          <cell r="CL1556">
            <v>0</v>
          </cell>
        </row>
        <row r="1557">
          <cell r="B1557" t="str">
            <v>teleworking</v>
          </cell>
          <cell r="D1557">
            <v>3.5</v>
          </cell>
          <cell r="I1557">
            <v>10.83</v>
          </cell>
          <cell r="K1557">
            <v>9.4076999999999997E-3</v>
          </cell>
          <cell r="CG1557">
            <v>0</v>
          </cell>
          <cell r="CH1557">
            <v>0</v>
          </cell>
          <cell r="CI1557">
            <v>0</v>
          </cell>
          <cell r="CJ1557">
            <v>0</v>
          </cell>
          <cell r="CK1557">
            <v>0</v>
          </cell>
          <cell r="CL1557">
            <v>0</v>
          </cell>
        </row>
        <row r="1558">
          <cell r="B1558" t="str">
            <v>teleworking</v>
          </cell>
          <cell r="D1558">
            <v>1.1000000000000001</v>
          </cell>
          <cell r="I1558">
            <v>0.28410999999999997</v>
          </cell>
          <cell r="K1558">
            <v>3.503E-3</v>
          </cell>
          <cell r="CG1558">
            <v>1</v>
          </cell>
          <cell r="CH1558">
            <v>1</v>
          </cell>
          <cell r="CI1558">
            <v>0</v>
          </cell>
          <cell r="CJ1558">
            <v>0</v>
          </cell>
          <cell r="CK1558">
            <v>0</v>
          </cell>
          <cell r="CL1558">
            <v>0</v>
          </cell>
        </row>
        <row r="1559">
          <cell r="B1559" t="str">
            <v>teleworking</v>
          </cell>
          <cell r="D1559">
            <v>1.1000000000000001</v>
          </cell>
          <cell r="I1559">
            <v>2.537E-2</v>
          </cell>
          <cell r="K1559">
            <v>1.8571E-3</v>
          </cell>
          <cell r="CG1559">
            <v>1</v>
          </cell>
          <cell r="CH1559">
            <v>1</v>
          </cell>
          <cell r="CI1559">
            <v>1</v>
          </cell>
          <cell r="CJ1559">
            <v>1</v>
          </cell>
          <cell r="CK1559">
            <v>0</v>
          </cell>
          <cell r="CL1559">
            <v>0</v>
          </cell>
          <cell r="CM1559" t="str">
            <v>to 2019 only</v>
          </cell>
        </row>
        <row r="1560">
          <cell r="B1560" t="str">
            <v>teleworking</v>
          </cell>
          <cell r="D1560">
            <v>1.1000000000000001</v>
          </cell>
          <cell r="I1560">
            <v>0.28410999999999997</v>
          </cell>
          <cell r="K1560">
            <v>3.503E-3</v>
          </cell>
          <cell r="CG1560">
            <v>1</v>
          </cell>
          <cell r="CH1560">
            <v>1</v>
          </cell>
          <cell r="CI1560">
            <v>0</v>
          </cell>
          <cell r="CJ1560">
            <v>0</v>
          </cell>
          <cell r="CK1560">
            <v>0</v>
          </cell>
          <cell r="CL1560">
            <v>0</v>
          </cell>
          <cell r="CM1560" t="str">
            <v>full market share indicator includes covid</v>
          </cell>
        </row>
        <row r="1561">
          <cell r="B1561" t="str">
            <v>teleworking</v>
          </cell>
          <cell r="D1561">
            <v>3.2</v>
          </cell>
          <cell r="I1561">
            <v>0.23759</v>
          </cell>
          <cell r="K1561">
            <v>5.7939000000000003E-3</v>
          </cell>
          <cell r="CG1561">
            <v>1</v>
          </cell>
          <cell r="CH1561">
            <v>1</v>
          </cell>
          <cell r="CI1561">
            <v>0</v>
          </cell>
          <cell r="CJ1561">
            <v>0</v>
          </cell>
          <cell r="CK1561">
            <v>1</v>
          </cell>
          <cell r="CL1561">
            <v>1</v>
          </cell>
        </row>
        <row r="1562">
          <cell r="B1562" t="str">
            <v>teleworking</v>
          </cell>
          <cell r="D1562">
            <v>3.2</v>
          </cell>
          <cell r="I1562">
            <v>0.40353</v>
          </cell>
          <cell r="K1562">
            <v>1.4303E-3</v>
          </cell>
          <cell r="CG1562">
            <v>1</v>
          </cell>
          <cell r="CH1562">
            <v>1</v>
          </cell>
          <cell r="CI1562">
            <v>0</v>
          </cell>
          <cell r="CJ1562">
            <v>0</v>
          </cell>
          <cell r="CK1562">
            <v>0</v>
          </cell>
          <cell r="CL1562">
            <v>0</v>
          </cell>
        </row>
        <row r="1563">
          <cell r="B1563" t="str">
            <v>teleworking</v>
          </cell>
          <cell r="D1563">
            <v>3.5</v>
          </cell>
          <cell r="I1563">
            <v>0.17385</v>
          </cell>
          <cell r="K1563">
            <v>0.12872</v>
          </cell>
          <cell r="CG1563">
            <v>1</v>
          </cell>
          <cell r="CH1563">
            <v>1</v>
          </cell>
          <cell r="CI1563">
            <v>0</v>
          </cell>
          <cell r="CJ1563">
            <v>0</v>
          </cell>
          <cell r="CK1563">
            <v>1</v>
          </cell>
          <cell r="CL1563">
            <v>1</v>
          </cell>
        </row>
        <row r="1564">
          <cell r="B1564" t="str">
            <v>teleworking</v>
          </cell>
          <cell r="D1564">
            <v>3.5</v>
          </cell>
          <cell r="I1564">
            <v>51.768000000000001</v>
          </cell>
          <cell r="K1564">
            <v>9.3544000000000006E-3</v>
          </cell>
          <cell r="CG1564">
            <v>0</v>
          </cell>
          <cell r="CH1564">
            <v>1</v>
          </cell>
          <cell r="CI1564">
            <v>0</v>
          </cell>
          <cell r="CJ1564">
            <v>0</v>
          </cell>
          <cell r="CK1564">
            <v>0</v>
          </cell>
          <cell r="CL1564">
            <v>0</v>
          </cell>
        </row>
        <row r="1565">
          <cell r="B1565" t="str">
            <v>teleworking</v>
          </cell>
          <cell r="D1565">
            <v>3.5</v>
          </cell>
          <cell r="I1565">
            <v>20.282</v>
          </cell>
          <cell r="K1565">
            <v>2.1475999999999999E-2</v>
          </cell>
          <cell r="CG1565">
            <v>0</v>
          </cell>
          <cell r="CH1565">
            <v>1</v>
          </cell>
          <cell r="CI1565">
            <v>0</v>
          </cell>
          <cell r="CJ1565">
            <v>0</v>
          </cell>
          <cell r="CK1565">
            <v>0</v>
          </cell>
          <cell r="CL1565">
            <v>0</v>
          </cell>
        </row>
        <row r="1566">
          <cell r="B1566" t="str">
            <v>teleworking</v>
          </cell>
          <cell r="D1566">
            <v>3.5</v>
          </cell>
          <cell r="I1566">
            <v>74.066000000000003</v>
          </cell>
          <cell r="K1566">
            <v>1.8474000000000001E-2</v>
          </cell>
          <cell r="CG1566">
            <v>1</v>
          </cell>
          <cell r="CH1566">
            <v>1</v>
          </cell>
          <cell r="CI1566">
            <v>0</v>
          </cell>
          <cell r="CJ1566">
            <v>0</v>
          </cell>
          <cell r="CK1566">
            <v>0</v>
          </cell>
          <cell r="CL1566">
            <v>0</v>
          </cell>
        </row>
        <row r="1567">
          <cell r="B1567" t="str">
            <v>teleworking</v>
          </cell>
          <cell r="D1567">
            <v>3.5</v>
          </cell>
          <cell r="I1567">
            <v>0.41288000000000002</v>
          </cell>
          <cell r="K1567">
            <v>2.2183999999999999E-2</v>
          </cell>
          <cell r="CG1567">
            <v>1</v>
          </cell>
          <cell r="CH1567">
            <v>1</v>
          </cell>
          <cell r="CI1567">
            <v>0</v>
          </cell>
          <cell r="CJ1567">
            <v>0</v>
          </cell>
          <cell r="CK1567">
            <v>0</v>
          </cell>
          <cell r="CL1567">
            <v>0</v>
          </cell>
        </row>
        <row r="1568">
          <cell r="B1568" t="str">
            <v>teleworking</v>
          </cell>
          <cell r="D1568">
            <v>3.5</v>
          </cell>
          <cell r="I1568">
            <v>1.5337000000000001</v>
          </cell>
          <cell r="K1568">
            <v>3.61E-2</v>
          </cell>
          <cell r="CG1568">
            <v>1</v>
          </cell>
          <cell r="CH1568">
            <v>1</v>
          </cell>
          <cell r="CI1568">
            <v>0</v>
          </cell>
          <cell r="CJ1568">
            <v>0</v>
          </cell>
          <cell r="CK1568">
            <v>0</v>
          </cell>
          <cell r="CL1568">
            <v>0</v>
          </cell>
        </row>
        <row r="1569">
          <cell r="B1569" t="str">
            <v>teleworking</v>
          </cell>
          <cell r="D1569">
            <v>3.5</v>
          </cell>
          <cell r="I1569">
            <v>0.15098</v>
          </cell>
          <cell r="K1569">
            <v>1.1642999999999999</v>
          </cell>
          <cell r="CG1569">
            <v>0</v>
          </cell>
          <cell r="CH1569">
            <v>0</v>
          </cell>
          <cell r="CI1569">
            <v>0</v>
          </cell>
          <cell r="CJ1569">
            <v>0</v>
          </cell>
          <cell r="CK1569">
            <v>0</v>
          </cell>
          <cell r="CL1569">
            <v>0</v>
          </cell>
        </row>
        <row r="1570">
          <cell r="B1570" t="str">
            <v>teleworking</v>
          </cell>
          <cell r="D1570">
            <v>3.5</v>
          </cell>
          <cell r="I1570">
            <v>0.13242000000000001</v>
          </cell>
          <cell r="K1570">
            <v>0.10899</v>
          </cell>
          <cell r="CG1570">
            <v>0</v>
          </cell>
          <cell r="CH1570">
            <v>0</v>
          </cell>
          <cell r="CI1570">
            <v>0</v>
          </cell>
          <cell r="CJ1570">
            <v>0</v>
          </cell>
          <cell r="CK1570">
            <v>0</v>
          </cell>
          <cell r="CL1570">
            <v>0</v>
          </cell>
        </row>
        <row r="1571">
          <cell r="B1571" t="str">
            <v>teleworking</v>
          </cell>
          <cell r="D1571">
            <v>3.5</v>
          </cell>
          <cell r="I1571">
            <v>0.17385</v>
          </cell>
          <cell r="K1571">
            <v>0.12872</v>
          </cell>
          <cell r="CG1571">
            <v>0</v>
          </cell>
          <cell r="CH1571">
            <v>0</v>
          </cell>
          <cell r="CI1571">
            <v>0</v>
          </cell>
          <cell r="CJ1571">
            <v>0</v>
          </cell>
          <cell r="CK1571">
            <v>0</v>
          </cell>
          <cell r="CL1571">
            <v>0</v>
          </cell>
        </row>
        <row r="1572">
          <cell r="B1572" t="str">
            <v>teleworking</v>
          </cell>
          <cell r="D1572">
            <v>3.5</v>
          </cell>
          <cell r="I1572">
            <v>61.03</v>
          </cell>
          <cell r="K1572">
            <v>1.3384999999999999E-2</v>
          </cell>
          <cell r="CG1572">
            <v>0</v>
          </cell>
          <cell r="CH1572">
            <v>0</v>
          </cell>
          <cell r="CI1572">
            <v>0</v>
          </cell>
          <cell r="CJ1572">
            <v>0</v>
          </cell>
          <cell r="CK1572">
            <v>0</v>
          </cell>
          <cell r="CL1572">
            <v>0</v>
          </cell>
        </row>
        <row r="1573">
          <cell r="B1573" t="str">
            <v>teleworking</v>
          </cell>
          <cell r="D1573">
            <v>3.5</v>
          </cell>
          <cell r="I1573">
            <v>0.48209000000000002</v>
          </cell>
          <cell r="K1573">
            <v>0.11212</v>
          </cell>
          <cell r="CG1573">
            <v>1</v>
          </cell>
          <cell r="CH1573">
            <v>1</v>
          </cell>
          <cell r="CI1573">
            <v>0</v>
          </cell>
          <cell r="CJ1573">
            <v>0</v>
          </cell>
          <cell r="CK1573">
            <v>0</v>
          </cell>
          <cell r="CL1573">
            <v>0</v>
          </cell>
        </row>
        <row r="1574">
          <cell r="B1574" t="str">
            <v>teleworking</v>
          </cell>
          <cell r="D1574">
            <v>3.5</v>
          </cell>
          <cell r="I1574">
            <v>21.978999999999999</v>
          </cell>
          <cell r="K1574">
            <v>1.9178000000000001E-2</v>
          </cell>
          <cell r="CG1574">
            <v>0</v>
          </cell>
          <cell r="CH1574">
            <v>0</v>
          </cell>
          <cell r="CI1574">
            <v>0</v>
          </cell>
          <cell r="CJ1574">
            <v>0</v>
          </cell>
          <cell r="CK1574">
            <v>0</v>
          </cell>
          <cell r="CL1574">
            <v>0</v>
          </cell>
        </row>
        <row r="1575">
          <cell r="B1575" t="str">
            <v>teleworking</v>
          </cell>
          <cell r="D1575">
            <v>3.5</v>
          </cell>
          <cell r="I1575">
            <v>0.49112</v>
          </cell>
          <cell r="K1575">
            <v>5.7533000000000001E-2</v>
          </cell>
          <cell r="CG1575">
            <v>1</v>
          </cell>
          <cell r="CH1575">
            <v>1</v>
          </cell>
          <cell r="CI1575">
            <v>0</v>
          </cell>
          <cell r="CJ1575">
            <v>0</v>
          </cell>
          <cell r="CK1575">
            <v>0</v>
          </cell>
          <cell r="CL1575">
            <v>0</v>
          </cell>
        </row>
        <row r="1576">
          <cell r="B1576" t="str">
            <v>teleworking</v>
          </cell>
          <cell r="D1576">
            <v>3.5</v>
          </cell>
          <cell r="I1576">
            <v>17.879000000000001</v>
          </cell>
          <cell r="K1576">
            <v>1.5502E-2</v>
          </cell>
          <cell r="CG1576">
            <v>0</v>
          </cell>
          <cell r="CH1576">
            <v>0</v>
          </cell>
          <cell r="CI1576">
            <v>0</v>
          </cell>
          <cell r="CJ1576">
            <v>0</v>
          </cell>
          <cell r="CK1576">
            <v>0</v>
          </cell>
          <cell r="CL1576">
            <v>0</v>
          </cell>
        </row>
        <row r="1577">
          <cell r="B1577" t="str">
            <v>teleworking</v>
          </cell>
          <cell r="D1577">
            <v>3.5</v>
          </cell>
          <cell r="I1577">
            <v>0.44352000000000003</v>
          </cell>
          <cell r="K1577">
            <v>8.3071999999999993E-2</v>
          </cell>
          <cell r="CG1577">
            <v>1</v>
          </cell>
          <cell r="CH1577">
            <v>1</v>
          </cell>
          <cell r="CI1577">
            <v>0</v>
          </cell>
          <cell r="CJ1577">
            <v>0</v>
          </cell>
          <cell r="CK1577">
            <v>0</v>
          </cell>
          <cell r="CL1577">
            <v>0</v>
          </cell>
        </row>
        <row r="1578">
          <cell r="B1578" t="str">
            <v>teleworking</v>
          </cell>
          <cell r="D1578">
            <v>3.5</v>
          </cell>
          <cell r="I1578">
            <v>0.34928999999999999</v>
          </cell>
          <cell r="K1578">
            <v>1.9588000000000001E-2</v>
          </cell>
          <cell r="CG1578">
            <v>0</v>
          </cell>
          <cell r="CH1578">
            <v>0</v>
          </cell>
          <cell r="CI1578">
            <v>0</v>
          </cell>
          <cell r="CJ1578">
            <v>0</v>
          </cell>
          <cell r="CK1578">
            <v>0</v>
          </cell>
          <cell r="CL1578">
            <v>0</v>
          </cell>
        </row>
        <row r="1579">
          <cell r="B1579" t="str">
            <v>teleworking</v>
          </cell>
          <cell r="D1579">
            <v>3.5</v>
          </cell>
          <cell r="I1579">
            <v>0.57369000000000003</v>
          </cell>
          <cell r="K1579">
            <v>0.183</v>
          </cell>
          <cell r="CG1579">
            <v>1</v>
          </cell>
          <cell r="CH1579">
            <v>1</v>
          </cell>
          <cell r="CI1579">
            <v>0</v>
          </cell>
          <cell r="CJ1579">
            <v>0</v>
          </cell>
          <cell r="CK1579">
            <v>0</v>
          </cell>
          <cell r="CL1579">
            <v>0</v>
          </cell>
        </row>
        <row r="1580">
          <cell r="B1580" t="str">
            <v>teleworking</v>
          </cell>
          <cell r="D1580">
            <v>3.5</v>
          </cell>
          <cell r="I1580">
            <v>1.3119000000000001</v>
          </cell>
          <cell r="K1580">
            <v>3.3524999999999999E-2</v>
          </cell>
          <cell r="CG1580">
            <v>0</v>
          </cell>
          <cell r="CH1580">
            <v>0</v>
          </cell>
          <cell r="CI1580">
            <v>0</v>
          </cell>
          <cell r="CJ1580">
            <v>0</v>
          </cell>
          <cell r="CK1580">
            <v>0</v>
          </cell>
          <cell r="CL1580">
            <v>0</v>
          </cell>
        </row>
        <row r="1581">
          <cell r="B1581" t="str">
            <v>teleworking</v>
          </cell>
          <cell r="D1581">
            <v>1.1000000000000001</v>
          </cell>
          <cell r="I1581">
            <v>9.9700999999999998E-2</v>
          </cell>
          <cell r="K1581">
            <v>3.9119000000000003E-3</v>
          </cell>
          <cell r="CG1581">
            <v>0</v>
          </cell>
          <cell r="CH1581">
            <v>1</v>
          </cell>
          <cell r="CI1581">
            <v>0</v>
          </cell>
          <cell r="CJ1581">
            <v>0</v>
          </cell>
          <cell r="CK1581">
            <v>0</v>
          </cell>
          <cell r="CL1581">
            <v>0</v>
          </cell>
        </row>
        <row r="1582">
          <cell r="B1582" t="str">
            <v>teleworking</v>
          </cell>
          <cell r="D1582">
            <v>1.1000000000000001</v>
          </cell>
          <cell r="I1582">
            <v>0.29096</v>
          </cell>
          <cell r="K1582">
            <v>6.3690999999999997E-4</v>
          </cell>
          <cell r="CG1582">
            <v>0</v>
          </cell>
          <cell r="CH1582">
            <v>1</v>
          </cell>
          <cell r="CI1582">
            <v>0</v>
          </cell>
          <cell r="CJ1582">
            <v>1</v>
          </cell>
          <cell r="CK1582">
            <v>0</v>
          </cell>
          <cell r="CL1582">
            <v>0</v>
          </cell>
          <cell r="CM1582" t="str">
            <v>to 2019 only</v>
          </cell>
        </row>
        <row r="1583">
          <cell r="B1583" t="str">
            <v>teleworking</v>
          </cell>
          <cell r="D1583">
            <v>1.1000000000000001</v>
          </cell>
          <cell r="I1583">
            <v>0.10915</v>
          </cell>
          <cell r="K1583">
            <v>3.9119000000000003E-3</v>
          </cell>
          <cell r="CG1583">
            <v>0</v>
          </cell>
          <cell r="CH1583">
            <v>1</v>
          </cell>
          <cell r="CI1583">
            <v>0</v>
          </cell>
          <cell r="CJ1583">
            <v>0</v>
          </cell>
          <cell r="CK1583">
            <v>0</v>
          </cell>
          <cell r="CL1583">
            <v>0</v>
          </cell>
          <cell r="CM1583" t="str">
            <v>full market share indicator includes covid</v>
          </cell>
        </row>
        <row r="1584">
          <cell r="B1584" t="str">
            <v>teleworking</v>
          </cell>
          <cell r="D1584">
            <v>3.5</v>
          </cell>
          <cell r="I1584">
            <v>0.11629</v>
          </cell>
          <cell r="K1584">
            <v>2.7565</v>
          </cell>
          <cell r="CG1584">
            <v>1</v>
          </cell>
          <cell r="CH1584">
            <v>1</v>
          </cell>
          <cell r="CI1584">
            <v>0</v>
          </cell>
          <cell r="CJ1584">
            <v>0</v>
          </cell>
          <cell r="CK1584">
            <v>0</v>
          </cell>
          <cell r="CL1584">
            <v>1</v>
          </cell>
        </row>
        <row r="1585">
          <cell r="B1585" t="str">
            <v>teleworking</v>
          </cell>
          <cell r="D1585">
            <v>3.5</v>
          </cell>
          <cell r="I1585">
            <v>0.51432</v>
          </cell>
          <cell r="K1585">
            <v>0.20144999999999999</v>
          </cell>
          <cell r="CG1585">
            <v>1</v>
          </cell>
          <cell r="CH1585">
            <v>1</v>
          </cell>
          <cell r="CI1585">
            <v>0</v>
          </cell>
          <cell r="CJ1585">
            <v>0</v>
          </cell>
          <cell r="CK1585">
            <v>0</v>
          </cell>
          <cell r="CL1585">
            <v>0</v>
          </cell>
        </row>
        <row r="1586">
          <cell r="B1586" t="str">
            <v>teleworking</v>
          </cell>
          <cell r="D1586">
            <v>3.5</v>
          </cell>
          <cell r="I1586">
            <v>0.65605999999999998</v>
          </cell>
          <cell r="K1586">
            <v>0.43057000000000001</v>
          </cell>
          <cell r="CG1586">
            <v>1</v>
          </cell>
          <cell r="CH1586">
            <v>1</v>
          </cell>
          <cell r="CI1586">
            <v>0</v>
          </cell>
          <cell r="CJ1586">
            <v>0</v>
          </cell>
          <cell r="CK1586">
            <v>0</v>
          </cell>
          <cell r="CL1586">
            <v>0</v>
          </cell>
        </row>
        <row r="1587">
          <cell r="B1587" t="str">
            <v>teleworking</v>
          </cell>
          <cell r="D1587">
            <v>3.5</v>
          </cell>
          <cell r="I1587">
            <v>4.2405999999999997</v>
          </cell>
          <cell r="K1587">
            <v>1.8920999999999999</v>
          </cell>
          <cell r="CG1587">
            <v>1</v>
          </cell>
          <cell r="CH1587">
            <v>1</v>
          </cell>
          <cell r="CI1587">
            <v>0</v>
          </cell>
          <cell r="CJ1587">
            <v>0</v>
          </cell>
          <cell r="CK1587">
            <v>0</v>
          </cell>
          <cell r="CL1587">
            <v>0</v>
          </cell>
        </row>
        <row r="1588">
          <cell r="B1588" t="str">
            <v>teleworking</v>
          </cell>
          <cell r="D1588">
            <v>3.5</v>
          </cell>
          <cell r="I1588">
            <v>21.44</v>
          </cell>
          <cell r="K1588">
            <v>8.2705000000000002</v>
          </cell>
          <cell r="CG1588">
            <v>1</v>
          </cell>
          <cell r="CH1588">
            <v>1</v>
          </cell>
          <cell r="CI1588">
            <v>0</v>
          </cell>
          <cell r="CJ1588">
            <v>0</v>
          </cell>
          <cell r="CK1588">
            <v>0</v>
          </cell>
          <cell r="CL1588">
            <v>0</v>
          </cell>
        </row>
        <row r="1589">
          <cell r="B1589" t="str">
            <v>teleworking</v>
          </cell>
          <cell r="D1589">
            <v>3.5</v>
          </cell>
          <cell r="I1589">
            <v>0.67689999999999995</v>
          </cell>
          <cell r="K1589">
            <v>0.52832999999999997</v>
          </cell>
          <cell r="CG1589">
            <v>1</v>
          </cell>
          <cell r="CH1589">
            <v>1</v>
          </cell>
          <cell r="CI1589">
            <v>0</v>
          </cell>
          <cell r="CJ1589">
            <v>0</v>
          </cell>
          <cell r="CK1589">
            <v>0</v>
          </cell>
          <cell r="CL1589">
            <v>0</v>
          </cell>
        </row>
        <row r="1590">
          <cell r="B1590" t="str">
            <v>teleworking</v>
          </cell>
          <cell r="D1590">
            <v>3.5</v>
          </cell>
          <cell r="I1590">
            <v>0.11703</v>
          </cell>
          <cell r="K1590">
            <v>28.643999999999998</v>
          </cell>
          <cell r="CG1590">
            <v>0</v>
          </cell>
          <cell r="CH1590">
            <v>0</v>
          </cell>
          <cell r="CI1590">
            <v>0</v>
          </cell>
          <cell r="CJ1590">
            <v>0</v>
          </cell>
          <cell r="CK1590">
            <v>0</v>
          </cell>
          <cell r="CL1590">
            <v>0</v>
          </cell>
        </row>
        <row r="1591">
          <cell r="B1591" t="str">
            <v>teleworking</v>
          </cell>
          <cell r="D1591">
            <v>3.5</v>
          </cell>
          <cell r="I1591">
            <v>0.10485</v>
          </cell>
          <cell r="K1591">
            <v>2.6318000000000001</v>
          </cell>
          <cell r="CG1591">
            <v>0</v>
          </cell>
          <cell r="CH1591">
            <v>0</v>
          </cell>
          <cell r="CI1591">
            <v>0</v>
          </cell>
          <cell r="CJ1591">
            <v>0</v>
          </cell>
          <cell r="CK1591">
            <v>0</v>
          </cell>
          <cell r="CL1591">
            <v>0</v>
          </cell>
        </row>
        <row r="1592">
          <cell r="B1592" t="str">
            <v>teleworking</v>
          </cell>
          <cell r="D1592">
            <v>3.5</v>
          </cell>
          <cell r="I1592">
            <v>0.11629</v>
          </cell>
          <cell r="K1592">
            <v>2.7565</v>
          </cell>
          <cell r="CG1592">
            <v>0</v>
          </cell>
          <cell r="CH1592">
            <v>0</v>
          </cell>
          <cell r="CI1592">
            <v>0</v>
          </cell>
          <cell r="CJ1592">
            <v>0</v>
          </cell>
          <cell r="CK1592">
            <v>0</v>
          </cell>
          <cell r="CL1592">
            <v>0</v>
          </cell>
        </row>
        <row r="1593">
          <cell r="B1593" t="str">
            <v>teleworking</v>
          </cell>
          <cell r="D1593">
            <v>3.5</v>
          </cell>
          <cell r="I1593">
            <v>0.13589000000000001</v>
          </cell>
          <cell r="K1593">
            <v>0.22666</v>
          </cell>
          <cell r="CG1593">
            <v>0</v>
          </cell>
          <cell r="CH1593">
            <v>0</v>
          </cell>
          <cell r="CI1593">
            <v>0</v>
          </cell>
          <cell r="CJ1593">
            <v>0</v>
          </cell>
          <cell r="CK1593">
            <v>0</v>
          </cell>
          <cell r="CL1593">
            <v>0</v>
          </cell>
        </row>
        <row r="1594">
          <cell r="B1594" t="str">
            <v>teleworking</v>
          </cell>
          <cell r="D1594">
            <v>3.5</v>
          </cell>
          <cell r="I1594">
            <v>0.31701000000000001</v>
          </cell>
          <cell r="K1594">
            <v>2.5739000000000001</v>
          </cell>
          <cell r="CG1594">
            <v>1</v>
          </cell>
          <cell r="CH1594">
            <v>1</v>
          </cell>
          <cell r="CI1594">
            <v>0</v>
          </cell>
          <cell r="CJ1594">
            <v>0</v>
          </cell>
          <cell r="CK1594">
            <v>0</v>
          </cell>
          <cell r="CL1594">
            <v>0</v>
          </cell>
        </row>
        <row r="1595">
          <cell r="B1595" t="str">
            <v>teleworking</v>
          </cell>
          <cell r="D1595">
            <v>3.5</v>
          </cell>
          <cell r="I1595">
            <v>0.31441999999999998</v>
          </cell>
          <cell r="K1595">
            <v>0.40440999999999999</v>
          </cell>
          <cell r="CG1595">
            <v>0</v>
          </cell>
          <cell r="CH1595">
            <v>0</v>
          </cell>
          <cell r="CI1595">
            <v>0</v>
          </cell>
          <cell r="CJ1595">
            <v>0</v>
          </cell>
          <cell r="CK1595">
            <v>0</v>
          </cell>
          <cell r="CL1595">
            <v>0</v>
          </cell>
        </row>
        <row r="1596">
          <cell r="B1596" t="str">
            <v>teleworking</v>
          </cell>
          <cell r="D1596">
            <v>3.5</v>
          </cell>
          <cell r="I1596">
            <v>0.29909999999999998</v>
          </cell>
          <cell r="K1596">
            <v>10.59</v>
          </cell>
          <cell r="CG1596">
            <v>1</v>
          </cell>
          <cell r="CH1596">
            <v>1</v>
          </cell>
          <cell r="CI1596">
            <v>0</v>
          </cell>
          <cell r="CJ1596">
            <v>0</v>
          </cell>
          <cell r="CK1596">
            <v>0</v>
          </cell>
          <cell r="CL1596">
            <v>0</v>
          </cell>
        </row>
        <row r="1597">
          <cell r="B1597" t="str">
            <v>teleworking</v>
          </cell>
          <cell r="D1597">
            <v>3.5</v>
          </cell>
          <cell r="I1597">
            <v>0.32988000000000001</v>
          </cell>
          <cell r="K1597">
            <v>1.6809000000000001</v>
          </cell>
          <cell r="CG1597">
            <v>0</v>
          </cell>
          <cell r="CH1597">
            <v>0</v>
          </cell>
          <cell r="CI1597">
            <v>0</v>
          </cell>
          <cell r="CJ1597">
            <v>0</v>
          </cell>
          <cell r="CK1597">
            <v>0</v>
          </cell>
          <cell r="CL1597">
            <v>0</v>
          </cell>
        </row>
        <row r="1598">
          <cell r="B1598" t="str">
            <v>teleworking</v>
          </cell>
          <cell r="D1598">
            <v>3.5</v>
          </cell>
          <cell r="I1598">
            <v>1.1249</v>
          </cell>
          <cell r="K1598">
            <v>61.536999999999999</v>
          </cell>
          <cell r="CG1598">
            <v>1</v>
          </cell>
          <cell r="CH1598">
            <v>1</v>
          </cell>
          <cell r="CI1598">
            <v>0</v>
          </cell>
          <cell r="CJ1598">
            <v>0</v>
          </cell>
          <cell r="CK1598">
            <v>0</v>
          </cell>
          <cell r="CL1598">
            <v>0</v>
          </cell>
        </row>
        <row r="1599">
          <cell r="B1599" t="str">
            <v>teleworking</v>
          </cell>
          <cell r="D1599">
            <v>3.5</v>
          </cell>
          <cell r="I1599">
            <v>3.9817999999999998</v>
          </cell>
          <cell r="K1599">
            <v>6.5740999999999996</v>
          </cell>
          <cell r="CG1599">
            <v>0</v>
          </cell>
          <cell r="CH1599">
            <v>0</v>
          </cell>
          <cell r="CI1599">
            <v>0</v>
          </cell>
          <cell r="CJ1599">
            <v>0</v>
          </cell>
          <cell r="CK1599">
            <v>0</v>
          </cell>
          <cell r="CL1599">
            <v>0</v>
          </cell>
        </row>
        <row r="1600">
          <cell r="B1600" t="str">
            <v>teleworking</v>
          </cell>
          <cell r="D1600">
            <v>3.5</v>
          </cell>
          <cell r="I1600">
            <v>0.18959000000000001</v>
          </cell>
          <cell r="K1600">
            <v>3.6534</v>
          </cell>
          <cell r="CG1600">
            <v>1</v>
          </cell>
          <cell r="CH1600">
            <v>1</v>
          </cell>
          <cell r="CI1600">
            <v>0</v>
          </cell>
          <cell r="CJ1600">
            <v>0</v>
          </cell>
          <cell r="CK1600">
            <v>0</v>
          </cell>
          <cell r="CL1600">
            <v>0</v>
          </cell>
        </row>
        <row r="1601">
          <cell r="B1601" t="str">
            <v>teleworking</v>
          </cell>
          <cell r="D1601">
            <v>3.5</v>
          </cell>
          <cell r="I1601">
            <v>0.34147</v>
          </cell>
          <cell r="K1601">
            <v>0.49834000000000001</v>
          </cell>
          <cell r="CG1601">
            <v>0</v>
          </cell>
          <cell r="CH1601">
            <v>0</v>
          </cell>
          <cell r="CI1601">
            <v>0</v>
          </cell>
          <cell r="CJ1601">
            <v>0</v>
          </cell>
          <cell r="CK1601">
            <v>0</v>
          </cell>
          <cell r="CL1601">
            <v>0</v>
          </cell>
        </row>
        <row r="1602">
          <cell r="B1602" t="str">
            <v>teleworking</v>
          </cell>
          <cell r="D1602">
            <v>4.0999999999999996</v>
          </cell>
          <cell r="I1602">
            <v>0.46149000000000001</v>
          </cell>
          <cell r="K1602">
            <v>4.4040999999999997</v>
          </cell>
          <cell r="CG1602">
            <v>1</v>
          </cell>
          <cell r="CH1602">
            <v>1</v>
          </cell>
          <cell r="CI1602">
            <v>0</v>
          </cell>
          <cell r="CJ1602">
            <v>0</v>
          </cell>
          <cell r="CK1602">
            <v>0</v>
          </cell>
          <cell r="CL1602">
            <v>0</v>
          </cell>
        </row>
        <row r="1603">
          <cell r="B1603" t="str">
            <v>teleworking</v>
          </cell>
          <cell r="D1603">
            <v>4.0999999999999996</v>
          </cell>
          <cell r="I1603">
            <v>0.27091999999999999</v>
          </cell>
          <cell r="K1603">
            <v>3.7505000000000002</v>
          </cell>
          <cell r="CG1603">
            <v>1</v>
          </cell>
          <cell r="CH1603">
            <v>1</v>
          </cell>
          <cell r="CI1603">
            <v>0</v>
          </cell>
          <cell r="CJ1603">
            <v>0</v>
          </cell>
          <cell r="CK1603">
            <v>0</v>
          </cell>
          <cell r="CL1603">
            <v>1</v>
          </cell>
        </row>
        <row r="1604">
          <cell r="B1604" t="str">
            <v>textile recycling</v>
          </cell>
          <cell r="D1604">
            <v>3.3</v>
          </cell>
          <cell r="I1604">
            <v>0.11534</v>
          </cell>
          <cell r="K1604">
            <v>10.114000000000001</v>
          </cell>
          <cell r="CG1604">
            <v>1</v>
          </cell>
          <cell r="CH1604">
            <v>1</v>
          </cell>
          <cell r="CI1604">
            <v>0</v>
          </cell>
          <cell r="CJ1604">
            <v>0</v>
          </cell>
          <cell r="CK1604">
            <v>1</v>
          </cell>
          <cell r="CL1604">
            <v>1</v>
          </cell>
        </row>
        <row r="1605">
          <cell r="B1605" t="str">
            <v>textile recycling</v>
          </cell>
          <cell r="D1605">
            <v>3.5</v>
          </cell>
          <cell r="I1605">
            <v>0.19431999999999999</v>
          </cell>
          <cell r="K1605">
            <v>1.4593</v>
          </cell>
          <cell r="CG1605">
            <v>1</v>
          </cell>
          <cell r="CH1605">
            <v>1</v>
          </cell>
          <cell r="CI1605">
            <v>0</v>
          </cell>
          <cell r="CJ1605">
            <v>0</v>
          </cell>
          <cell r="CK1605">
            <v>0</v>
          </cell>
          <cell r="CL1605">
            <v>1</v>
          </cell>
        </row>
        <row r="1606">
          <cell r="B1606" t="str">
            <v>textile recycling</v>
          </cell>
          <cell r="D1606">
            <v>3.5</v>
          </cell>
          <cell r="I1606">
            <v>0.59524999999999995</v>
          </cell>
          <cell r="K1606">
            <v>0.1525</v>
          </cell>
          <cell r="CG1606">
            <v>1</v>
          </cell>
          <cell r="CH1606">
            <v>1</v>
          </cell>
          <cell r="CI1606">
            <v>0</v>
          </cell>
          <cell r="CJ1606">
            <v>0</v>
          </cell>
          <cell r="CK1606">
            <v>0</v>
          </cell>
          <cell r="CL1606">
            <v>0</v>
          </cell>
        </row>
        <row r="1607">
          <cell r="B1607" t="str">
            <v>textile recycling</v>
          </cell>
          <cell r="D1607">
            <v>3.5</v>
          </cell>
          <cell r="I1607">
            <v>0.51309000000000005</v>
          </cell>
          <cell r="K1607">
            <v>0.24221000000000001</v>
          </cell>
          <cell r="CG1607">
            <v>1</v>
          </cell>
          <cell r="CH1607">
            <v>1</v>
          </cell>
          <cell r="CI1607">
            <v>0</v>
          </cell>
          <cell r="CJ1607">
            <v>0</v>
          </cell>
          <cell r="CK1607">
            <v>0</v>
          </cell>
          <cell r="CL1607">
            <v>0</v>
          </cell>
        </row>
        <row r="1608">
          <cell r="B1608" t="str">
            <v>textile recycling</v>
          </cell>
          <cell r="D1608">
            <v>3.5</v>
          </cell>
          <cell r="I1608">
            <v>23.114999999999998</v>
          </cell>
          <cell r="K1608">
            <v>3.5457999999999998</v>
          </cell>
          <cell r="CG1608">
            <v>1</v>
          </cell>
          <cell r="CH1608">
            <v>1</v>
          </cell>
          <cell r="CI1608">
            <v>0</v>
          </cell>
          <cell r="CJ1608">
            <v>0</v>
          </cell>
          <cell r="CK1608">
            <v>0</v>
          </cell>
          <cell r="CL1608">
            <v>0</v>
          </cell>
        </row>
        <row r="1609">
          <cell r="B1609" t="str">
            <v>textile recycling</v>
          </cell>
          <cell r="D1609">
            <v>3.5</v>
          </cell>
          <cell r="I1609">
            <v>20.187999999999999</v>
          </cell>
          <cell r="K1609">
            <v>4.2888999999999999</v>
          </cell>
          <cell r="CG1609">
            <v>1</v>
          </cell>
          <cell r="CH1609">
            <v>1</v>
          </cell>
          <cell r="CI1609">
            <v>0</v>
          </cell>
          <cell r="CJ1609">
            <v>0</v>
          </cell>
          <cell r="CK1609">
            <v>0</v>
          </cell>
          <cell r="CL1609">
            <v>0</v>
          </cell>
        </row>
        <row r="1610">
          <cell r="B1610" t="str">
            <v>textile recycling</v>
          </cell>
          <cell r="D1610">
            <v>3.5</v>
          </cell>
          <cell r="I1610">
            <v>0.50394000000000005</v>
          </cell>
          <cell r="K1610">
            <v>0.34601999999999999</v>
          </cell>
          <cell r="CG1610">
            <v>1</v>
          </cell>
          <cell r="CH1610">
            <v>1</v>
          </cell>
          <cell r="CI1610">
            <v>0</v>
          </cell>
          <cell r="CJ1610">
            <v>0</v>
          </cell>
          <cell r="CK1610">
            <v>0</v>
          </cell>
          <cell r="CL1610">
            <v>0</v>
          </cell>
        </row>
        <row r="1611">
          <cell r="B1611" t="str">
            <v>textile recycling</v>
          </cell>
          <cell r="D1611">
            <v>3.5</v>
          </cell>
          <cell r="I1611">
            <v>0.13494999999999999</v>
          </cell>
          <cell r="K1611">
            <v>11.585000000000001</v>
          </cell>
          <cell r="CG1611">
            <v>0</v>
          </cell>
          <cell r="CH1611">
            <v>0</v>
          </cell>
          <cell r="CI1611">
            <v>0</v>
          </cell>
          <cell r="CJ1611">
            <v>0</v>
          </cell>
          <cell r="CK1611">
            <v>0</v>
          </cell>
          <cell r="CL1611">
            <v>0</v>
          </cell>
        </row>
        <row r="1612">
          <cell r="B1612" t="str">
            <v>textile recycling</v>
          </cell>
          <cell r="D1612">
            <v>3.5</v>
          </cell>
          <cell r="I1612">
            <v>0.16614000000000001</v>
          </cell>
          <cell r="K1612">
            <v>1.3520000000000001</v>
          </cell>
          <cell r="CG1612">
            <v>0</v>
          </cell>
          <cell r="CH1612">
            <v>0</v>
          </cell>
          <cell r="CI1612">
            <v>0</v>
          </cell>
          <cell r="CJ1612">
            <v>0</v>
          </cell>
          <cell r="CK1612">
            <v>0</v>
          </cell>
          <cell r="CL1612">
            <v>0</v>
          </cell>
        </row>
        <row r="1613">
          <cell r="B1613" t="str">
            <v>textile recycling</v>
          </cell>
          <cell r="D1613">
            <v>3.5</v>
          </cell>
          <cell r="I1613">
            <v>0.19431999999999999</v>
          </cell>
          <cell r="K1613">
            <v>1.4593</v>
          </cell>
          <cell r="CG1613">
            <v>0</v>
          </cell>
          <cell r="CH1613">
            <v>0</v>
          </cell>
          <cell r="CI1613">
            <v>0</v>
          </cell>
          <cell r="CJ1613">
            <v>0</v>
          </cell>
          <cell r="CK1613">
            <v>0</v>
          </cell>
          <cell r="CL1613">
            <v>0</v>
          </cell>
        </row>
        <row r="1614">
          <cell r="B1614" t="str">
            <v>textile recycling</v>
          </cell>
          <cell r="D1614">
            <v>3.5</v>
          </cell>
          <cell r="I1614">
            <v>0.21209</v>
          </cell>
          <cell r="K1614">
            <v>0.13400999999999999</v>
          </cell>
          <cell r="CG1614">
            <v>0</v>
          </cell>
          <cell r="CH1614">
            <v>0</v>
          </cell>
          <cell r="CI1614">
            <v>0</v>
          </cell>
          <cell r="CJ1614">
            <v>0</v>
          </cell>
          <cell r="CK1614">
            <v>0</v>
          </cell>
          <cell r="CL1614">
            <v>0</v>
          </cell>
        </row>
        <row r="1615">
          <cell r="B1615" t="str">
            <v>textile recycling</v>
          </cell>
          <cell r="D1615">
            <v>3.5</v>
          </cell>
          <cell r="I1615">
            <v>0.36596000000000001</v>
          </cell>
          <cell r="K1615">
            <v>1.2123999999999999</v>
          </cell>
          <cell r="CG1615">
            <v>1</v>
          </cell>
          <cell r="CH1615">
            <v>1</v>
          </cell>
          <cell r="CI1615">
            <v>0</v>
          </cell>
          <cell r="CJ1615">
            <v>0</v>
          </cell>
          <cell r="CK1615">
            <v>0</v>
          </cell>
          <cell r="CL1615">
            <v>0</v>
          </cell>
        </row>
        <row r="1616">
          <cell r="B1616" t="str">
            <v>textile recycling</v>
          </cell>
          <cell r="D1616">
            <v>3.5</v>
          </cell>
          <cell r="I1616">
            <v>0.25384000000000001</v>
          </cell>
          <cell r="K1616">
            <v>0.24026</v>
          </cell>
          <cell r="CG1616">
            <v>0</v>
          </cell>
          <cell r="CH1616">
            <v>0</v>
          </cell>
          <cell r="CI1616">
            <v>0</v>
          </cell>
          <cell r="CJ1616">
            <v>0</v>
          </cell>
          <cell r="CK1616">
            <v>0</v>
          </cell>
          <cell r="CL1616">
            <v>0</v>
          </cell>
        </row>
        <row r="1617">
          <cell r="B1617" t="str">
            <v>textile recycling</v>
          </cell>
          <cell r="D1617">
            <v>3.5</v>
          </cell>
          <cell r="I1617">
            <v>0.65042</v>
          </cell>
          <cell r="K1617">
            <v>14.771000000000001</v>
          </cell>
          <cell r="CG1617">
            <v>1</v>
          </cell>
          <cell r="CH1617">
            <v>1</v>
          </cell>
          <cell r="CI1617">
            <v>0</v>
          </cell>
          <cell r="CJ1617">
            <v>0</v>
          </cell>
          <cell r="CK1617">
            <v>0</v>
          </cell>
          <cell r="CL1617">
            <v>0</v>
          </cell>
        </row>
        <row r="1618">
          <cell r="B1618" t="str">
            <v>textile recycling</v>
          </cell>
          <cell r="D1618">
            <v>3.5</v>
          </cell>
          <cell r="I1618">
            <v>4.3445999999999998</v>
          </cell>
          <cell r="K1618">
            <v>3.2722000000000002</v>
          </cell>
          <cell r="CG1618">
            <v>0</v>
          </cell>
          <cell r="CH1618">
            <v>0</v>
          </cell>
          <cell r="CI1618">
            <v>0</v>
          </cell>
          <cell r="CJ1618">
            <v>0</v>
          </cell>
          <cell r="CK1618">
            <v>0</v>
          </cell>
          <cell r="CL1618">
            <v>0</v>
          </cell>
        </row>
        <row r="1619">
          <cell r="B1619" t="str">
            <v>textile recycling</v>
          </cell>
          <cell r="D1619">
            <v>3.5</v>
          </cell>
          <cell r="I1619">
            <v>0.63346999999999998</v>
          </cell>
          <cell r="K1619">
            <v>18.658999999999999</v>
          </cell>
          <cell r="CG1619">
            <v>1</v>
          </cell>
          <cell r="CH1619">
            <v>1</v>
          </cell>
          <cell r="CI1619">
            <v>0</v>
          </cell>
          <cell r="CJ1619">
            <v>0</v>
          </cell>
          <cell r="CK1619">
            <v>0</v>
          </cell>
          <cell r="CL1619">
            <v>0</v>
          </cell>
        </row>
        <row r="1620">
          <cell r="B1620" t="str">
            <v>textile recycling</v>
          </cell>
          <cell r="D1620">
            <v>3.5</v>
          </cell>
          <cell r="I1620">
            <v>0.67439000000000004</v>
          </cell>
          <cell r="K1620">
            <v>3.9708999999999999</v>
          </cell>
          <cell r="CG1620">
            <v>0</v>
          </cell>
          <cell r="CH1620">
            <v>0</v>
          </cell>
          <cell r="CI1620">
            <v>0</v>
          </cell>
          <cell r="CJ1620">
            <v>0</v>
          </cell>
          <cell r="CK1620">
            <v>0</v>
          </cell>
          <cell r="CL1620">
            <v>0</v>
          </cell>
        </row>
        <row r="1621">
          <cell r="B1621" t="str">
            <v>textile recycling</v>
          </cell>
          <cell r="D1621">
            <v>3.5</v>
          </cell>
          <cell r="I1621">
            <v>0.34266000000000002</v>
          </cell>
          <cell r="K1621">
            <v>1.8004</v>
          </cell>
          <cell r="CG1621">
            <v>1</v>
          </cell>
          <cell r="CH1621">
            <v>1</v>
          </cell>
          <cell r="CI1621">
            <v>0</v>
          </cell>
          <cell r="CJ1621">
            <v>0</v>
          </cell>
          <cell r="CK1621">
            <v>0</v>
          </cell>
          <cell r="CL1621">
            <v>0</v>
          </cell>
        </row>
        <row r="1622">
          <cell r="B1622" t="str">
            <v>textile recycling</v>
          </cell>
          <cell r="D1622">
            <v>3.5</v>
          </cell>
          <cell r="I1622">
            <v>0.24326999999999999</v>
          </cell>
          <cell r="K1622">
            <v>0.34476000000000001</v>
          </cell>
          <cell r="CG1622">
            <v>0</v>
          </cell>
          <cell r="CH1622">
            <v>0</v>
          </cell>
          <cell r="CI1622">
            <v>0</v>
          </cell>
          <cell r="CJ1622">
            <v>0</v>
          </cell>
          <cell r="CK1622">
            <v>0</v>
          </cell>
          <cell r="CL1622">
            <v>0</v>
          </cell>
        </row>
        <row r="1623">
          <cell r="B1623" t="str">
            <v>textile recycling</v>
          </cell>
          <cell r="D1623">
            <v>4.0999999999999996</v>
          </cell>
          <cell r="I1623">
            <v>0.27155000000000001</v>
          </cell>
          <cell r="K1623">
            <v>2.1810999999999998</v>
          </cell>
          <cell r="CG1623">
            <v>0</v>
          </cell>
          <cell r="CH1623">
            <v>1</v>
          </cell>
          <cell r="CI1623">
            <v>0</v>
          </cell>
          <cell r="CJ1623">
            <v>0</v>
          </cell>
          <cell r="CK1623">
            <v>0</v>
          </cell>
          <cell r="CL1623">
            <v>0</v>
          </cell>
        </row>
        <row r="1624">
          <cell r="B1624" t="str">
            <v>textile recycling</v>
          </cell>
          <cell r="D1624">
            <v>4.0999999999999996</v>
          </cell>
          <cell r="I1624">
            <v>0.27155000000000001</v>
          </cell>
          <cell r="K1624">
            <v>2.1810999999999998</v>
          </cell>
          <cell r="CG1624">
            <v>0</v>
          </cell>
          <cell r="CH1624">
            <v>1</v>
          </cell>
          <cell r="CI1624">
            <v>0</v>
          </cell>
          <cell r="CJ1624">
            <v>0</v>
          </cell>
          <cell r="CK1624">
            <v>0</v>
          </cell>
          <cell r="CL1624">
            <v>1</v>
          </cell>
        </row>
        <row r="1625">
          <cell r="B1625" t="str">
            <v>textile recycling</v>
          </cell>
          <cell r="D1625">
            <v>1.1000000000000001</v>
          </cell>
          <cell r="I1625">
            <v>0.13192000000000001</v>
          </cell>
          <cell r="K1625">
            <v>2.5344999999999999E-3</v>
          </cell>
          <cell r="CG1625">
            <v>1</v>
          </cell>
          <cell r="CH1625">
            <v>1</v>
          </cell>
          <cell r="CI1625">
            <v>0</v>
          </cell>
          <cell r="CJ1625">
            <v>0</v>
          </cell>
          <cell r="CK1625">
            <v>0</v>
          </cell>
          <cell r="CL1625">
            <v>0</v>
          </cell>
        </row>
        <row r="1626">
          <cell r="B1626" t="str">
            <v>textile recycling</v>
          </cell>
          <cell r="D1626">
            <v>1.1000000000000001</v>
          </cell>
          <cell r="I1626">
            <v>0.13192000000000001</v>
          </cell>
          <cell r="K1626">
            <v>2.5344999999999999E-3</v>
          </cell>
          <cell r="CG1626">
            <v>1</v>
          </cell>
          <cell r="CH1626">
            <v>1</v>
          </cell>
          <cell r="CI1626">
            <v>1</v>
          </cell>
          <cell r="CJ1626">
            <v>1</v>
          </cell>
          <cell r="CK1626">
            <v>0</v>
          </cell>
          <cell r="CL1626">
            <v>0</v>
          </cell>
        </row>
        <row r="1627">
          <cell r="B1627" t="str">
            <v>textile recycling</v>
          </cell>
          <cell r="D1627">
            <v>4.0999999999999996</v>
          </cell>
          <cell r="I1627">
            <v>0.20688999999999999</v>
          </cell>
          <cell r="K1627">
            <v>3.9714999999999998</v>
          </cell>
          <cell r="CG1627">
            <v>0</v>
          </cell>
          <cell r="CH1627">
            <v>1</v>
          </cell>
          <cell r="CI1627">
            <v>0</v>
          </cell>
          <cell r="CJ1627">
            <v>0</v>
          </cell>
          <cell r="CK1627">
            <v>0</v>
          </cell>
          <cell r="CL1627">
            <v>0</v>
          </cell>
        </row>
        <row r="1628">
          <cell r="B1628" t="str">
            <v>textile recycling</v>
          </cell>
          <cell r="D1628">
            <v>4.0999999999999996</v>
          </cell>
          <cell r="I1628">
            <v>0.20688999999999999</v>
          </cell>
          <cell r="K1628">
            <v>3.9714999999999998</v>
          </cell>
          <cell r="CG1628">
            <v>0</v>
          </cell>
          <cell r="CH1628">
            <v>1</v>
          </cell>
          <cell r="CI1628">
            <v>0</v>
          </cell>
          <cell r="CJ1628">
            <v>0</v>
          </cell>
          <cell r="CK1628">
            <v>1</v>
          </cell>
          <cell r="CL162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>
            <v>1.1000000000000001</v>
          </cell>
        </row>
        <row r="3">
          <cell r="A3">
            <v>1.2</v>
          </cell>
        </row>
        <row r="4">
          <cell r="A4">
            <v>2.1</v>
          </cell>
        </row>
        <row r="5">
          <cell r="A5">
            <v>2.2000000000000002</v>
          </cell>
        </row>
        <row r="6">
          <cell r="A6">
            <v>2.2999999999999998</v>
          </cell>
        </row>
        <row r="7">
          <cell r="A7">
            <v>2.4</v>
          </cell>
        </row>
        <row r="8">
          <cell r="A8">
            <v>2.5</v>
          </cell>
        </row>
        <row r="9">
          <cell r="A9">
            <v>2.6</v>
          </cell>
        </row>
        <row r="10">
          <cell r="A10">
            <v>2.7</v>
          </cell>
        </row>
        <row r="11">
          <cell r="A11">
            <v>2.8</v>
          </cell>
        </row>
        <row r="12">
          <cell r="A12">
            <v>2.9</v>
          </cell>
        </row>
        <row r="13">
          <cell r="A13">
            <v>2.95</v>
          </cell>
        </row>
        <row r="14">
          <cell r="A14">
            <v>3.1</v>
          </cell>
        </row>
        <row r="15">
          <cell r="A15">
            <v>3.2</v>
          </cell>
        </row>
        <row r="16">
          <cell r="A16">
            <v>3.3</v>
          </cell>
        </row>
        <row r="17">
          <cell r="A17">
            <v>3.4</v>
          </cell>
        </row>
        <row r="18">
          <cell r="A18">
            <v>3.5</v>
          </cell>
        </row>
        <row r="19">
          <cell r="A19">
            <v>3.6</v>
          </cell>
        </row>
        <row r="20">
          <cell r="A20">
            <v>3.7</v>
          </cell>
        </row>
        <row r="21">
          <cell r="A21">
            <v>4.0999999999999996</v>
          </cell>
        </row>
        <row r="22">
          <cell r="A22">
            <v>4.2</v>
          </cell>
        </row>
        <row r="23">
          <cell r="A23">
            <v>4.3</v>
          </cell>
        </row>
        <row r="24">
          <cell r="A24">
            <v>4.4000000000000004</v>
          </cell>
        </row>
        <row r="25">
          <cell r="A25">
            <v>4.5</v>
          </cell>
        </row>
        <row r="26">
          <cell r="A26">
            <v>4.5999999999999996</v>
          </cell>
        </row>
        <row r="27">
          <cell r="A27">
            <v>4.7</v>
          </cell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C3700-BDF9-1A4C-8F50-4E91059C8B9D}">
  <dimension ref="B1:AP131"/>
  <sheetViews>
    <sheetView tabSelected="1" topLeftCell="L5" workbookViewId="0">
      <selection activeCell="AO45" sqref="AO45"/>
    </sheetView>
  </sheetViews>
  <sheetFormatPr baseColWidth="10" defaultColWidth="11" defaultRowHeight="16" x14ac:dyDescent="0.2"/>
  <cols>
    <col min="2" max="2" width="16.83203125" bestFit="1" customWidth="1"/>
    <col min="4" max="4" width="13.33203125" bestFit="1" customWidth="1"/>
    <col min="5" max="5" width="12.83203125" bestFit="1" customWidth="1"/>
    <col min="6" max="7" width="12.33203125" customWidth="1"/>
    <col min="8" max="8" width="26.83203125" style="2" bestFit="1" customWidth="1"/>
    <col min="9" max="35" width="5.5" customWidth="1"/>
    <col min="36" max="38" width="11" style="1"/>
    <col min="39" max="39" width="12.6640625" style="1" customWidth="1"/>
  </cols>
  <sheetData>
    <row r="1" spans="2:42" x14ac:dyDescent="0.2">
      <c r="B1" s="17" t="s">
        <v>179</v>
      </c>
      <c r="C1" s="16"/>
      <c r="D1" s="16"/>
      <c r="E1" s="16"/>
      <c r="F1" s="16"/>
      <c r="G1" s="16"/>
      <c r="H1" s="12"/>
    </row>
    <row r="2" spans="2:42" x14ac:dyDescent="0.2">
      <c r="B2" s="11" t="s">
        <v>178</v>
      </c>
      <c r="C2" s="11" t="s">
        <v>177</v>
      </c>
      <c r="D2" s="11" t="s">
        <v>176</v>
      </c>
      <c r="E2" s="11" t="s">
        <v>175</v>
      </c>
      <c r="F2" s="12" t="s">
        <v>174</v>
      </c>
      <c r="G2" s="12"/>
      <c r="J2" s="11"/>
      <c r="K2" s="3"/>
      <c r="L2" s="3"/>
    </row>
    <row r="3" spans="2:42" x14ac:dyDescent="0.2">
      <c r="B3" s="15" t="s">
        <v>173</v>
      </c>
      <c r="C3">
        <f>COUNTIF([1]summary_table_v26_23SIs!CI$2:CI$1628,"="&amp;1)</f>
        <v>23</v>
      </c>
      <c r="D3">
        <f>SUMPRODUCT([1]summary_table_v26_23SIs!CI$2:CI$1628,[1]summary_table_v26_23SIs!CG$2:CG$1628)</f>
        <v>23</v>
      </c>
      <c r="E3">
        <f>SUMPRODUCT([1]summary_table_v26_23SIs!CI$2:CI$1628,[1]summary_table_v26_23SIs!CH$2:CH$1628)</f>
        <v>23</v>
      </c>
      <c r="F3" t="s">
        <v>172</v>
      </c>
    </row>
    <row r="4" spans="2:42" x14ac:dyDescent="0.2">
      <c r="B4" s="15" t="s">
        <v>173</v>
      </c>
      <c r="C4">
        <f>COUNTIF([1]summary_table_v26_23SIs!CJ$2:CJ$1628,"="&amp;1)</f>
        <v>84</v>
      </c>
      <c r="D4">
        <f>SUMPRODUCT([1]summary_table_v26_23SIs!CJ$2:CJ$1628,[1]summary_table_v26_23SIs!CG$2:CG$1628)</f>
        <v>77</v>
      </c>
      <c r="E4">
        <f>SUMPRODUCT([1]summary_table_v26_23SIs!CJ$2:CJ$1628,[1]summary_table_v26_23SIs!CH$2:CH$1628)</f>
        <v>83</v>
      </c>
      <c r="F4" t="s">
        <v>170</v>
      </c>
    </row>
    <row r="5" spans="2:42" x14ac:dyDescent="0.2">
      <c r="B5" s="15" t="s">
        <v>171</v>
      </c>
      <c r="C5">
        <f>COUNTIF([1]summary_table_v26_23SIs!CK$2:CK$1628,"="&amp;1)</f>
        <v>86</v>
      </c>
      <c r="D5">
        <f>SUMPRODUCT([1]summary_table_v26_23SIs!CK$2:CK$1628,[1]summary_table_v26_23SIs!CG$2:CG$1628)</f>
        <v>73</v>
      </c>
      <c r="E5">
        <f>SUMPRODUCT([1]summary_table_v26_23SIs!CK$2:CK$1628,[1]summary_table_v26_23SIs!CH$2:CH$1628)</f>
        <v>82</v>
      </c>
      <c r="F5" t="s">
        <v>172</v>
      </c>
    </row>
    <row r="6" spans="2:42" x14ac:dyDescent="0.2">
      <c r="B6" s="15" t="s">
        <v>171</v>
      </c>
      <c r="C6">
        <f>COUNTIF([1]summary_table_v26_23SIs!CL$2:CLK$1628,"="&amp;1)</f>
        <v>304</v>
      </c>
      <c r="D6">
        <f>SUMPRODUCT([1]summary_table_v26_23SIs!CL$2:CL$1628,[1]summary_table_v26_23SIs!CG$2:CG$1628)</f>
        <v>248</v>
      </c>
      <c r="E6">
        <f>SUMPRODUCT([1]summary_table_v26_23SIs!CL$2:CL$1628,[1]summary_table_v26_23SIs!CH$2:CH$1628)</f>
        <v>280</v>
      </c>
      <c r="F6" t="s">
        <v>170</v>
      </c>
    </row>
    <row r="7" spans="2:42" x14ac:dyDescent="0.2">
      <c r="B7" s="7" t="s">
        <v>85</v>
      </c>
      <c r="C7" s="6">
        <f>SUM(C3:C6)</f>
        <v>497</v>
      </c>
      <c r="D7" s="6">
        <f>SUM(D3:D6)</f>
        <v>421</v>
      </c>
      <c r="E7" s="6">
        <f>SUM(E3:E6)</f>
        <v>468</v>
      </c>
    </row>
    <row r="8" spans="2:42" x14ac:dyDescent="0.2">
      <c r="B8" s="15"/>
    </row>
    <row r="9" spans="2:42" x14ac:dyDescent="0.2">
      <c r="B9" s="11" t="s">
        <v>169</v>
      </c>
      <c r="C9" s="11" t="s">
        <v>168</v>
      </c>
      <c r="D9" s="11" t="s">
        <v>167</v>
      </c>
      <c r="H9" s="12"/>
    </row>
    <row r="10" spans="2:42" x14ac:dyDescent="0.2">
      <c r="B10" s="15" t="s">
        <v>166</v>
      </c>
      <c r="C10" s="14">
        <f>SUMIFS([1]summary_table_v26_23SIs!I$2:I$1628,[1]summary_table_v26_23SIs!$CI2:$CI$1628,"="&amp;1,[1]summary_table_v26_23SIs!CG$2:CG$1628,"="&amp;1)/D3</f>
        <v>0.27126495652173915</v>
      </c>
      <c r="D10" s="13">
        <f>SUMIFS([1]summary_table_v26_23SIs!K$2:K$1628,[1]summary_table_v26_23SIs!$CI2:$CI$1628,"="&amp;1,[1]summary_table_v26_23SIs!CH$2:CH$1628,"="&amp;1)/E3</f>
        <v>27.126202757652173</v>
      </c>
    </row>
    <row r="11" spans="2:42" x14ac:dyDescent="0.2">
      <c r="B11" s="15" t="s">
        <v>165</v>
      </c>
      <c r="C11" s="14">
        <f>SUMIFS([1]summary_table_v26_23SIs!I$2:I$1628,[1]summary_table_v26_23SIs!$CJ$2:$CJ$1628,"="&amp;1,[1]summary_table_v26_23SIs!CG$2:CG$1628,"="&amp;1)/D4</f>
        <v>0.31222818441558442</v>
      </c>
      <c r="D11" s="13">
        <f>SUMIFS([1]summary_table_v26_23SIs!K$2:K$1628,[1]summary_table_v26_23SIs!$CJ$2:$CJ$1628,"="&amp;1,[1]summary_table_v26_23SIs!CH$2:CH$1628,"="&amp;1)/E4</f>
        <v>24.852164098550595</v>
      </c>
      <c r="H11" s="2">
        <v>3</v>
      </c>
    </row>
    <row r="12" spans="2:42" x14ac:dyDescent="0.2">
      <c r="B12" s="15" t="s">
        <v>164</v>
      </c>
      <c r="C12" s="14">
        <f>SUMIFS([1]summary_table_v26_23SIs!I$2:I$1628,[1]summary_table_v26_23SIs!$CK$2:$CK$1628,"="&amp;1,[1]summary_table_v26_23SIs!CG$2:CG$1628,"="&amp;1)/D5</f>
        <v>0.32122780821917812</v>
      </c>
      <c r="D12" s="13">
        <f>SUMIFS([1]summary_table_v26_23SIs!K$2:K$1628,[1]summary_table_v26_23SIs!$CK$2:$CK$1628,"="&amp;1,[1]summary_table_v26_23SIs!CH$2:CH$1628,"="&amp;1)/E5</f>
        <v>129.24686704170728</v>
      </c>
    </row>
    <row r="13" spans="2:42" x14ac:dyDescent="0.2">
      <c r="B13" s="15" t="s">
        <v>163</v>
      </c>
      <c r="C13" s="14">
        <f>SUMIFS([1]summary_table_v26_23SIs!I$2:I$1628,[1]summary_table_v26_23SIs!$CL$2:$CL$1628,"="&amp;1,[1]summary_table_v26_23SIs!CG$2:CG$1628,"="&amp;1)/D6</f>
        <v>0.261057345887097</v>
      </c>
      <c r="D13" s="13">
        <f>SUMIFS([1]summary_table_v26_23SIs!K$2:K$1628,[1]summary_table_v26_23SIs!$CL$2:$CL$1628,"="&amp;1,[1]summary_table_v26_23SIs!CH$2:CH$1628,"="&amp;1)/E6</f>
        <v>162824.31040443937</v>
      </c>
    </row>
    <row r="14" spans="2:42" x14ac:dyDescent="0.2">
      <c r="AJ14" s="9" t="s">
        <v>162</v>
      </c>
    </row>
    <row r="15" spans="2:42" x14ac:dyDescent="0.2">
      <c r="AJ15" s="9" t="s">
        <v>161</v>
      </c>
      <c r="AK15" s="9" t="s">
        <v>160</v>
      </c>
      <c r="AL15" s="9" t="s">
        <v>110</v>
      </c>
      <c r="AM15" s="9" t="s">
        <v>93</v>
      </c>
      <c r="AN15" s="9" t="s">
        <v>99</v>
      </c>
      <c r="AP15" s="9" t="s">
        <v>180</v>
      </c>
    </row>
    <row r="16" spans="2:42" x14ac:dyDescent="0.2">
      <c r="B16" s="11" t="s">
        <v>159</v>
      </c>
      <c r="C16" s="11" t="s">
        <v>158</v>
      </c>
      <c r="D16" s="12" t="s">
        <v>157</v>
      </c>
      <c r="E16" s="11"/>
      <c r="F16" s="12"/>
      <c r="G16" s="12"/>
      <c r="H16" s="12" t="s">
        <v>156</v>
      </c>
      <c r="J16" s="11">
        <v>1.1000000000000001</v>
      </c>
      <c r="K16" s="11">
        <v>1.2</v>
      </c>
      <c r="L16" s="11">
        <v>2.1</v>
      </c>
      <c r="M16" s="11">
        <v>2.2000000000000002</v>
      </c>
      <c r="N16" s="3">
        <v>2.2999999999999998</v>
      </c>
      <c r="O16" s="3">
        <v>2.4</v>
      </c>
      <c r="P16" s="3">
        <v>2.5</v>
      </c>
      <c r="Q16" s="3">
        <v>2.6</v>
      </c>
      <c r="R16" s="3">
        <v>2.7</v>
      </c>
      <c r="S16" s="3">
        <v>2.8</v>
      </c>
      <c r="T16" s="3">
        <v>2.9</v>
      </c>
      <c r="U16" s="10">
        <v>2.95</v>
      </c>
      <c r="V16" s="3">
        <v>3.1</v>
      </c>
      <c r="W16" s="3">
        <v>3.2</v>
      </c>
      <c r="X16" s="3">
        <v>3.3</v>
      </c>
      <c r="Y16" s="3">
        <v>3.4</v>
      </c>
      <c r="Z16" s="3">
        <v>3.5</v>
      </c>
      <c r="AA16" s="3">
        <v>3.6</v>
      </c>
      <c r="AB16" s="3">
        <v>3.7</v>
      </c>
      <c r="AC16" s="3">
        <v>4.0999999999999996</v>
      </c>
      <c r="AD16" s="3">
        <v>4.2</v>
      </c>
      <c r="AE16" s="3">
        <v>4.3</v>
      </c>
      <c r="AF16" s="3">
        <v>4.4000000000000004</v>
      </c>
      <c r="AG16" s="3">
        <v>4.5</v>
      </c>
      <c r="AH16" s="3">
        <v>4.5999999999999996</v>
      </c>
      <c r="AI16" s="3">
        <v>4.7</v>
      </c>
      <c r="AJ16" s="9" t="s">
        <v>155</v>
      </c>
      <c r="AK16" s="9" t="s">
        <v>154</v>
      </c>
      <c r="AL16" s="9" t="s">
        <v>153</v>
      </c>
      <c r="AM16" s="9" t="s">
        <v>152</v>
      </c>
      <c r="AN16" s="9" t="s">
        <v>151</v>
      </c>
    </row>
    <row r="17" spans="2:41" x14ac:dyDescent="0.2">
      <c r="B17" s="3">
        <f>'[1]Priority Indicators (n=23)'!A2</f>
        <v>1.1000000000000001</v>
      </c>
      <c r="C17">
        <f>COUNTIF([1]summary_table_v26_23SIs!$D$2:$D$1628,"="&amp;$B17)</f>
        <v>315</v>
      </c>
      <c r="D17">
        <f>COUNTIF(J$17:J$43,"&gt;"&amp;0)</f>
        <v>23</v>
      </c>
      <c r="H17" s="2" t="s">
        <v>150</v>
      </c>
      <c r="I17" t="s">
        <v>149</v>
      </c>
      <c r="J17">
        <f>COUNTIFS([1]summary_table_v26_23SIs!$D$2:$D$1628,"="&amp;J$16,[1]summary_table_v26_23SIs!$B$2:$B$1628,"="&amp;$H17)</f>
        <v>15</v>
      </c>
      <c r="K17">
        <f>COUNTIFS([1]summary_table_v26_23SIs!$D$2:$D$1628,"="&amp;K$16,[1]summary_table_v26_23SIs!$B$2:$B$1628,"="&amp;$H17)</f>
        <v>0</v>
      </c>
      <c r="L17">
        <f>COUNTIFS([1]summary_table_v26_23SIs!$D$2:$D$1628,"="&amp;L$16,[1]summary_table_v26_23SIs!$B$2:$B$1628,"="&amp;$H17)</f>
        <v>0</v>
      </c>
      <c r="M17">
        <f>COUNTIFS([1]summary_table_v26_23SIs!$D$2:$D$1628,"="&amp;M$16,[1]summary_table_v26_23SIs!$B$2:$B$1628,"="&amp;$H17)</f>
        <v>0</v>
      </c>
      <c r="N17">
        <f>COUNTIFS([1]summary_table_v26_23SIs!$D$2:$D$1628,"="&amp;N$16,[1]summary_table_v26_23SIs!$B$2:$B$1628,"="&amp;$H17)</f>
        <v>0</v>
      </c>
      <c r="O17">
        <f>COUNTIFS([1]summary_table_v26_23SIs!$D$2:$D$1628,"="&amp;O$16,[1]summary_table_v26_23SIs!$B$2:$B$1628,"="&amp;$H17)</f>
        <v>0</v>
      </c>
      <c r="P17">
        <f>COUNTIFS([1]summary_table_v26_23SIs!$D$2:$D$1628,"="&amp;P$16,[1]summary_table_v26_23SIs!$B$2:$B$1628,"="&amp;$H17)</f>
        <v>0</v>
      </c>
      <c r="Q17">
        <f>COUNTIFS([1]summary_table_v26_23SIs!$D$2:$D$1628,"="&amp;Q$16,[1]summary_table_v26_23SIs!$B$2:$B$1628,"="&amp;$H17)</f>
        <v>0</v>
      </c>
      <c r="R17">
        <f>COUNTIFS([1]summary_table_v26_23SIs!$D$2:$D$1628,"="&amp;R$16,[1]summary_table_v26_23SIs!$B$2:$B$1628,"="&amp;$H17)</f>
        <v>0</v>
      </c>
      <c r="S17">
        <f>COUNTIFS([1]summary_table_v26_23SIs!$D$2:$D$1628,"="&amp;S$16,[1]summary_table_v26_23SIs!$B$2:$B$1628,"="&amp;$H17)</f>
        <v>0</v>
      </c>
      <c r="T17">
        <f>COUNTIFS([1]summary_table_v26_23SIs!$D$2:$D$1628,"="&amp;T$16,[1]summary_table_v26_23SIs!$B$2:$B$1628,"="&amp;$H17)</f>
        <v>1</v>
      </c>
      <c r="U17">
        <f>COUNTIFS([1]summary_table_v26_23SIs!$D$2:$D$1628,"="&amp;U$16,[1]summary_table_v26_23SIs!$B$2:$B$1628,"="&amp;$H17)</f>
        <v>0</v>
      </c>
      <c r="V17">
        <f>COUNTIFS([1]summary_table_v26_23SIs!$D$2:$D$1628,"="&amp;V$16,[1]summary_table_v26_23SIs!$B$2:$B$1628,"="&amp;$H17)</f>
        <v>0</v>
      </c>
      <c r="W17">
        <f>COUNTIFS([1]summary_table_v26_23SIs!$D$2:$D$1628,"="&amp;W$16,[1]summary_table_v26_23SIs!$B$2:$B$1628,"="&amp;$H17)</f>
        <v>3</v>
      </c>
      <c r="X17">
        <f>COUNTIFS([1]summary_table_v26_23SIs!$D$2:$D$1628,"="&amp;X$16,[1]summary_table_v26_23SIs!$B$2:$B$1628,"="&amp;$H17)</f>
        <v>1</v>
      </c>
      <c r="Y17">
        <f>COUNTIFS([1]summary_table_v26_23SIs!$D$2:$D$1628,"="&amp;Y$16,[1]summary_table_v26_23SIs!$B$2:$B$1628,"="&amp;$H17)</f>
        <v>0</v>
      </c>
      <c r="Z17">
        <f>COUNTIFS([1]summary_table_v26_23SIs!$D$2:$D$1628,"="&amp;Z$16,[1]summary_table_v26_23SIs!$B$2:$B$1628,"="&amp;$H17)</f>
        <v>0</v>
      </c>
      <c r="AA17">
        <f>COUNTIFS([1]summary_table_v26_23SIs!$D$2:$D$1628,"="&amp;AA$16,[1]summary_table_v26_23SIs!$B$2:$B$1628,"="&amp;$H17)</f>
        <v>0</v>
      </c>
      <c r="AB17">
        <f>COUNTIFS([1]summary_table_v26_23SIs!$D$2:$D$1628,"="&amp;AB$16,[1]summary_table_v26_23SIs!$B$2:$B$1628,"="&amp;$H17)</f>
        <v>0</v>
      </c>
      <c r="AC17">
        <f>COUNTIFS([1]summary_table_v26_23SIs!$D$2:$D$1628,"="&amp;AC$16,[1]summary_table_v26_23SIs!$B$2:$B$1628,"="&amp;$H17)</f>
        <v>6</v>
      </c>
      <c r="AD17">
        <f>COUNTIFS([1]summary_table_v26_23SIs!$D$2:$D$1628,"="&amp;AD$16,[1]summary_table_v26_23SIs!$B$2:$B$1628,"="&amp;$H17)</f>
        <v>0</v>
      </c>
      <c r="AE17">
        <f>COUNTIFS([1]summary_table_v26_23SIs!$D$2:$D$1628,"="&amp;AE$16,[1]summary_table_v26_23SIs!$B$2:$B$1628,"="&amp;$H17)</f>
        <v>0</v>
      </c>
      <c r="AF17">
        <f>COUNTIFS([1]summary_table_v26_23SIs!$D$2:$D$1628,"="&amp;AF$16,[1]summary_table_v26_23SIs!$B$2:$B$1628,"="&amp;$H17)</f>
        <v>0</v>
      </c>
      <c r="AG17">
        <f>COUNTIFS([1]summary_table_v26_23SIs!$D$2:$D$1628,"="&amp;AG$16,[1]summary_table_v26_23SIs!$B$2:$B$1628,"="&amp;$H17)</f>
        <v>0</v>
      </c>
      <c r="AH17">
        <f>COUNTIFS([1]summary_table_v26_23SIs!$D$2:$D$1628,"="&amp;AH$16,[1]summary_table_v26_23SIs!$B$2:$B$1628,"="&amp;$H17)</f>
        <v>0</v>
      </c>
      <c r="AI17">
        <f>COUNTIFS([1]summary_table_v26_23SIs!$D$2:$D$1628,"="&amp;AI$16,[1]summary_table_v26_23SIs!$B$2:$B$1628,"="&amp;$H17)</f>
        <v>0</v>
      </c>
      <c r="AJ17" s="1" t="s">
        <v>87</v>
      </c>
      <c r="AK17" s="1" t="s">
        <v>148</v>
      </c>
      <c r="AN17" s="1" t="s">
        <v>99</v>
      </c>
    </row>
    <row r="18" spans="2:41" x14ac:dyDescent="0.2">
      <c r="B18" s="3">
        <f>'[1]Priority Indicators (n=23)'!A3</f>
        <v>1.2</v>
      </c>
      <c r="C18">
        <f>COUNTIF([1]summary_table_v26_23SIs!$D$2:$D$1628,"="&amp;$B18)</f>
        <v>0</v>
      </c>
      <c r="D18">
        <f>COUNTIF(K$17:K$43,"&gt;"&amp;0)</f>
        <v>0</v>
      </c>
      <c r="H18" s="2" t="s">
        <v>147</v>
      </c>
      <c r="I18" t="s">
        <v>146</v>
      </c>
      <c r="J18">
        <f>COUNTIFS([1]summary_table_v26_23SIs!$D$2:$D$1628,"="&amp;J$16,[1]summary_table_v26_23SIs!$B$2:$B$1628,"="&amp;$H18)</f>
        <v>7</v>
      </c>
      <c r="K18">
        <f>COUNTIFS([1]summary_table_v26_23SIs!$D$2:$D$1628,"="&amp;K$16,[1]summary_table_v26_23SIs!$B$2:$B$1628,"="&amp;$H18)</f>
        <v>0</v>
      </c>
      <c r="L18">
        <f>COUNTIFS([1]summary_table_v26_23SIs!$D$2:$D$1628,"="&amp;L$16,[1]summary_table_v26_23SIs!$B$2:$B$1628,"="&amp;$H18)</f>
        <v>0</v>
      </c>
      <c r="M18">
        <f>COUNTIFS([1]summary_table_v26_23SIs!$D$2:$D$1628,"="&amp;M$16,[1]summary_table_v26_23SIs!$B$2:$B$1628,"="&amp;$H18)</f>
        <v>0</v>
      </c>
      <c r="N18">
        <f>COUNTIFS([1]summary_table_v26_23SIs!$D$2:$D$1628,"="&amp;N$16,[1]summary_table_v26_23SIs!$B$2:$B$1628,"="&amp;$H18)</f>
        <v>0</v>
      </c>
      <c r="O18">
        <f>COUNTIFS([1]summary_table_v26_23SIs!$D$2:$D$1628,"="&amp;O$16,[1]summary_table_v26_23SIs!$B$2:$B$1628,"="&amp;$H18)</f>
        <v>0</v>
      </c>
      <c r="P18">
        <f>COUNTIFS([1]summary_table_v26_23SIs!$D$2:$D$1628,"="&amp;P$16,[1]summary_table_v26_23SIs!$B$2:$B$1628,"="&amp;$H18)</f>
        <v>0</v>
      </c>
      <c r="Q18">
        <f>COUNTIFS([1]summary_table_v26_23SIs!$D$2:$D$1628,"="&amp;Q$16,[1]summary_table_v26_23SIs!$B$2:$B$1628,"="&amp;$H18)</f>
        <v>0</v>
      </c>
      <c r="R18">
        <f>COUNTIFS([1]summary_table_v26_23SIs!$D$2:$D$1628,"="&amp;R$16,[1]summary_table_v26_23SIs!$B$2:$B$1628,"="&amp;$H18)</f>
        <v>0</v>
      </c>
      <c r="S18">
        <f>COUNTIFS([1]summary_table_v26_23SIs!$D$2:$D$1628,"="&amp;S$16,[1]summary_table_v26_23SIs!$B$2:$B$1628,"="&amp;$H18)</f>
        <v>0</v>
      </c>
      <c r="T18">
        <f>COUNTIFS([1]summary_table_v26_23SIs!$D$2:$D$1628,"="&amp;T$16,[1]summary_table_v26_23SIs!$B$2:$B$1628,"="&amp;$H18)</f>
        <v>0</v>
      </c>
      <c r="U18">
        <f>COUNTIFS([1]summary_table_v26_23SIs!$D$2:$D$1628,"="&amp;U$16,[1]summary_table_v26_23SIs!$B$2:$B$1628,"="&amp;$H18)</f>
        <v>0</v>
      </c>
      <c r="V18">
        <f>COUNTIFS([1]summary_table_v26_23SIs!$D$2:$D$1628,"="&amp;V$16,[1]summary_table_v26_23SIs!$B$2:$B$1628,"="&amp;$H18)</f>
        <v>0</v>
      </c>
      <c r="W18">
        <f>COUNTIFS([1]summary_table_v26_23SIs!$D$2:$D$1628,"="&amp;W$16,[1]summary_table_v26_23SIs!$B$2:$B$1628,"="&amp;$H18)</f>
        <v>0</v>
      </c>
      <c r="X18">
        <f>COUNTIFS([1]summary_table_v26_23SIs!$D$2:$D$1628,"="&amp;X$16,[1]summary_table_v26_23SIs!$B$2:$B$1628,"="&amp;$H18)</f>
        <v>1</v>
      </c>
      <c r="Y18">
        <f>COUNTIFS([1]summary_table_v26_23SIs!$D$2:$D$1628,"="&amp;Y$16,[1]summary_table_v26_23SIs!$B$2:$B$1628,"="&amp;$H18)</f>
        <v>0</v>
      </c>
      <c r="Z18">
        <f>COUNTIFS([1]summary_table_v26_23SIs!$D$2:$D$1628,"="&amp;Z$16,[1]summary_table_v26_23SIs!$B$2:$B$1628,"="&amp;$H18)</f>
        <v>0</v>
      </c>
      <c r="AA18">
        <f>COUNTIFS([1]summary_table_v26_23SIs!$D$2:$D$1628,"="&amp;AA$16,[1]summary_table_v26_23SIs!$B$2:$B$1628,"="&amp;$H18)</f>
        <v>0</v>
      </c>
      <c r="AB18">
        <f>COUNTIFS([1]summary_table_v26_23SIs!$D$2:$D$1628,"="&amp;AB$16,[1]summary_table_v26_23SIs!$B$2:$B$1628,"="&amp;$H18)</f>
        <v>0</v>
      </c>
      <c r="AC18">
        <f>COUNTIFS([1]summary_table_v26_23SIs!$D$2:$D$1628,"="&amp;AC$16,[1]summary_table_v26_23SIs!$B$2:$B$1628,"="&amp;$H18)</f>
        <v>4</v>
      </c>
      <c r="AD18">
        <f>COUNTIFS([1]summary_table_v26_23SIs!$D$2:$D$1628,"="&amp;AD$16,[1]summary_table_v26_23SIs!$B$2:$B$1628,"="&amp;$H18)</f>
        <v>0</v>
      </c>
      <c r="AE18">
        <f>COUNTIFS([1]summary_table_v26_23SIs!$D$2:$D$1628,"="&amp;AE$16,[1]summary_table_v26_23SIs!$B$2:$B$1628,"="&amp;$H18)</f>
        <v>0</v>
      </c>
      <c r="AF18">
        <f>COUNTIFS([1]summary_table_v26_23SIs!$D$2:$D$1628,"="&amp;AF$16,[1]summary_table_v26_23SIs!$B$2:$B$1628,"="&amp;$H18)</f>
        <v>0</v>
      </c>
      <c r="AG18">
        <f>COUNTIFS([1]summary_table_v26_23SIs!$D$2:$D$1628,"="&amp;AG$16,[1]summary_table_v26_23SIs!$B$2:$B$1628,"="&amp;$H18)</f>
        <v>0</v>
      </c>
      <c r="AH18">
        <f>COUNTIFS([1]summary_table_v26_23SIs!$D$2:$D$1628,"="&amp;AH$16,[1]summary_table_v26_23SIs!$B$2:$B$1628,"="&amp;$H18)</f>
        <v>0</v>
      </c>
      <c r="AI18">
        <f>COUNTIFS([1]summary_table_v26_23SIs!$D$2:$D$1628,"="&amp;AI$16,[1]summary_table_v26_23SIs!$B$2:$B$1628,"="&amp;$H18)</f>
        <v>0</v>
      </c>
      <c r="AJ18" s="1" t="s">
        <v>87</v>
      </c>
      <c r="AL18" s="8" t="s">
        <v>145</v>
      </c>
      <c r="AN18" s="1"/>
    </row>
    <row r="19" spans="2:41" x14ac:dyDescent="0.2">
      <c r="B19" s="3">
        <f>'[1]Priority Indicators (n=23)'!A4</f>
        <v>2.1</v>
      </c>
      <c r="C19">
        <f>COUNTIF([1]summary_table_v26_23SIs!$D$2:$D$1628,"="&amp;$B19)</f>
        <v>3</v>
      </c>
      <c r="D19">
        <f>COUNTIF(L$17:L$43,"&gt;"&amp;0)</f>
        <v>1</v>
      </c>
      <c r="H19" s="2" t="s">
        <v>144</v>
      </c>
      <c r="I19" t="s">
        <v>143</v>
      </c>
      <c r="J19">
        <f>COUNTIFS([1]summary_table_v26_23SIs!$D$2:$D$1628,"="&amp;J$16,[1]summary_table_v26_23SIs!$B$2:$B$1628,"="&amp;$H19)</f>
        <v>2</v>
      </c>
      <c r="K19">
        <f>COUNTIFS([1]summary_table_v26_23SIs!$D$2:$D$1628,"="&amp;K$16,[1]summary_table_v26_23SIs!$B$2:$B$1628,"="&amp;$H19)</f>
        <v>0</v>
      </c>
      <c r="L19">
        <f>COUNTIFS([1]summary_table_v26_23SIs!$D$2:$D$1628,"="&amp;L$16,[1]summary_table_v26_23SIs!$B$2:$B$1628,"="&amp;$H19)</f>
        <v>0</v>
      </c>
      <c r="M19">
        <f>COUNTIFS([1]summary_table_v26_23SIs!$D$2:$D$1628,"="&amp;M$16,[1]summary_table_v26_23SIs!$B$2:$B$1628,"="&amp;$H19)</f>
        <v>0</v>
      </c>
      <c r="N19">
        <f>COUNTIFS([1]summary_table_v26_23SIs!$D$2:$D$1628,"="&amp;N$16,[1]summary_table_v26_23SIs!$B$2:$B$1628,"="&amp;$H19)</f>
        <v>0</v>
      </c>
      <c r="O19">
        <f>COUNTIFS([1]summary_table_v26_23SIs!$D$2:$D$1628,"="&amp;O$16,[1]summary_table_v26_23SIs!$B$2:$B$1628,"="&amp;$H19)</f>
        <v>0</v>
      </c>
      <c r="P19">
        <f>COUNTIFS([1]summary_table_v26_23SIs!$D$2:$D$1628,"="&amp;P$16,[1]summary_table_v26_23SIs!$B$2:$B$1628,"="&amp;$H19)</f>
        <v>5</v>
      </c>
      <c r="Q19">
        <f>COUNTIFS([1]summary_table_v26_23SIs!$D$2:$D$1628,"="&amp;Q$16,[1]summary_table_v26_23SIs!$B$2:$B$1628,"="&amp;$H19)</f>
        <v>0</v>
      </c>
      <c r="R19">
        <f>COUNTIFS([1]summary_table_v26_23SIs!$D$2:$D$1628,"="&amp;R$16,[1]summary_table_v26_23SIs!$B$2:$B$1628,"="&amp;$H19)</f>
        <v>0</v>
      </c>
      <c r="S19">
        <f>COUNTIFS([1]summary_table_v26_23SIs!$D$2:$D$1628,"="&amp;S$16,[1]summary_table_v26_23SIs!$B$2:$B$1628,"="&amp;$H19)</f>
        <v>0</v>
      </c>
      <c r="T19">
        <f>COUNTIFS([1]summary_table_v26_23SIs!$D$2:$D$1628,"="&amp;T$16,[1]summary_table_v26_23SIs!$B$2:$B$1628,"="&amp;$H19)</f>
        <v>1</v>
      </c>
      <c r="U19">
        <f>COUNTIFS([1]summary_table_v26_23SIs!$D$2:$D$1628,"="&amp;U$16,[1]summary_table_v26_23SIs!$B$2:$B$1628,"="&amp;$H19)</f>
        <v>0</v>
      </c>
      <c r="V19">
        <f>COUNTIFS([1]summary_table_v26_23SIs!$D$2:$D$1628,"="&amp;V$16,[1]summary_table_v26_23SIs!$B$2:$B$1628,"="&amp;$H19)</f>
        <v>0</v>
      </c>
      <c r="W19">
        <f>COUNTIFS([1]summary_table_v26_23SIs!$D$2:$D$1628,"="&amp;W$16,[1]summary_table_v26_23SIs!$B$2:$B$1628,"="&amp;$H19)</f>
        <v>0</v>
      </c>
      <c r="X19">
        <f>COUNTIFS([1]summary_table_v26_23SIs!$D$2:$D$1628,"="&amp;X$16,[1]summary_table_v26_23SIs!$B$2:$B$1628,"="&amp;$H19)</f>
        <v>1</v>
      </c>
      <c r="Y19">
        <f>COUNTIFS([1]summary_table_v26_23SIs!$D$2:$D$1628,"="&amp;Y$16,[1]summary_table_v26_23SIs!$B$2:$B$1628,"="&amp;$H19)</f>
        <v>0</v>
      </c>
      <c r="Z19">
        <f>COUNTIFS([1]summary_table_v26_23SIs!$D$2:$D$1628,"="&amp;Z$16,[1]summary_table_v26_23SIs!$B$2:$B$1628,"="&amp;$H19)</f>
        <v>36</v>
      </c>
      <c r="AA19">
        <f>COUNTIFS([1]summary_table_v26_23SIs!$D$2:$D$1628,"="&amp;AA$16,[1]summary_table_v26_23SIs!$B$2:$B$1628,"="&amp;$H19)</f>
        <v>0</v>
      </c>
      <c r="AB19">
        <f>COUNTIFS([1]summary_table_v26_23SIs!$D$2:$D$1628,"="&amp;AB$16,[1]summary_table_v26_23SIs!$B$2:$B$1628,"="&amp;$H19)</f>
        <v>0</v>
      </c>
      <c r="AC19">
        <f>COUNTIFS([1]summary_table_v26_23SIs!$D$2:$D$1628,"="&amp;AC$16,[1]summary_table_v26_23SIs!$B$2:$B$1628,"="&amp;$H19)</f>
        <v>2</v>
      </c>
      <c r="AD19">
        <f>COUNTIFS([1]summary_table_v26_23SIs!$D$2:$D$1628,"="&amp;AD$16,[1]summary_table_v26_23SIs!$B$2:$B$1628,"="&amp;$H19)</f>
        <v>2</v>
      </c>
      <c r="AE19">
        <f>COUNTIFS([1]summary_table_v26_23SIs!$D$2:$D$1628,"="&amp;AE$16,[1]summary_table_v26_23SIs!$B$2:$B$1628,"="&amp;$H19)</f>
        <v>0</v>
      </c>
      <c r="AF19">
        <f>COUNTIFS([1]summary_table_v26_23SIs!$D$2:$D$1628,"="&amp;AF$16,[1]summary_table_v26_23SIs!$B$2:$B$1628,"="&amp;$H19)</f>
        <v>0</v>
      </c>
      <c r="AG19">
        <f>COUNTIFS([1]summary_table_v26_23SIs!$D$2:$D$1628,"="&amp;AG$16,[1]summary_table_v26_23SIs!$B$2:$B$1628,"="&amp;$H19)</f>
        <v>0</v>
      </c>
      <c r="AH19">
        <f>COUNTIFS([1]summary_table_v26_23SIs!$D$2:$D$1628,"="&amp;AH$16,[1]summary_table_v26_23SIs!$B$2:$B$1628,"="&amp;$H19)</f>
        <v>0</v>
      </c>
      <c r="AI19">
        <f>COUNTIFS([1]summary_table_v26_23SIs!$D$2:$D$1628,"="&amp;AI$16,[1]summary_table_v26_23SIs!$B$2:$B$1628,"="&amp;$H19)</f>
        <v>0</v>
      </c>
      <c r="AJ19" s="1" t="s">
        <v>87</v>
      </c>
      <c r="AK19" s="1" t="s">
        <v>90</v>
      </c>
      <c r="AN19" s="1"/>
    </row>
    <row r="20" spans="2:41" x14ac:dyDescent="0.2">
      <c r="B20" s="3">
        <f>'[1]Priority Indicators (n=23)'!A5</f>
        <v>2.2000000000000002</v>
      </c>
      <c r="C20">
        <f>COUNTIF([1]summary_table_v26_23SIs!$D$2:$D$1628,"="&amp;$B20)</f>
        <v>31</v>
      </c>
      <c r="D20">
        <f>COUNTIF(M$17:M$43,"&gt;"&amp;0)</f>
        <v>5</v>
      </c>
      <c r="H20" s="2" t="s">
        <v>142</v>
      </c>
      <c r="I20" t="s">
        <v>141</v>
      </c>
      <c r="J20">
        <f>COUNTIFS([1]summary_table_v26_23SIs!$D$2:$D$1628,"="&amp;J$16,[1]summary_table_v26_23SIs!$B$2:$B$1628,"="&amp;$H20)</f>
        <v>0</v>
      </c>
      <c r="K20">
        <f>COUNTIFS([1]summary_table_v26_23SIs!$D$2:$D$1628,"="&amp;K$16,[1]summary_table_v26_23SIs!$B$2:$B$1628,"="&amp;$H20)</f>
        <v>0</v>
      </c>
      <c r="L20">
        <f>COUNTIFS([1]summary_table_v26_23SIs!$D$2:$D$1628,"="&amp;L$16,[1]summary_table_v26_23SIs!$B$2:$B$1628,"="&amp;$H20)</f>
        <v>0</v>
      </c>
      <c r="M20">
        <f>COUNTIFS([1]summary_table_v26_23SIs!$D$2:$D$1628,"="&amp;M$16,[1]summary_table_v26_23SIs!$B$2:$B$1628,"="&amp;$H20)</f>
        <v>0</v>
      </c>
      <c r="N20">
        <f>COUNTIFS([1]summary_table_v26_23SIs!$D$2:$D$1628,"="&amp;N$16,[1]summary_table_v26_23SIs!$B$2:$B$1628,"="&amp;$H20)</f>
        <v>0</v>
      </c>
      <c r="O20">
        <f>COUNTIFS([1]summary_table_v26_23SIs!$D$2:$D$1628,"="&amp;O$16,[1]summary_table_v26_23SIs!$B$2:$B$1628,"="&amp;$H20)</f>
        <v>0</v>
      </c>
      <c r="P20">
        <f>COUNTIFS([1]summary_table_v26_23SIs!$D$2:$D$1628,"="&amp;P$16,[1]summary_table_v26_23SIs!$B$2:$B$1628,"="&amp;$H20)</f>
        <v>0</v>
      </c>
      <c r="Q20">
        <f>COUNTIFS([1]summary_table_v26_23SIs!$D$2:$D$1628,"="&amp;Q$16,[1]summary_table_v26_23SIs!$B$2:$B$1628,"="&amp;$H20)</f>
        <v>0</v>
      </c>
      <c r="R20">
        <f>COUNTIFS([1]summary_table_v26_23SIs!$D$2:$D$1628,"="&amp;R$16,[1]summary_table_v26_23SIs!$B$2:$B$1628,"="&amp;$H20)</f>
        <v>0</v>
      </c>
      <c r="S20">
        <f>COUNTIFS([1]summary_table_v26_23SIs!$D$2:$D$1628,"="&amp;S$16,[1]summary_table_v26_23SIs!$B$2:$B$1628,"="&amp;$H20)</f>
        <v>0</v>
      </c>
      <c r="T20">
        <f>COUNTIFS([1]summary_table_v26_23SIs!$D$2:$D$1628,"="&amp;T$16,[1]summary_table_v26_23SIs!$B$2:$B$1628,"="&amp;$H20)</f>
        <v>0</v>
      </c>
      <c r="U20">
        <f>COUNTIFS([1]summary_table_v26_23SIs!$D$2:$D$1628,"="&amp;U$16,[1]summary_table_v26_23SIs!$B$2:$B$1628,"="&amp;$H20)</f>
        <v>0</v>
      </c>
      <c r="V20">
        <f>COUNTIFS([1]summary_table_v26_23SIs!$D$2:$D$1628,"="&amp;V$16,[1]summary_table_v26_23SIs!$B$2:$B$1628,"="&amp;$H20)</f>
        <v>0</v>
      </c>
      <c r="W20">
        <f>COUNTIFS([1]summary_table_v26_23SIs!$D$2:$D$1628,"="&amp;W$16,[1]summary_table_v26_23SIs!$B$2:$B$1628,"="&amp;$H20)</f>
        <v>0</v>
      </c>
      <c r="X20">
        <f>COUNTIFS([1]summary_table_v26_23SIs!$D$2:$D$1628,"="&amp;X$16,[1]summary_table_v26_23SIs!$B$2:$B$1628,"="&amp;$H20)</f>
        <v>0</v>
      </c>
      <c r="Y20">
        <f>COUNTIFS([1]summary_table_v26_23SIs!$D$2:$D$1628,"="&amp;Y$16,[1]summary_table_v26_23SIs!$B$2:$B$1628,"="&amp;$H20)</f>
        <v>0</v>
      </c>
      <c r="Z20">
        <f>COUNTIFS([1]summary_table_v26_23SIs!$D$2:$D$1628,"="&amp;Z$16,[1]summary_table_v26_23SIs!$B$2:$B$1628,"="&amp;$H20)</f>
        <v>0</v>
      </c>
      <c r="AA20">
        <f>COUNTIFS([1]summary_table_v26_23SIs!$D$2:$D$1628,"="&amp;AA$16,[1]summary_table_v26_23SIs!$B$2:$B$1628,"="&amp;$H20)</f>
        <v>0</v>
      </c>
      <c r="AB20">
        <f>COUNTIFS([1]summary_table_v26_23SIs!$D$2:$D$1628,"="&amp;AB$16,[1]summary_table_v26_23SIs!$B$2:$B$1628,"="&amp;$H20)</f>
        <v>0</v>
      </c>
      <c r="AC20">
        <f>COUNTIFS([1]summary_table_v26_23SIs!$D$2:$D$1628,"="&amp;AC$16,[1]summary_table_v26_23SIs!$B$2:$B$1628,"="&amp;$H20)</f>
        <v>0</v>
      </c>
      <c r="AD20">
        <f>COUNTIFS([1]summary_table_v26_23SIs!$D$2:$D$1628,"="&amp;AD$16,[1]summary_table_v26_23SIs!$B$2:$B$1628,"="&amp;$H20)</f>
        <v>0</v>
      </c>
      <c r="AE20">
        <f>COUNTIFS([1]summary_table_v26_23SIs!$D$2:$D$1628,"="&amp;AE$16,[1]summary_table_v26_23SIs!$B$2:$B$1628,"="&amp;$H20)</f>
        <v>0</v>
      </c>
      <c r="AF20">
        <f>COUNTIFS([1]summary_table_v26_23SIs!$D$2:$D$1628,"="&amp;AF$16,[1]summary_table_v26_23SIs!$B$2:$B$1628,"="&amp;$H20)</f>
        <v>0</v>
      </c>
      <c r="AG20">
        <f>COUNTIFS([1]summary_table_v26_23SIs!$D$2:$D$1628,"="&amp;AG$16,[1]summary_table_v26_23SIs!$B$2:$B$1628,"="&amp;$H20)</f>
        <v>0</v>
      </c>
      <c r="AH20">
        <f>COUNTIFS([1]summary_table_v26_23SIs!$D$2:$D$1628,"="&amp;AH$16,[1]summary_table_v26_23SIs!$B$2:$B$1628,"="&amp;$H20)</f>
        <v>0</v>
      </c>
      <c r="AI20">
        <f>COUNTIFS([1]summary_table_v26_23SIs!$D$2:$D$1628,"="&amp;AI$16,[1]summary_table_v26_23SIs!$B$2:$B$1628,"="&amp;$H20)</f>
        <v>0</v>
      </c>
      <c r="AN20" s="1"/>
      <c r="AO20" s="1" t="s">
        <v>140</v>
      </c>
    </row>
    <row r="21" spans="2:41" x14ac:dyDescent="0.2">
      <c r="B21" s="3">
        <f>'[1]Priority Indicators (n=23)'!A6</f>
        <v>2.2999999999999998</v>
      </c>
      <c r="C21">
        <f>COUNTIF([1]summary_table_v26_23SIs!$D$2:$D$1628,"="&amp;$B21)</f>
        <v>9</v>
      </c>
      <c r="D21">
        <f>COUNTIF(N$17:N$43,"&gt;"&amp;0)</f>
        <v>3</v>
      </c>
      <c r="H21" s="2" t="s">
        <v>139</v>
      </c>
      <c r="I21" t="s">
        <v>138</v>
      </c>
      <c r="J21">
        <f>COUNTIFS([1]summary_table_v26_23SIs!$D$2:$D$1628,"="&amp;J$16,[1]summary_table_v26_23SIs!$B$2:$B$1628,"="&amp;$H21)</f>
        <v>8</v>
      </c>
      <c r="K21">
        <f>COUNTIFS([1]summary_table_v26_23SIs!$D$2:$D$1628,"="&amp;K$16,[1]summary_table_v26_23SIs!$B$2:$B$1628,"="&amp;$H21)</f>
        <v>0</v>
      </c>
      <c r="L21">
        <f>COUNTIFS([1]summary_table_v26_23SIs!$D$2:$D$1628,"="&amp;L$16,[1]summary_table_v26_23SIs!$B$2:$B$1628,"="&amp;$H21)</f>
        <v>0</v>
      </c>
      <c r="M21">
        <f>COUNTIFS([1]summary_table_v26_23SIs!$D$2:$D$1628,"="&amp;M$16,[1]summary_table_v26_23SIs!$B$2:$B$1628,"="&amp;$H21)</f>
        <v>0</v>
      </c>
      <c r="N21">
        <f>COUNTIFS([1]summary_table_v26_23SIs!$D$2:$D$1628,"="&amp;N$16,[1]summary_table_v26_23SIs!$B$2:$B$1628,"="&amp;$H21)</f>
        <v>0</v>
      </c>
      <c r="O21">
        <f>COUNTIFS([1]summary_table_v26_23SIs!$D$2:$D$1628,"="&amp;O$16,[1]summary_table_v26_23SIs!$B$2:$B$1628,"="&amp;$H21)</f>
        <v>0</v>
      </c>
      <c r="P21">
        <f>COUNTIFS([1]summary_table_v26_23SIs!$D$2:$D$1628,"="&amp;P$16,[1]summary_table_v26_23SIs!$B$2:$B$1628,"="&amp;$H21)</f>
        <v>0</v>
      </c>
      <c r="Q21">
        <f>COUNTIFS([1]summary_table_v26_23SIs!$D$2:$D$1628,"="&amp;Q$16,[1]summary_table_v26_23SIs!$B$2:$B$1628,"="&amp;$H21)</f>
        <v>0</v>
      </c>
      <c r="R21">
        <f>COUNTIFS([1]summary_table_v26_23SIs!$D$2:$D$1628,"="&amp;R$16,[1]summary_table_v26_23SIs!$B$2:$B$1628,"="&amp;$H21)</f>
        <v>0</v>
      </c>
      <c r="S21">
        <f>COUNTIFS([1]summary_table_v26_23SIs!$D$2:$D$1628,"="&amp;S$16,[1]summary_table_v26_23SIs!$B$2:$B$1628,"="&amp;$H21)</f>
        <v>0</v>
      </c>
      <c r="T21">
        <f>COUNTIFS([1]summary_table_v26_23SIs!$D$2:$D$1628,"="&amp;T$16,[1]summary_table_v26_23SIs!$B$2:$B$1628,"="&amp;$H21)</f>
        <v>0</v>
      </c>
      <c r="U21">
        <f>COUNTIFS([1]summary_table_v26_23SIs!$D$2:$D$1628,"="&amp;U$16,[1]summary_table_v26_23SIs!$B$2:$B$1628,"="&amp;$H21)</f>
        <v>0</v>
      </c>
      <c r="V21">
        <f>COUNTIFS([1]summary_table_v26_23SIs!$D$2:$D$1628,"="&amp;V$16,[1]summary_table_v26_23SIs!$B$2:$B$1628,"="&amp;$H21)</f>
        <v>0</v>
      </c>
      <c r="W21">
        <f>COUNTIFS([1]summary_table_v26_23SIs!$D$2:$D$1628,"="&amp;W$16,[1]summary_table_v26_23SIs!$B$2:$B$1628,"="&amp;$H21)</f>
        <v>0</v>
      </c>
      <c r="X21">
        <f>COUNTIFS([1]summary_table_v26_23SIs!$D$2:$D$1628,"="&amp;X$16,[1]summary_table_v26_23SIs!$B$2:$B$1628,"="&amp;$H21)</f>
        <v>1</v>
      </c>
      <c r="Y21">
        <f>COUNTIFS([1]summary_table_v26_23SIs!$D$2:$D$1628,"="&amp;Y$16,[1]summary_table_v26_23SIs!$B$2:$B$1628,"="&amp;$H21)</f>
        <v>0</v>
      </c>
      <c r="Z21">
        <f>COUNTIFS([1]summary_table_v26_23SIs!$D$2:$D$1628,"="&amp;Z$16,[1]summary_table_v26_23SIs!$B$2:$B$1628,"="&amp;$H21)</f>
        <v>0</v>
      </c>
      <c r="AA21">
        <f>COUNTIFS([1]summary_table_v26_23SIs!$D$2:$D$1628,"="&amp;AA$16,[1]summary_table_v26_23SIs!$B$2:$B$1628,"="&amp;$H21)</f>
        <v>0</v>
      </c>
      <c r="AB21">
        <f>COUNTIFS([1]summary_table_v26_23SIs!$D$2:$D$1628,"="&amp;AB$16,[1]summary_table_v26_23SIs!$B$2:$B$1628,"="&amp;$H21)</f>
        <v>0</v>
      </c>
      <c r="AC21">
        <f>COUNTIFS([1]summary_table_v26_23SIs!$D$2:$D$1628,"="&amp;AC$16,[1]summary_table_v26_23SIs!$B$2:$B$1628,"="&amp;$H21)</f>
        <v>8</v>
      </c>
      <c r="AD21">
        <f>COUNTIFS([1]summary_table_v26_23SIs!$D$2:$D$1628,"="&amp;AD$16,[1]summary_table_v26_23SIs!$B$2:$B$1628,"="&amp;$H21)</f>
        <v>0</v>
      </c>
      <c r="AE21">
        <f>COUNTIFS([1]summary_table_v26_23SIs!$D$2:$D$1628,"="&amp;AE$16,[1]summary_table_v26_23SIs!$B$2:$B$1628,"="&amp;$H21)</f>
        <v>0</v>
      </c>
      <c r="AF21">
        <f>COUNTIFS([1]summary_table_v26_23SIs!$D$2:$D$1628,"="&amp;AF$16,[1]summary_table_v26_23SIs!$B$2:$B$1628,"="&amp;$H21)</f>
        <v>0</v>
      </c>
      <c r="AG21">
        <f>COUNTIFS([1]summary_table_v26_23SIs!$D$2:$D$1628,"="&amp;AG$16,[1]summary_table_v26_23SIs!$B$2:$B$1628,"="&amp;$H21)</f>
        <v>0</v>
      </c>
      <c r="AH21">
        <f>COUNTIFS([1]summary_table_v26_23SIs!$D$2:$D$1628,"="&amp;AH$16,[1]summary_table_v26_23SIs!$B$2:$B$1628,"="&amp;$H21)</f>
        <v>0</v>
      </c>
      <c r="AI21">
        <f>COUNTIFS([1]summary_table_v26_23SIs!$D$2:$D$1628,"="&amp;AI$16,[1]summary_table_v26_23SIs!$B$2:$B$1628,"="&amp;$H21)</f>
        <v>0</v>
      </c>
      <c r="AJ21" s="1" t="s">
        <v>87</v>
      </c>
      <c r="AN21" s="1"/>
    </row>
    <row r="22" spans="2:41" x14ac:dyDescent="0.2">
      <c r="B22" s="3">
        <f>'[1]Priority Indicators (n=23)'!A7</f>
        <v>2.4</v>
      </c>
      <c r="C22">
        <f>COUNTIF([1]summary_table_v26_23SIs!$D$2:$D$1628,"="&amp;$B22)</f>
        <v>26</v>
      </c>
      <c r="D22">
        <f>COUNTIF(O$17:O$43,"&gt;"&amp;0)</f>
        <v>3</v>
      </c>
      <c r="H22" s="2" t="s">
        <v>137</v>
      </c>
      <c r="I22" t="s">
        <v>136</v>
      </c>
      <c r="J22">
        <f>COUNTIFS([1]summary_table_v26_23SIs!$D$2:$D$1628,"="&amp;J$16,[1]summary_table_v26_23SIs!$B$2:$B$1628,"="&amp;$H22)</f>
        <v>42</v>
      </c>
      <c r="K22">
        <f>COUNTIFS([1]summary_table_v26_23SIs!$D$2:$D$1628,"="&amp;K$16,[1]summary_table_v26_23SIs!$B$2:$B$1628,"="&amp;$H22)</f>
        <v>0</v>
      </c>
      <c r="L22">
        <f>COUNTIFS([1]summary_table_v26_23SIs!$D$2:$D$1628,"="&amp;L$16,[1]summary_table_v26_23SIs!$B$2:$B$1628,"="&amp;$H22)</f>
        <v>0</v>
      </c>
      <c r="M22">
        <f>COUNTIFS([1]summary_table_v26_23SIs!$D$2:$D$1628,"="&amp;M$16,[1]summary_table_v26_23SIs!$B$2:$B$1628,"="&amp;$H22)</f>
        <v>0</v>
      </c>
      <c r="N22">
        <f>COUNTIFS([1]summary_table_v26_23SIs!$D$2:$D$1628,"="&amp;N$16,[1]summary_table_v26_23SIs!$B$2:$B$1628,"="&amp;$H22)</f>
        <v>0</v>
      </c>
      <c r="O22">
        <f>COUNTIFS([1]summary_table_v26_23SIs!$D$2:$D$1628,"="&amp;O$16,[1]summary_table_v26_23SIs!$B$2:$B$1628,"="&amp;$H22)</f>
        <v>0</v>
      </c>
      <c r="P22">
        <f>COUNTIFS([1]summary_table_v26_23SIs!$D$2:$D$1628,"="&amp;P$16,[1]summary_table_v26_23SIs!$B$2:$B$1628,"="&amp;$H22)</f>
        <v>0</v>
      </c>
      <c r="Q22">
        <f>COUNTIFS([1]summary_table_v26_23SIs!$D$2:$D$1628,"="&amp;Q$16,[1]summary_table_v26_23SIs!$B$2:$B$1628,"="&amp;$H22)</f>
        <v>0</v>
      </c>
      <c r="R22">
        <f>COUNTIFS([1]summary_table_v26_23SIs!$D$2:$D$1628,"="&amp;R$16,[1]summary_table_v26_23SIs!$B$2:$B$1628,"="&amp;$H22)</f>
        <v>0</v>
      </c>
      <c r="S22">
        <f>COUNTIFS([1]summary_table_v26_23SIs!$D$2:$D$1628,"="&amp;S$16,[1]summary_table_v26_23SIs!$B$2:$B$1628,"="&amp;$H22)</f>
        <v>0</v>
      </c>
      <c r="T22">
        <f>COUNTIFS([1]summary_table_v26_23SIs!$D$2:$D$1628,"="&amp;T$16,[1]summary_table_v26_23SIs!$B$2:$B$1628,"="&amp;$H22)</f>
        <v>6</v>
      </c>
      <c r="U22">
        <f>COUNTIFS([1]summary_table_v26_23SIs!$D$2:$D$1628,"="&amp;U$16,[1]summary_table_v26_23SIs!$B$2:$B$1628,"="&amp;$H22)</f>
        <v>0</v>
      </c>
      <c r="V22">
        <f>COUNTIFS([1]summary_table_v26_23SIs!$D$2:$D$1628,"="&amp;V$16,[1]summary_table_v26_23SIs!$B$2:$B$1628,"="&amp;$H22)</f>
        <v>0</v>
      </c>
      <c r="W22">
        <f>COUNTIFS([1]summary_table_v26_23SIs!$D$2:$D$1628,"="&amp;W$16,[1]summary_table_v26_23SIs!$B$2:$B$1628,"="&amp;$H22)</f>
        <v>0</v>
      </c>
      <c r="X22">
        <f>COUNTIFS([1]summary_table_v26_23SIs!$D$2:$D$1628,"="&amp;X$16,[1]summary_table_v26_23SIs!$B$2:$B$1628,"="&amp;$H22)</f>
        <v>1</v>
      </c>
      <c r="Y22">
        <f>COUNTIFS([1]summary_table_v26_23SIs!$D$2:$D$1628,"="&amp;Y$16,[1]summary_table_v26_23SIs!$B$2:$B$1628,"="&amp;$H22)</f>
        <v>0</v>
      </c>
      <c r="Z22">
        <f>COUNTIFS([1]summary_table_v26_23SIs!$D$2:$D$1628,"="&amp;Z$16,[1]summary_table_v26_23SIs!$B$2:$B$1628,"="&amp;$H22)</f>
        <v>0</v>
      </c>
      <c r="AA22">
        <f>COUNTIFS([1]summary_table_v26_23SIs!$D$2:$D$1628,"="&amp;AA$16,[1]summary_table_v26_23SIs!$B$2:$B$1628,"="&amp;$H22)</f>
        <v>0</v>
      </c>
      <c r="AB22">
        <f>COUNTIFS([1]summary_table_v26_23SIs!$D$2:$D$1628,"="&amp;AB$16,[1]summary_table_v26_23SIs!$B$2:$B$1628,"="&amp;$H22)</f>
        <v>0</v>
      </c>
      <c r="AC22">
        <f>COUNTIFS([1]summary_table_v26_23SIs!$D$2:$D$1628,"="&amp;AC$16,[1]summary_table_v26_23SIs!$B$2:$B$1628,"="&amp;$H22)</f>
        <v>0</v>
      </c>
      <c r="AD22">
        <f>COUNTIFS([1]summary_table_v26_23SIs!$D$2:$D$1628,"="&amp;AD$16,[1]summary_table_v26_23SIs!$B$2:$B$1628,"="&amp;$H22)</f>
        <v>0</v>
      </c>
      <c r="AE22">
        <f>COUNTIFS([1]summary_table_v26_23SIs!$D$2:$D$1628,"="&amp;AE$16,[1]summary_table_v26_23SIs!$B$2:$B$1628,"="&amp;$H22)</f>
        <v>0</v>
      </c>
      <c r="AF22">
        <f>COUNTIFS([1]summary_table_v26_23SIs!$D$2:$D$1628,"="&amp;AF$16,[1]summary_table_v26_23SIs!$B$2:$B$1628,"="&amp;$H22)</f>
        <v>0</v>
      </c>
      <c r="AG22">
        <f>COUNTIFS([1]summary_table_v26_23SIs!$D$2:$D$1628,"="&amp;AG$16,[1]summary_table_v26_23SIs!$B$2:$B$1628,"="&amp;$H22)</f>
        <v>0</v>
      </c>
      <c r="AH22">
        <f>COUNTIFS([1]summary_table_v26_23SIs!$D$2:$D$1628,"="&amp;AH$16,[1]summary_table_v26_23SIs!$B$2:$B$1628,"="&amp;$H22)</f>
        <v>0</v>
      </c>
      <c r="AI22">
        <f>COUNTIFS([1]summary_table_v26_23SIs!$D$2:$D$1628,"="&amp;AI$16,[1]summary_table_v26_23SIs!$B$2:$B$1628,"="&amp;$H22)</f>
        <v>0</v>
      </c>
      <c r="AK22" s="1" t="s">
        <v>90</v>
      </c>
      <c r="AN22" s="1"/>
    </row>
    <row r="23" spans="2:41" x14ac:dyDescent="0.2">
      <c r="B23" s="3">
        <f>'[1]Priority Indicators (n=23)'!A8</f>
        <v>2.5</v>
      </c>
      <c r="C23">
        <f>COUNTIF([1]summary_table_v26_23SIs!$D$2:$D$1628,"="&amp;$B23)</f>
        <v>86</v>
      </c>
      <c r="D23">
        <f>COUNTIF(P$17:P$43,"&gt;"&amp;0)</f>
        <v>8</v>
      </c>
      <c r="H23" s="2" t="s">
        <v>135</v>
      </c>
      <c r="I23" t="s">
        <v>134</v>
      </c>
      <c r="J23">
        <f>COUNTIFS([1]summary_table_v26_23SIs!$D$2:$D$1628,"="&amp;J$16,[1]summary_table_v26_23SIs!$B$2:$B$1628,"="&amp;$H23)</f>
        <v>2</v>
      </c>
      <c r="K23">
        <f>COUNTIFS([1]summary_table_v26_23SIs!$D$2:$D$1628,"="&amp;K$16,[1]summary_table_v26_23SIs!$B$2:$B$1628,"="&amp;$H23)</f>
        <v>0</v>
      </c>
      <c r="L23">
        <f>COUNTIFS([1]summary_table_v26_23SIs!$D$2:$D$1628,"="&amp;L$16,[1]summary_table_v26_23SIs!$B$2:$B$1628,"="&amp;$H23)</f>
        <v>0</v>
      </c>
      <c r="M23">
        <f>COUNTIFS([1]summary_table_v26_23SIs!$D$2:$D$1628,"="&amp;M$16,[1]summary_table_v26_23SIs!$B$2:$B$1628,"="&amp;$H23)</f>
        <v>0</v>
      </c>
      <c r="N23">
        <f>COUNTIFS([1]summary_table_v26_23SIs!$D$2:$D$1628,"="&amp;N$16,[1]summary_table_v26_23SIs!$B$2:$B$1628,"="&amp;$H23)</f>
        <v>0</v>
      </c>
      <c r="O23">
        <f>COUNTIFS([1]summary_table_v26_23SIs!$D$2:$D$1628,"="&amp;O$16,[1]summary_table_v26_23SIs!$B$2:$B$1628,"="&amp;$H23)</f>
        <v>0</v>
      </c>
      <c r="P23">
        <f>COUNTIFS([1]summary_table_v26_23SIs!$D$2:$D$1628,"="&amp;P$16,[1]summary_table_v26_23SIs!$B$2:$B$1628,"="&amp;$H23)</f>
        <v>0</v>
      </c>
      <c r="Q23">
        <f>COUNTIFS([1]summary_table_v26_23SIs!$D$2:$D$1628,"="&amp;Q$16,[1]summary_table_v26_23SIs!$B$2:$B$1628,"="&amp;$H23)</f>
        <v>0</v>
      </c>
      <c r="R23">
        <f>COUNTIFS([1]summary_table_v26_23SIs!$D$2:$D$1628,"="&amp;R$16,[1]summary_table_v26_23SIs!$B$2:$B$1628,"="&amp;$H23)</f>
        <v>0</v>
      </c>
      <c r="S23">
        <f>COUNTIFS([1]summary_table_v26_23SIs!$D$2:$D$1628,"="&amp;S$16,[1]summary_table_v26_23SIs!$B$2:$B$1628,"="&amp;$H23)</f>
        <v>0</v>
      </c>
      <c r="T23">
        <f>COUNTIFS([1]summary_table_v26_23SIs!$D$2:$D$1628,"="&amp;T$16,[1]summary_table_v26_23SIs!$B$2:$B$1628,"="&amp;$H23)</f>
        <v>0</v>
      </c>
      <c r="U23">
        <f>COUNTIFS([1]summary_table_v26_23SIs!$D$2:$D$1628,"="&amp;U$16,[1]summary_table_v26_23SIs!$B$2:$B$1628,"="&amp;$H23)</f>
        <v>0</v>
      </c>
      <c r="V23">
        <f>COUNTIFS([1]summary_table_v26_23SIs!$D$2:$D$1628,"="&amp;V$16,[1]summary_table_v26_23SIs!$B$2:$B$1628,"="&amp;$H23)</f>
        <v>0</v>
      </c>
      <c r="W23">
        <f>COUNTIFS([1]summary_table_v26_23SIs!$D$2:$D$1628,"="&amp;W$16,[1]summary_table_v26_23SIs!$B$2:$B$1628,"="&amp;$H23)</f>
        <v>0</v>
      </c>
      <c r="X23">
        <f>COUNTIFS([1]summary_table_v26_23SIs!$D$2:$D$1628,"="&amp;X$16,[1]summary_table_v26_23SIs!$B$2:$B$1628,"="&amp;$H23)</f>
        <v>1</v>
      </c>
      <c r="Y23">
        <f>COUNTIFS([1]summary_table_v26_23SIs!$D$2:$D$1628,"="&amp;Y$16,[1]summary_table_v26_23SIs!$B$2:$B$1628,"="&amp;$H23)</f>
        <v>0</v>
      </c>
      <c r="Z23">
        <f>COUNTIFS([1]summary_table_v26_23SIs!$D$2:$D$1628,"="&amp;Z$16,[1]summary_table_v26_23SIs!$B$2:$B$1628,"="&amp;$H23)</f>
        <v>0</v>
      </c>
      <c r="AA23">
        <f>COUNTIFS([1]summary_table_v26_23SIs!$D$2:$D$1628,"="&amp;AA$16,[1]summary_table_v26_23SIs!$B$2:$B$1628,"="&amp;$H23)</f>
        <v>0</v>
      </c>
      <c r="AB23">
        <f>COUNTIFS([1]summary_table_v26_23SIs!$D$2:$D$1628,"="&amp;AB$16,[1]summary_table_v26_23SIs!$B$2:$B$1628,"="&amp;$H23)</f>
        <v>0</v>
      </c>
      <c r="AC23">
        <f>COUNTIFS([1]summary_table_v26_23SIs!$D$2:$D$1628,"="&amp;AC$16,[1]summary_table_v26_23SIs!$B$2:$B$1628,"="&amp;$H23)</f>
        <v>2</v>
      </c>
      <c r="AD23">
        <f>COUNTIFS([1]summary_table_v26_23SIs!$D$2:$D$1628,"="&amp;AD$16,[1]summary_table_v26_23SIs!$B$2:$B$1628,"="&amp;$H23)</f>
        <v>0</v>
      </c>
      <c r="AE23">
        <f>COUNTIFS([1]summary_table_v26_23SIs!$D$2:$D$1628,"="&amp;AE$16,[1]summary_table_v26_23SIs!$B$2:$B$1628,"="&amp;$H23)</f>
        <v>0</v>
      </c>
      <c r="AF23">
        <f>COUNTIFS([1]summary_table_v26_23SIs!$D$2:$D$1628,"="&amp;AF$16,[1]summary_table_v26_23SIs!$B$2:$B$1628,"="&amp;$H23)</f>
        <v>0</v>
      </c>
      <c r="AG23">
        <f>COUNTIFS([1]summary_table_v26_23SIs!$D$2:$D$1628,"="&amp;AG$16,[1]summary_table_v26_23SIs!$B$2:$B$1628,"="&amp;$H23)</f>
        <v>0</v>
      </c>
      <c r="AH23">
        <f>COUNTIFS([1]summary_table_v26_23SIs!$D$2:$D$1628,"="&amp;AH$16,[1]summary_table_v26_23SIs!$B$2:$B$1628,"="&amp;$H23)</f>
        <v>0</v>
      </c>
      <c r="AI23">
        <f>COUNTIFS([1]summary_table_v26_23SIs!$D$2:$D$1628,"="&amp;AI$16,[1]summary_table_v26_23SIs!$B$2:$B$1628,"="&amp;$H23)</f>
        <v>0</v>
      </c>
      <c r="AJ23" s="1" t="s">
        <v>87</v>
      </c>
      <c r="AN23" s="1"/>
    </row>
    <row r="24" spans="2:41" x14ac:dyDescent="0.2">
      <c r="B24" s="3">
        <f>'[1]Priority Indicators (n=23)'!A9</f>
        <v>2.6</v>
      </c>
      <c r="C24">
        <f>COUNTIF([1]summary_table_v26_23SIs!$D$2:$D$1628,"="&amp;$B24)</f>
        <v>0</v>
      </c>
      <c r="D24">
        <f>COUNTIF(Q$17:Q$43,"&gt;"&amp;0)</f>
        <v>0</v>
      </c>
      <c r="H24" s="2" t="s">
        <v>133</v>
      </c>
      <c r="I24" t="s">
        <v>132</v>
      </c>
      <c r="J24">
        <f>COUNTIFS([1]summary_table_v26_23SIs!$D$2:$D$1628,"="&amp;J$16,[1]summary_table_v26_23SIs!$B$2:$B$1628,"="&amp;$H24)</f>
        <v>8</v>
      </c>
      <c r="K24">
        <f>COUNTIFS([1]summary_table_v26_23SIs!$D$2:$D$1628,"="&amp;K$16,[1]summary_table_v26_23SIs!$B$2:$B$1628,"="&amp;$H24)</f>
        <v>0</v>
      </c>
      <c r="L24">
        <f>COUNTIFS([1]summary_table_v26_23SIs!$D$2:$D$1628,"="&amp;L$16,[1]summary_table_v26_23SIs!$B$2:$B$1628,"="&amp;$H24)</f>
        <v>0</v>
      </c>
      <c r="M24">
        <f>COUNTIFS([1]summary_table_v26_23SIs!$D$2:$D$1628,"="&amp;M$16,[1]summary_table_v26_23SIs!$B$2:$B$1628,"="&amp;$H24)</f>
        <v>4</v>
      </c>
      <c r="N24">
        <f>COUNTIFS([1]summary_table_v26_23SIs!$D$2:$D$1628,"="&amp;N$16,[1]summary_table_v26_23SIs!$B$2:$B$1628,"="&amp;$H24)</f>
        <v>1</v>
      </c>
      <c r="O24">
        <f>COUNTIFS([1]summary_table_v26_23SIs!$D$2:$D$1628,"="&amp;O$16,[1]summary_table_v26_23SIs!$B$2:$B$1628,"="&amp;$H24)</f>
        <v>0</v>
      </c>
      <c r="P24">
        <f>COUNTIFS([1]summary_table_v26_23SIs!$D$2:$D$1628,"="&amp;P$16,[1]summary_table_v26_23SIs!$B$2:$B$1628,"="&amp;$H24)</f>
        <v>0</v>
      </c>
      <c r="Q24">
        <f>COUNTIFS([1]summary_table_v26_23SIs!$D$2:$D$1628,"="&amp;Q$16,[1]summary_table_v26_23SIs!$B$2:$B$1628,"="&amp;$H24)</f>
        <v>0</v>
      </c>
      <c r="R24">
        <f>COUNTIFS([1]summary_table_v26_23SIs!$D$2:$D$1628,"="&amp;R$16,[1]summary_table_v26_23SIs!$B$2:$B$1628,"="&amp;$H24)</f>
        <v>0</v>
      </c>
      <c r="S24">
        <f>COUNTIFS([1]summary_table_v26_23SIs!$D$2:$D$1628,"="&amp;S$16,[1]summary_table_v26_23SIs!$B$2:$B$1628,"="&amp;$H24)</f>
        <v>0</v>
      </c>
      <c r="T24">
        <f>COUNTIFS([1]summary_table_v26_23SIs!$D$2:$D$1628,"="&amp;T$16,[1]summary_table_v26_23SIs!$B$2:$B$1628,"="&amp;$H24)</f>
        <v>2</v>
      </c>
      <c r="U24">
        <f>COUNTIFS([1]summary_table_v26_23SIs!$D$2:$D$1628,"="&amp;U$16,[1]summary_table_v26_23SIs!$B$2:$B$1628,"="&amp;$H24)</f>
        <v>0</v>
      </c>
      <c r="V24">
        <f>COUNTIFS([1]summary_table_v26_23SIs!$D$2:$D$1628,"="&amp;V$16,[1]summary_table_v26_23SIs!$B$2:$B$1628,"="&amp;$H24)</f>
        <v>0</v>
      </c>
      <c r="W24">
        <f>COUNTIFS([1]summary_table_v26_23SIs!$D$2:$D$1628,"="&amp;W$16,[1]summary_table_v26_23SIs!$B$2:$B$1628,"="&amp;$H24)</f>
        <v>18</v>
      </c>
      <c r="X24">
        <f>COUNTIFS([1]summary_table_v26_23SIs!$D$2:$D$1628,"="&amp;X$16,[1]summary_table_v26_23SIs!$B$2:$B$1628,"="&amp;$H24)</f>
        <v>1</v>
      </c>
      <c r="Y24">
        <f>COUNTIFS([1]summary_table_v26_23SIs!$D$2:$D$1628,"="&amp;Y$16,[1]summary_table_v26_23SIs!$B$2:$B$1628,"="&amp;$H24)</f>
        <v>0</v>
      </c>
      <c r="Z24">
        <f>COUNTIFS([1]summary_table_v26_23SIs!$D$2:$D$1628,"="&amp;Z$16,[1]summary_table_v26_23SIs!$B$2:$B$1628,"="&amp;$H24)</f>
        <v>0</v>
      </c>
      <c r="AA24">
        <f>COUNTIFS([1]summary_table_v26_23SIs!$D$2:$D$1628,"="&amp;AA$16,[1]summary_table_v26_23SIs!$B$2:$B$1628,"="&amp;$H24)</f>
        <v>0</v>
      </c>
      <c r="AB24">
        <f>COUNTIFS([1]summary_table_v26_23SIs!$D$2:$D$1628,"="&amp;AB$16,[1]summary_table_v26_23SIs!$B$2:$B$1628,"="&amp;$H24)</f>
        <v>0</v>
      </c>
      <c r="AC24">
        <f>COUNTIFS([1]summary_table_v26_23SIs!$D$2:$D$1628,"="&amp;AC$16,[1]summary_table_v26_23SIs!$B$2:$B$1628,"="&amp;$H24)</f>
        <v>2</v>
      </c>
      <c r="AD24">
        <f>COUNTIFS([1]summary_table_v26_23SIs!$D$2:$D$1628,"="&amp;AD$16,[1]summary_table_v26_23SIs!$B$2:$B$1628,"="&amp;$H24)</f>
        <v>2</v>
      </c>
      <c r="AE24">
        <f>COUNTIFS([1]summary_table_v26_23SIs!$D$2:$D$1628,"="&amp;AE$16,[1]summary_table_v26_23SIs!$B$2:$B$1628,"="&amp;$H24)</f>
        <v>3</v>
      </c>
      <c r="AF24">
        <f>COUNTIFS([1]summary_table_v26_23SIs!$D$2:$D$1628,"="&amp;AF$16,[1]summary_table_v26_23SIs!$B$2:$B$1628,"="&amp;$H24)</f>
        <v>0</v>
      </c>
      <c r="AG24">
        <f>COUNTIFS([1]summary_table_v26_23SIs!$D$2:$D$1628,"="&amp;AG$16,[1]summary_table_v26_23SIs!$B$2:$B$1628,"="&amp;$H24)</f>
        <v>3</v>
      </c>
      <c r="AH24">
        <f>COUNTIFS([1]summary_table_v26_23SIs!$D$2:$D$1628,"="&amp;AH$16,[1]summary_table_v26_23SIs!$B$2:$B$1628,"="&amp;$H24)</f>
        <v>0</v>
      </c>
      <c r="AI24">
        <f>COUNTIFS([1]summary_table_v26_23SIs!$D$2:$D$1628,"="&amp;AI$16,[1]summary_table_v26_23SIs!$B$2:$B$1628,"="&amp;$H24)</f>
        <v>0</v>
      </c>
      <c r="AJ24" s="1" t="s">
        <v>87</v>
      </c>
      <c r="AN24" s="1"/>
    </row>
    <row r="25" spans="2:41" x14ac:dyDescent="0.2">
      <c r="B25" s="3">
        <f>'[1]Priority Indicators (n=23)'!A10</f>
        <v>2.7</v>
      </c>
      <c r="C25">
        <f>COUNTIF([1]summary_table_v26_23SIs!$D$2:$D$1628,"="&amp;$B25)</f>
        <v>3</v>
      </c>
      <c r="D25">
        <f>COUNTIF(R$17:R$43,"&gt;"&amp;0)</f>
        <v>1</v>
      </c>
      <c r="H25" s="2" t="s">
        <v>131</v>
      </c>
      <c r="I25" t="s">
        <v>130</v>
      </c>
      <c r="J25">
        <f>COUNTIFS([1]summary_table_v26_23SIs!$D$2:$D$1628,"="&amp;J$16,[1]summary_table_v26_23SIs!$B$2:$B$1628,"="&amp;$H25)</f>
        <v>9</v>
      </c>
      <c r="K25">
        <f>COUNTIFS([1]summary_table_v26_23SIs!$D$2:$D$1628,"="&amp;K$16,[1]summary_table_v26_23SIs!$B$2:$B$1628,"="&amp;$H25)</f>
        <v>0</v>
      </c>
      <c r="L25">
        <f>COUNTIFS([1]summary_table_v26_23SIs!$D$2:$D$1628,"="&amp;L$16,[1]summary_table_v26_23SIs!$B$2:$B$1628,"="&amp;$H25)</f>
        <v>0</v>
      </c>
      <c r="M25">
        <f>COUNTIFS([1]summary_table_v26_23SIs!$D$2:$D$1628,"="&amp;M$16,[1]summary_table_v26_23SIs!$B$2:$B$1628,"="&amp;$H25)</f>
        <v>0</v>
      </c>
      <c r="N25">
        <f>COUNTIFS([1]summary_table_v26_23SIs!$D$2:$D$1628,"="&amp;N$16,[1]summary_table_v26_23SIs!$B$2:$B$1628,"="&amp;$H25)</f>
        <v>0</v>
      </c>
      <c r="O25">
        <f>COUNTIFS([1]summary_table_v26_23SIs!$D$2:$D$1628,"="&amp;O$16,[1]summary_table_v26_23SIs!$B$2:$B$1628,"="&amp;$H25)</f>
        <v>0</v>
      </c>
      <c r="P25">
        <f>COUNTIFS([1]summary_table_v26_23SIs!$D$2:$D$1628,"="&amp;P$16,[1]summary_table_v26_23SIs!$B$2:$B$1628,"="&amp;$H25)</f>
        <v>0</v>
      </c>
      <c r="Q25">
        <f>COUNTIFS([1]summary_table_v26_23SIs!$D$2:$D$1628,"="&amp;Q$16,[1]summary_table_v26_23SIs!$B$2:$B$1628,"="&amp;$H25)</f>
        <v>0</v>
      </c>
      <c r="R25">
        <f>COUNTIFS([1]summary_table_v26_23SIs!$D$2:$D$1628,"="&amp;R$16,[1]summary_table_v26_23SIs!$B$2:$B$1628,"="&amp;$H25)</f>
        <v>0</v>
      </c>
      <c r="S25">
        <f>COUNTIFS([1]summary_table_v26_23SIs!$D$2:$D$1628,"="&amp;S$16,[1]summary_table_v26_23SIs!$B$2:$B$1628,"="&amp;$H25)</f>
        <v>0</v>
      </c>
      <c r="T25">
        <f>COUNTIFS([1]summary_table_v26_23SIs!$D$2:$D$1628,"="&amp;T$16,[1]summary_table_v26_23SIs!$B$2:$B$1628,"="&amp;$H25)</f>
        <v>0</v>
      </c>
      <c r="U25">
        <f>COUNTIFS([1]summary_table_v26_23SIs!$D$2:$D$1628,"="&amp;U$16,[1]summary_table_v26_23SIs!$B$2:$B$1628,"="&amp;$H25)</f>
        <v>0</v>
      </c>
      <c r="V25">
        <f>COUNTIFS([1]summary_table_v26_23SIs!$D$2:$D$1628,"="&amp;V$16,[1]summary_table_v26_23SIs!$B$2:$B$1628,"="&amp;$H25)</f>
        <v>0</v>
      </c>
      <c r="W25">
        <f>COUNTIFS([1]summary_table_v26_23SIs!$D$2:$D$1628,"="&amp;W$16,[1]summary_table_v26_23SIs!$B$2:$B$1628,"="&amp;$H25)</f>
        <v>5</v>
      </c>
      <c r="X25">
        <f>COUNTIFS([1]summary_table_v26_23SIs!$D$2:$D$1628,"="&amp;X$16,[1]summary_table_v26_23SIs!$B$2:$B$1628,"="&amp;$H25)</f>
        <v>1</v>
      </c>
      <c r="Y25">
        <f>COUNTIFS([1]summary_table_v26_23SIs!$D$2:$D$1628,"="&amp;Y$16,[1]summary_table_v26_23SIs!$B$2:$B$1628,"="&amp;$H25)</f>
        <v>0</v>
      </c>
      <c r="Z25">
        <f>COUNTIFS([1]summary_table_v26_23SIs!$D$2:$D$1628,"="&amp;Z$16,[1]summary_table_v26_23SIs!$B$2:$B$1628,"="&amp;$H25)</f>
        <v>54</v>
      </c>
      <c r="AA25">
        <f>COUNTIFS([1]summary_table_v26_23SIs!$D$2:$D$1628,"="&amp;AA$16,[1]summary_table_v26_23SIs!$B$2:$B$1628,"="&amp;$H25)</f>
        <v>0</v>
      </c>
      <c r="AB25">
        <f>COUNTIFS([1]summary_table_v26_23SIs!$D$2:$D$1628,"="&amp;AB$16,[1]summary_table_v26_23SIs!$B$2:$B$1628,"="&amp;$H25)</f>
        <v>0</v>
      </c>
      <c r="AC25">
        <f>COUNTIFS([1]summary_table_v26_23SIs!$D$2:$D$1628,"="&amp;AC$16,[1]summary_table_v26_23SIs!$B$2:$B$1628,"="&amp;$H25)</f>
        <v>4</v>
      </c>
      <c r="AD25">
        <f>COUNTIFS([1]summary_table_v26_23SIs!$D$2:$D$1628,"="&amp;AD$16,[1]summary_table_v26_23SIs!$B$2:$B$1628,"="&amp;$H25)</f>
        <v>0</v>
      </c>
      <c r="AE25">
        <f>COUNTIFS([1]summary_table_v26_23SIs!$D$2:$D$1628,"="&amp;AE$16,[1]summary_table_v26_23SIs!$B$2:$B$1628,"="&amp;$H25)</f>
        <v>0</v>
      </c>
      <c r="AF25">
        <f>COUNTIFS([1]summary_table_v26_23SIs!$D$2:$D$1628,"="&amp;AF$16,[1]summary_table_v26_23SIs!$B$2:$B$1628,"="&amp;$H25)</f>
        <v>0</v>
      </c>
      <c r="AG25">
        <f>COUNTIFS([1]summary_table_v26_23SIs!$D$2:$D$1628,"="&amp;AG$16,[1]summary_table_v26_23SIs!$B$2:$B$1628,"="&amp;$H25)</f>
        <v>1</v>
      </c>
      <c r="AH25">
        <f>COUNTIFS([1]summary_table_v26_23SIs!$D$2:$D$1628,"="&amp;AH$16,[1]summary_table_v26_23SIs!$B$2:$B$1628,"="&amp;$H25)</f>
        <v>0</v>
      </c>
      <c r="AI25">
        <f>COUNTIFS([1]summary_table_v26_23SIs!$D$2:$D$1628,"="&amp;AI$16,[1]summary_table_v26_23SIs!$B$2:$B$1628,"="&amp;$H25)</f>
        <v>0</v>
      </c>
      <c r="AJ25" s="1" t="s">
        <v>87</v>
      </c>
      <c r="AL25" s="1" t="s">
        <v>110</v>
      </c>
      <c r="AN25" s="1" t="s">
        <v>99</v>
      </c>
    </row>
    <row r="26" spans="2:41" x14ac:dyDescent="0.2">
      <c r="B26" s="3">
        <f>'[1]Priority Indicators (n=23)'!A11</f>
        <v>2.8</v>
      </c>
      <c r="C26">
        <f>COUNTIF([1]summary_table_v26_23SIs!$D$2:$D$1628,"="&amp;$B26)</f>
        <v>0</v>
      </c>
      <c r="D26">
        <f>COUNTIF(S$17:S$43,"&gt;"&amp;0)</f>
        <v>0</v>
      </c>
      <c r="H26" s="2" t="s">
        <v>129</v>
      </c>
      <c r="I26" t="s">
        <v>128</v>
      </c>
      <c r="J26">
        <f>COUNTIFS([1]summary_table_v26_23SIs!$D$2:$D$1628,"="&amp;J$16,[1]summary_table_v26_23SIs!$B$2:$B$1628,"="&amp;$H26)</f>
        <v>14</v>
      </c>
      <c r="K26">
        <f>COUNTIFS([1]summary_table_v26_23SIs!$D$2:$D$1628,"="&amp;K$16,[1]summary_table_v26_23SIs!$B$2:$B$1628,"="&amp;$H26)</f>
        <v>0</v>
      </c>
      <c r="L26">
        <f>COUNTIFS([1]summary_table_v26_23SIs!$D$2:$D$1628,"="&amp;L$16,[1]summary_table_v26_23SIs!$B$2:$B$1628,"="&amp;$H26)</f>
        <v>0</v>
      </c>
      <c r="M26">
        <f>COUNTIFS([1]summary_table_v26_23SIs!$D$2:$D$1628,"="&amp;M$16,[1]summary_table_v26_23SIs!$B$2:$B$1628,"="&amp;$H26)</f>
        <v>4</v>
      </c>
      <c r="N26">
        <f>COUNTIFS([1]summary_table_v26_23SIs!$D$2:$D$1628,"="&amp;N$16,[1]summary_table_v26_23SIs!$B$2:$B$1628,"="&amp;$H26)</f>
        <v>2</v>
      </c>
      <c r="O26">
        <f>COUNTIFS([1]summary_table_v26_23SIs!$D$2:$D$1628,"="&amp;O$16,[1]summary_table_v26_23SIs!$B$2:$B$1628,"="&amp;$H26)</f>
        <v>15</v>
      </c>
      <c r="P26">
        <f>COUNTIFS([1]summary_table_v26_23SIs!$D$2:$D$1628,"="&amp;P$16,[1]summary_table_v26_23SIs!$B$2:$B$1628,"="&amp;$H26)</f>
        <v>10</v>
      </c>
      <c r="Q26">
        <f>COUNTIFS([1]summary_table_v26_23SIs!$D$2:$D$1628,"="&amp;Q$16,[1]summary_table_v26_23SIs!$B$2:$B$1628,"="&amp;$H26)</f>
        <v>0</v>
      </c>
      <c r="R26">
        <f>COUNTIFS([1]summary_table_v26_23SIs!$D$2:$D$1628,"="&amp;R$16,[1]summary_table_v26_23SIs!$B$2:$B$1628,"="&amp;$H26)</f>
        <v>0</v>
      </c>
      <c r="S26">
        <f>COUNTIFS([1]summary_table_v26_23SIs!$D$2:$D$1628,"="&amp;S$16,[1]summary_table_v26_23SIs!$B$2:$B$1628,"="&amp;$H26)</f>
        <v>0</v>
      </c>
      <c r="T26">
        <f>COUNTIFS([1]summary_table_v26_23SIs!$D$2:$D$1628,"="&amp;T$16,[1]summary_table_v26_23SIs!$B$2:$B$1628,"="&amp;$H26)</f>
        <v>0</v>
      </c>
      <c r="U26">
        <f>COUNTIFS([1]summary_table_v26_23SIs!$D$2:$D$1628,"="&amp;U$16,[1]summary_table_v26_23SIs!$B$2:$B$1628,"="&amp;$H26)</f>
        <v>0</v>
      </c>
      <c r="V26">
        <f>COUNTIFS([1]summary_table_v26_23SIs!$D$2:$D$1628,"="&amp;V$16,[1]summary_table_v26_23SIs!$B$2:$B$1628,"="&amp;$H26)</f>
        <v>0</v>
      </c>
      <c r="W26">
        <f>COUNTIFS([1]summary_table_v26_23SIs!$D$2:$D$1628,"="&amp;W$16,[1]summary_table_v26_23SIs!$B$2:$B$1628,"="&amp;$H26)</f>
        <v>20</v>
      </c>
      <c r="X26">
        <f>COUNTIFS([1]summary_table_v26_23SIs!$D$2:$D$1628,"="&amp;X$16,[1]summary_table_v26_23SIs!$B$2:$B$1628,"="&amp;$H26)</f>
        <v>1</v>
      </c>
      <c r="Y26">
        <f>COUNTIFS([1]summary_table_v26_23SIs!$D$2:$D$1628,"="&amp;Y$16,[1]summary_table_v26_23SIs!$B$2:$B$1628,"="&amp;$H26)</f>
        <v>0</v>
      </c>
      <c r="Z26">
        <f>COUNTIFS([1]summary_table_v26_23SIs!$D$2:$D$1628,"="&amp;Z$16,[1]summary_table_v26_23SIs!$B$2:$B$1628,"="&amp;$H26)</f>
        <v>108</v>
      </c>
      <c r="AA26">
        <f>COUNTIFS([1]summary_table_v26_23SIs!$D$2:$D$1628,"="&amp;AA$16,[1]summary_table_v26_23SIs!$B$2:$B$1628,"="&amp;$H26)</f>
        <v>0</v>
      </c>
      <c r="AB26">
        <f>COUNTIFS([1]summary_table_v26_23SIs!$D$2:$D$1628,"="&amp;AB$16,[1]summary_table_v26_23SIs!$B$2:$B$1628,"="&amp;$H26)</f>
        <v>0</v>
      </c>
      <c r="AC26">
        <f>COUNTIFS([1]summary_table_v26_23SIs!$D$2:$D$1628,"="&amp;AC$16,[1]summary_table_v26_23SIs!$B$2:$B$1628,"="&amp;$H26)</f>
        <v>10</v>
      </c>
      <c r="AD26">
        <f>COUNTIFS([1]summary_table_v26_23SIs!$D$2:$D$1628,"="&amp;AD$16,[1]summary_table_v26_23SIs!$B$2:$B$1628,"="&amp;$H26)</f>
        <v>0</v>
      </c>
      <c r="AE26">
        <f>COUNTIFS([1]summary_table_v26_23SIs!$D$2:$D$1628,"="&amp;AE$16,[1]summary_table_v26_23SIs!$B$2:$B$1628,"="&amp;$H26)</f>
        <v>7</v>
      </c>
      <c r="AF26">
        <f>COUNTIFS([1]summary_table_v26_23SIs!$D$2:$D$1628,"="&amp;AF$16,[1]summary_table_v26_23SIs!$B$2:$B$1628,"="&amp;$H26)</f>
        <v>0</v>
      </c>
      <c r="AG26">
        <f>COUNTIFS([1]summary_table_v26_23SIs!$D$2:$D$1628,"="&amp;AG$16,[1]summary_table_v26_23SIs!$B$2:$B$1628,"="&amp;$H26)</f>
        <v>5</v>
      </c>
      <c r="AH26">
        <f>COUNTIFS([1]summary_table_v26_23SIs!$D$2:$D$1628,"="&amp;AH$16,[1]summary_table_v26_23SIs!$B$2:$B$1628,"="&amp;$H26)</f>
        <v>0</v>
      </c>
      <c r="AI26">
        <f>COUNTIFS([1]summary_table_v26_23SIs!$D$2:$D$1628,"="&amp;AI$16,[1]summary_table_v26_23SIs!$B$2:$B$1628,"="&amp;$H26)</f>
        <v>0</v>
      </c>
      <c r="AK26" s="1" t="s">
        <v>90</v>
      </c>
      <c r="AL26" s="1" t="s">
        <v>110</v>
      </c>
      <c r="AN26" s="1"/>
    </row>
    <row r="27" spans="2:41" x14ac:dyDescent="0.2">
      <c r="B27" s="3">
        <f>'[1]Priority Indicators (n=23)'!A12</f>
        <v>2.9</v>
      </c>
      <c r="C27">
        <f>COUNTIF([1]summary_table_v26_23SIs!$D$2:$D$1628,"="&amp;$B27)</f>
        <v>31</v>
      </c>
      <c r="D27">
        <f>COUNTIF(T$17:T$43,"&gt;"&amp;0)</f>
        <v>9</v>
      </c>
      <c r="H27" s="2" t="s">
        <v>127</v>
      </c>
      <c r="I27" t="s">
        <v>126</v>
      </c>
      <c r="J27">
        <f>COUNTIFS([1]summary_table_v26_23SIs!$D$2:$D$1628,"="&amp;J$16,[1]summary_table_v26_23SIs!$B$2:$B$1628,"="&amp;$H27)</f>
        <v>23</v>
      </c>
      <c r="K27">
        <f>COUNTIFS([1]summary_table_v26_23SIs!$D$2:$D$1628,"="&amp;K$16,[1]summary_table_v26_23SIs!$B$2:$B$1628,"="&amp;$H27)</f>
        <v>0</v>
      </c>
      <c r="L27">
        <f>COUNTIFS([1]summary_table_v26_23SIs!$D$2:$D$1628,"="&amp;L$16,[1]summary_table_v26_23SIs!$B$2:$B$1628,"="&amp;$H27)</f>
        <v>0</v>
      </c>
      <c r="M27">
        <f>COUNTIFS([1]summary_table_v26_23SIs!$D$2:$D$1628,"="&amp;M$16,[1]summary_table_v26_23SIs!$B$2:$B$1628,"="&amp;$H27)</f>
        <v>6</v>
      </c>
      <c r="N27">
        <f>COUNTIFS([1]summary_table_v26_23SIs!$D$2:$D$1628,"="&amp;N$16,[1]summary_table_v26_23SIs!$B$2:$B$1628,"="&amp;$H27)</f>
        <v>0</v>
      </c>
      <c r="O27">
        <f>COUNTIFS([1]summary_table_v26_23SIs!$D$2:$D$1628,"="&amp;O$16,[1]summary_table_v26_23SIs!$B$2:$B$1628,"="&amp;$H27)</f>
        <v>6</v>
      </c>
      <c r="P27">
        <f>COUNTIFS([1]summary_table_v26_23SIs!$D$2:$D$1628,"="&amp;P$16,[1]summary_table_v26_23SIs!$B$2:$B$1628,"="&amp;$H27)</f>
        <v>12</v>
      </c>
      <c r="Q27">
        <f>COUNTIFS([1]summary_table_v26_23SIs!$D$2:$D$1628,"="&amp;Q$16,[1]summary_table_v26_23SIs!$B$2:$B$1628,"="&amp;$H27)</f>
        <v>0</v>
      </c>
      <c r="R27">
        <f>COUNTIFS([1]summary_table_v26_23SIs!$D$2:$D$1628,"="&amp;R$16,[1]summary_table_v26_23SIs!$B$2:$B$1628,"="&amp;$H27)</f>
        <v>0</v>
      </c>
      <c r="S27">
        <f>COUNTIFS([1]summary_table_v26_23SIs!$D$2:$D$1628,"="&amp;S$16,[1]summary_table_v26_23SIs!$B$2:$B$1628,"="&amp;$H27)</f>
        <v>0</v>
      </c>
      <c r="T27">
        <f>COUNTIFS([1]summary_table_v26_23SIs!$D$2:$D$1628,"="&amp;T$16,[1]summary_table_v26_23SIs!$B$2:$B$1628,"="&amp;$H27)</f>
        <v>6</v>
      </c>
      <c r="U27">
        <f>COUNTIFS([1]summary_table_v26_23SIs!$D$2:$D$1628,"="&amp;U$16,[1]summary_table_v26_23SIs!$B$2:$B$1628,"="&amp;$H27)</f>
        <v>0</v>
      </c>
      <c r="V27">
        <f>COUNTIFS([1]summary_table_v26_23SIs!$D$2:$D$1628,"="&amp;V$16,[1]summary_table_v26_23SIs!$B$2:$B$1628,"="&amp;$H27)</f>
        <v>0</v>
      </c>
      <c r="W27">
        <f>COUNTIFS([1]summary_table_v26_23SIs!$D$2:$D$1628,"="&amp;W$16,[1]summary_table_v26_23SIs!$B$2:$B$1628,"="&amp;$H27)</f>
        <v>0</v>
      </c>
      <c r="X27">
        <f>COUNTIFS([1]summary_table_v26_23SIs!$D$2:$D$1628,"="&amp;X$16,[1]summary_table_v26_23SIs!$B$2:$B$1628,"="&amp;$H27)</f>
        <v>1</v>
      </c>
      <c r="Y27">
        <f>COUNTIFS([1]summary_table_v26_23SIs!$D$2:$D$1628,"="&amp;Y$16,[1]summary_table_v26_23SIs!$B$2:$B$1628,"="&amp;$H27)</f>
        <v>0</v>
      </c>
      <c r="Z27">
        <f>COUNTIFS([1]summary_table_v26_23SIs!$D$2:$D$1628,"="&amp;Z$16,[1]summary_table_v26_23SIs!$B$2:$B$1628,"="&amp;$H27)</f>
        <v>0</v>
      </c>
      <c r="AA27">
        <f>COUNTIFS([1]summary_table_v26_23SIs!$D$2:$D$1628,"="&amp;AA$16,[1]summary_table_v26_23SIs!$B$2:$B$1628,"="&amp;$H27)</f>
        <v>0</v>
      </c>
      <c r="AB27">
        <f>COUNTIFS([1]summary_table_v26_23SIs!$D$2:$D$1628,"="&amp;AB$16,[1]summary_table_v26_23SIs!$B$2:$B$1628,"="&amp;$H27)</f>
        <v>0</v>
      </c>
      <c r="AC27">
        <f>COUNTIFS([1]summary_table_v26_23SIs!$D$2:$D$1628,"="&amp;AC$16,[1]summary_table_v26_23SIs!$B$2:$B$1628,"="&amp;$H27)</f>
        <v>12</v>
      </c>
      <c r="AD27">
        <f>COUNTIFS([1]summary_table_v26_23SIs!$D$2:$D$1628,"="&amp;AD$16,[1]summary_table_v26_23SIs!$B$2:$B$1628,"="&amp;$H27)</f>
        <v>0</v>
      </c>
      <c r="AE27">
        <f>COUNTIFS([1]summary_table_v26_23SIs!$D$2:$D$1628,"="&amp;AE$16,[1]summary_table_v26_23SIs!$B$2:$B$1628,"="&amp;$H27)</f>
        <v>0</v>
      </c>
      <c r="AF27">
        <f>COUNTIFS([1]summary_table_v26_23SIs!$D$2:$D$1628,"="&amp;AF$16,[1]summary_table_v26_23SIs!$B$2:$B$1628,"="&amp;$H27)</f>
        <v>0</v>
      </c>
      <c r="AG27">
        <f>COUNTIFS([1]summary_table_v26_23SIs!$D$2:$D$1628,"="&amp;AG$16,[1]summary_table_v26_23SIs!$B$2:$B$1628,"="&amp;$H27)</f>
        <v>6</v>
      </c>
      <c r="AH27">
        <f>COUNTIFS([1]summary_table_v26_23SIs!$D$2:$D$1628,"="&amp;AH$16,[1]summary_table_v26_23SIs!$B$2:$B$1628,"="&amp;$H27)</f>
        <v>0</v>
      </c>
      <c r="AI27">
        <f>COUNTIFS([1]summary_table_v26_23SIs!$D$2:$D$1628,"="&amp;AI$16,[1]summary_table_v26_23SIs!$B$2:$B$1628,"="&amp;$H27)</f>
        <v>0</v>
      </c>
      <c r="AK27" s="1" t="s">
        <v>90</v>
      </c>
      <c r="AN27" s="1"/>
    </row>
    <row r="28" spans="2:41" x14ac:dyDescent="0.2">
      <c r="B28" s="3">
        <f>'[1]Priority Indicators (n=23)'!A13</f>
        <v>2.95</v>
      </c>
      <c r="C28">
        <f>COUNTIF([1]summary_table_v26_23SIs!$D$2:$D$1628,"="&amp;$B28)</f>
        <v>3</v>
      </c>
      <c r="D28">
        <f>COUNTIF(U$17:U$43,"&gt;"&amp;0)</f>
        <v>1</v>
      </c>
      <c r="H28" s="2" t="s">
        <v>125</v>
      </c>
      <c r="I28" t="s">
        <v>124</v>
      </c>
      <c r="J28">
        <f>COUNTIFS([1]summary_table_v26_23SIs!$D$2:$D$1628,"="&amp;J$16,[1]summary_table_v26_23SIs!$B$2:$B$1628,"="&amp;$H28)</f>
        <v>35</v>
      </c>
      <c r="K28">
        <f>COUNTIFS([1]summary_table_v26_23SIs!$D$2:$D$1628,"="&amp;K$16,[1]summary_table_v26_23SIs!$B$2:$B$1628,"="&amp;$H28)</f>
        <v>0</v>
      </c>
      <c r="L28">
        <f>COUNTIFS([1]summary_table_v26_23SIs!$D$2:$D$1628,"="&amp;L$16,[1]summary_table_v26_23SIs!$B$2:$B$1628,"="&amp;$H28)</f>
        <v>0</v>
      </c>
      <c r="M28">
        <f>COUNTIFS([1]summary_table_v26_23SIs!$D$2:$D$1628,"="&amp;M$16,[1]summary_table_v26_23SIs!$B$2:$B$1628,"="&amp;$H28)</f>
        <v>0</v>
      </c>
      <c r="N28">
        <f>COUNTIFS([1]summary_table_v26_23SIs!$D$2:$D$1628,"="&amp;N$16,[1]summary_table_v26_23SIs!$B$2:$B$1628,"="&amp;$H28)</f>
        <v>0</v>
      </c>
      <c r="O28">
        <f>COUNTIFS([1]summary_table_v26_23SIs!$D$2:$D$1628,"="&amp;O$16,[1]summary_table_v26_23SIs!$B$2:$B$1628,"="&amp;$H28)</f>
        <v>5</v>
      </c>
      <c r="P28">
        <f>COUNTIFS([1]summary_table_v26_23SIs!$D$2:$D$1628,"="&amp;P$16,[1]summary_table_v26_23SIs!$B$2:$B$1628,"="&amp;$H28)</f>
        <v>30</v>
      </c>
      <c r="Q28">
        <f>COUNTIFS([1]summary_table_v26_23SIs!$D$2:$D$1628,"="&amp;Q$16,[1]summary_table_v26_23SIs!$B$2:$B$1628,"="&amp;$H28)</f>
        <v>0</v>
      </c>
      <c r="R28">
        <f>COUNTIFS([1]summary_table_v26_23SIs!$D$2:$D$1628,"="&amp;R$16,[1]summary_table_v26_23SIs!$B$2:$B$1628,"="&amp;$H28)</f>
        <v>0</v>
      </c>
      <c r="S28">
        <f>COUNTIFS([1]summary_table_v26_23SIs!$D$2:$D$1628,"="&amp;S$16,[1]summary_table_v26_23SIs!$B$2:$B$1628,"="&amp;$H28)</f>
        <v>0</v>
      </c>
      <c r="T28">
        <f>COUNTIFS([1]summary_table_v26_23SIs!$D$2:$D$1628,"="&amp;T$16,[1]summary_table_v26_23SIs!$B$2:$B$1628,"="&amp;$H28)</f>
        <v>0</v>
      </c>
      <c r="U28">
        <f>COUNTIFS([1]summary_table_v26_23SIs!$D$2:$D$1628,"="&amp;U$16,[1]summary_table_v26_23SIs!$B$2:$B$1628,"="&amp;$H28)</f>
        <v>0</v>
      </c>
      <c r="V28">
        <f>COUNTIFS([1]summary_table_v26_23SIs!$D$2:$D$1628,"="&amp;V$16,[1]summary_table_v26_23SIs!$B$2:$B$1628,"="&amp;$H28)</f>
        <v>0</v>
      </c>
      <c r="W28">
        <f>COUNTIFS([1]summary_table_v26_23SIs!$D$2:$D$1628,"="&amp;W$16,[1]summary_table_v26_23SIs!$B$2:$B$1628,"="&amp;$H28)</f>
        <v>0</v>
      </c>
      <c r="X28">
        <f>COUNTIFS([1]summary_table_v26_23SIs!$D$2:$D$1628,"="&amp;X$16,[1]summary_table_v26_23SIs!$B$2:$B$1628,"="&amp;$H28)</f>
        <v>1</v>
      </c>
      <c r="Y28">
        <f>COUNTIFS([1]summary_table_v26_23SIs!$D$2:$D$1628,"="&amp;Y$16,[1]summary_table_v26_23SIs!$B$2:$B$1628,"="&amp;$H28)</f>
        <v>0</v>
      </c>
      <c r="Z28">
        <f>COUNTIFS([1]summary_table_v26_23SIs!$D$2:$D$1628,"="&amp;Z$16,[1]summary_table_v26_23SIs!$B$2:$B$1628,"="&amp;$H28)</f>
        <v>108</v>
      </c>
      <c r="AA28">
        <f>COUNTIFS([1]summary_table_v26_23SIs!$D$2:$D$1628,"="&amp;AA$16,[1]summary_table_v26_23SIs!$B$2:$B$1628,"="&amp;$H28)</f>
        <v>0</v>
      </c>
      <c r="AB28">
        <f>COUNTIFS([1]summary_table_v26_23SIs!$D$2:$D$1628,"="&amp;AB$16,[1]summary_table_v26_23SIs!$B$2:$B$1628,"="&amp;$H28)</f>
        <v>0</v>
      </c>
      <c r="AC28">
        <f>COUNTIFS([1]summary_table_v26_23SIs!$D$2:$D$1628,"="&amp;AC$16,[1]summary_table_v26_23SIs!$B$2:$B$1628,"="&amp;$H28)</f>
        <v>10</v>
      </c>
      <c r="AD28">
        <f>COUNTIFS([1]summary_table_v26_23SIs!$D$2:$D$1628,"="&amp;AD$16,[1]summary_table_v26_23SIs!$B$2:$B$1628,"="&amp;$H28)</f>
        <v>0</v>
      </c>
      <c r="AE28">
        <f>COUNTIFS([1]summary_table_v26_23SIs!$D$2:$D$1628,"="&amp;AE$16,[1]summary_table_v26_23SIs!$B$2:$B$1628,"="&amp;$H28)</f>
        <v>0</v>
      </c>
      <c r="AF28">
        <f>COUNTIFS([1]summary_table_v26_23SIs!$D$2:$D$1628,"="&amp;AF$16,[1]summary_table_v26_23SIs!$B$2:$B$1628,"="&amp;$H28)</f>
        <v>0</v>
      </c>
      <c r="AG28">
        <f>COUNTIFS([1]summary_table_v26_23SIs!$D$2:$D$1628,"="&amp;AG$16,[1]summary_table_v26_23SIs!$B$2:$B$1628,"="&amp;$H28)</f>
        <v>5</v>
      </c>
      <c r="AH28">
        <f>COUNTIFS([1]summary_table_v26_23SIs!$D$2:$D$1628,"="&amp;AH$16,[1]summary_table_v26_23SIs!$B$2:$B$1628,"="&amp;$H28)</f>
        <v>0</v>
      </c>
      <c r="AI28">
        <f>COUNTIFS([1]summary_table_v26_23SIs!$D$2:$D$1628,"="&amp;AI$16,[1]summary_table_v26_23SIs!$B$2:$B$1628,"="&amp;$H28)</f>
        <v>0</v>
      </c>
      <c r="AJ28" s="1" t="s">
        <v>87</v>
      </c>
      <c r="AN28" s="1" t="s">
        <v>99</v>
      </c>
    </row>
    <row r="29" spans="2:41" x14ac:dyDescent="0.2">
      <c r="B29" s="3">
        <f>'[1]Priority Indicators (n=23)'!A14</f>
        <v>3.1</v>
      </c>
      <c r="C29">
        <f>COUNTIF([1]summary_table_v26_23SIs!$D$2:$D$1628,"="&amp;$B29)</f>
        <v>0</v>
      </c>
      <c r="D29">
        <f>COUNTIF(V$17:V$43,"&gt;"&amp;0)</f>
        <v>0</v>
      </c>
      <c r="H29" s="2" t="s">
        <v>123</v>
      </c>
      <c r="I29" t="s">
        <v>122</v>
      </c>
      <c r="J29">
        <f>COUNTIFS([1]summary_table_v26_23SIs!$D$2:$D$1628,"="&amp;J$16,[1]summary_table_v26_23SIs!$B$2:$B$1628,"="&amp;$H29)</f>
        <v>5</v>
      </c>
      <c r="K29">
        <f>COUNTIFS([1]summary_table_v26_23SIs!$D$2:$D$1628,"="&amp;K$16,[1]summary_table_v26_23SIs!$B$2:$B$1628,"="&amp;$H29)</f>
        <v>0</v>
      </c>
      <c r="L29">
        <f>COUNTIFS([1]summary_table_v26_23SIs!$D$2:$D$1628,"="&amp;L$16,[1]summary_table_v26_23SIs!$B$2:$B$1628,"="&amp;$H29)</f>
        <v>0</v>
      </c>
      <c r="M29">
        <f>COUNTIFS([1]summary_table_v26_23SIs!$D$2:$D$1628,"="&amp;M$16,[1]summary_table_v26_23SIs!$B$2:$B$1628,"="&amp;$H29)</f>
        <v>0</v>
      </c>
      <c r="N29">
        <f>COUNTIFS([1]summary_table_v26_23SIs!$D$2:$D$1628,"="&amp;N$16,[1]summary_table_v26_23SIs!$B$2:$B$1628,"="&amp;$H29)</f>
        <v>0</v>
      </c>
      <c r="O29">
        <f>COUNTIFS([1]summary_table_v26_23SIs!$D$2:$D$1628,"="&amp;O$16,[1]summary_table_v26_23SIs!$B$2:$B$1628,"="&amp;$H29)</f>
        <v>0</v>
      </c>
      <c r="P29">
        <f>COUNTIFS([1]summary_table_v26_23SIs!$D$2:$D$1628,"="&amp;P$16,[1]summary_table_v26_23SIs!$B$2:$B$1628,"="&amp;$H29)</f>
        <v>2</v>
      </c>
      <c r="Q29">
        <f>COUNTIFS([1]summary_table_v26_23SIs!$D$2:$D$1628,"="&amp;Q$16,[1]summary_table_v26_23SIs!$B$2:$B$1628,"="&amp;$H29)</f>
        <v>0</v>
      </c>
      <c r="R29">
        <f>COUNTIFS([1]summary_table_v26_23SIs!$D$2:$D$1628,"="&amp;R$16,[1]summary_table_v26_23SIs!$B$2:$B$1628,"="&amp;$H29)</f>
        <v>0</v>
      </c>
      <c r="S29">
        <f>COUNTIFS([1]summary_table_v26_23SIs!$D$2:$D$1628,"="&amp;S$16,[1]summary_table_v26_23SIs!$B$2:$B$1628,"="&amp;$H29)</f>
        <v>0</v>
      </c>
      <c r="T29">
        <f>COUNTIFS([1]summary_table_v26_23SIs!$D$2:$D$1628,"="&amp;T$16,[1]summary_table_v26_23SIs!$B$2:$B$1628,"="&amp;$H29)</f>
        <v>1</v>
      </c>
      <c r="U29">
        <f>COUNTIFS([1]summary_table_v26_23SIs!$D$2:$D$1628,"="&amp;U$16,[1]summary_table_v26_23SIs!$B$2:$B$1628,"="&amp;$H29)</f>
        <v>3</v>
      </c>
      <c r="V29">
        <f>COUNTIFS([1]summary_table_v26_23SIs!$D$2:$D$1628,"="&amp;V$16,[1]summary_table_v26_23SIs!$B$2:$B$1628,"="&amp;$H29)</f>
        <v>0</v>
      </c>
      <c r="W29">
        <f>COUNTIFS([1]summary_table_v26_23SIs!$D$2:$D$1628,"="&amp;W$16,[1]summary_table_v26_23SIs!$B$2:$B$1628,"="&amp;$H29)</f>
        <v>0</v>
      </c>
      <c r="X29">
        <f>COUNTIFS([1]summary_table_v26_23SIs!$D$2:$D$1628,"="&amp;X$16,[1]summary_table_v26_23SIs!$B$2:$B$1628,"="&amp;$H29)</f>
        <v>1</v>
      </c>
      <c r="Y29">
        <f>COUNTIFS([1]summary_table_v26_23SIs!$D$2:$D$1628,"="&amp;Y$16,[1]summary_table_v26_23SIs!$B$2:$B$1628,"="&amp;$H29)</f>
        <v>0</v>
      </c>
      <c r="Z29">
        <f>COUNTIFS([1]summary_table_v26_23SIs!$D$2:$D$1628,"="&amp;Z$16,[1]summary_table_v26_23SIs!$B$2:$B$1628,"="&amp;$H29)</f>
        <v>0</v>
      </c>
      <c r="AA29">
        <f>COUNTIFS([1]summary_table_v26_23SIs!$D$2:$D$1628,"="&amp;AA$16,[1]summary_table_v26_23SIs!$B$2:$B$1628,"="&amp;$H29)</f>
        <v>0</v>
      </c>
      <c r="AB29">
        <f>COUNTIFS([1]summary_table_v26_23SIs!$D$2:$D$1628,"="&amp;AB$16,[1]summary_table_v26_23SIs!$B$2:$B$1628,"="&amp;$H29)</f>
        <v>0</v>
      </c>
      <c r="AC29">
        <f>COUNTIFS([1]summary_table_v26_23SIs!$D$2:$D$1628,"="&amp;AC$16,[1]summary_table_v26_23SIs!$B$2:$B$1628,"="&amp;$H29)</f>
        <v>2</v>
      </c>
      <c r="AD29">
        <f>COUNTIFS([1]summary_table_v26_23SIs!$D$2:$D$1628,"="&amp;AD$16,[1]summary_table_v26_23SIs!$B$2:$B$1628,"="&amp;$H29)</f>
        <v>0</v>
      </c>
      <c r="AE29">
        <f>COUNTIFS([1]summary_table_v26_23SIs!$D$2:$D$1628,"="&amp;AE$16,[1]summary_table_v26_23SIs!$B$2:$B$1628,"="&amp;$H29)</f>
        <v>0</v>
      </c>
      <c r="AF29">
        <f>COUNTIFS([1]summary_table_v26_23SIs!$D$2:$D$1628,"="&amp;AF$16,[1]summary_table_v26_23SIs!$B$2:$B$1628,"="&amp;$H29)</f>
        <v>0</v>
      </c>
      <c r="AG29">
        <f>COUNTIFS([1]summary_table_v26_23SIs!$D$2:$D$1628,"="&amp;AG$16,[1]summary_table_v26_23SIs!$B$2:$B$1628,"="&amp;$H29)</f>
        <v>0</v>
      </c>
      <c r="AH29">
        <f>COUNTIFS([1]summary_table_v26_23SIs!$D$2:$D$1628,"="&amp;AH$16,[1]summary_table_v26_23SIs!$B$2:$B$1628,"="&amp;$H29)</f>
        <v>0</v>
      </c>
      <c r="AI29">
        <f>COUNTIFS([1]summary_table_v26_23SIs!$D$2:$D$1628,"="&amp;AI$16,[1]summary_table_v26_23SIs!$B$2:$B$1628,"="&amp;$H29)</f>
        <v>0</v>
      </c>
      <c r="AJ29" s="1" t="s">
        <v>87</v>
      </c>
      <c r="AN29" s="1"/>
    </row>
    <row r="30" spans="2:41" x14ac:dyDescent="0.2">
      <c r="B30" s="3">
        <f>'[1]Priority Indicators (n=23)'!A15</f>
        <v>3.2</v>
      </c>
      <c r="C30">
        <f>COUNTIF([1]summary_table_v26_23SIs!$D$2:$D$1628,"="&amp;$B30)</f>
        <v>98</v>
      </c>
      <c r="D30">
        <f>COUNTIF(W$17:W$43,"&gt;"&amp;0)</f>
        <v>8</v>
      </c>
      <c r="H30" s="2" t="s">
        <v>121</v>
      </c>
      <c r="I30" t="s">
        <v>120</v>
      </c>
      <c r="J30">
        <f>COUNTIFS([1]summary_table_v26_23SIs!$D$2:$D$1628,"="&amp;J$16,[1]summary_table_v26_23SIs!$B$2:$B$1628,"="&amp;$H30)</f>
        <v>14</v>
      </c>
      <c r="K30">
        <f>COUNTIFS([1]summary_table_v26_23SIs!$D$2:$D$1628,"="&amp;K$16,[1]summary_table_v26_23SIs!$B$2:$B$1628,"="&amp;$H30)</f>
        <v>0</v>
      </c>
      <c r="L30">
        <f>COUNTIFS([1]summary_table_v26_23SIs!$D$2:$D$1628,"="&amp;L$16,[1]summary_table_v26_23SIs!$B$2:$B$1628,"="&amp;$H30)</f>
        <v>0</v>
      </c>
      <c r="M30">
        <f>COUNTIFS([1]summary_table_v26_23SIs!$D$2:$D$1628,"="&amp;M$16,[1]summary_table_v26_23SIs!$B$2:$B$1628,"="&amp;$H30)</f>
        <v>0</v>
      </c>
      <c r="N30">
        <f>COUNTIFS([1]summary_table_v26_23SIs!$D$2:$D$1628,"="&amp;N$16,[1]summary_table_v26_23SIs!$B$2:$B$1628,"="&amp;$H30)</f>
        <v>0</v>
      </c>
      <c r="O30">
        <f>COUNTIFS([1]summary_table_v26_23SIs!$D$2:$D$1628,"="&amp;O$16,[1]summary_table_v26_23SIs!$B$2:$B$1628,"="&amp;$H30)</f>
        <v>0</v>
      </c>
      <c r="P30">
        <f>COUNTIFS([1]summary_table_v26_23SIs!$D$2:$D$1628,"="&amp;P$16,[1]summary_table_v26_23SIs!$B$2:$B$1628,"="&amp;$H30)</f>
        <v>0</v>
      </c>
      <c r="Q30">
        <f>COUNTIFS([1]summary_table_v26_23SIs!$D$2:$D$1628,"="&amp;Q$16,[1]summary_table_v26_23SIs!$B$2:$B$1628,"="&amp;$H30)</f>
        <v>0</v>
      </c>
      <c r="R30">
        <f>COUNTIFS([1]summary_table_v26_23SIs!$D$2:$D$1628,"="&amp;R$16,[1]summary_table_v26_23SIs!$B$2:$B$1628,"="&amp;$H30)</f>
        <v>0</v>
      </c>
      <c r="S30">
        <f>COUNTIFS([1]summary_table_v26_23SIs!$D$2:$D$1628,"="&amp;S$16,[1]summary_table_v26_23SIs!$B$2:$B$1628,"="&amp;$H30)</f>
        <v>0</v>
      </c>
      <c r="T30">
        <f>COUNTIFS([1]summary_table_v26_23SIs!$D$2:$D$1628,"="&amp;T$16,[1]summary_table_v26_23SIs!$B$2:$B$1628,"="&amp;$H30)</f>
        <v>0</v>
      </c>
      <c r="U30">
        <f>COUNTIFS([1]summary_table_v26_23SIs!$D$2:$D$1628,"="&amp;U$16,[1]summary_table_v26_23SIs!$B$2:$B$1628,"="&amp;$H30)</f>
        <v>0</v>
      </c>
      <c r="V30">
        <f>COUNTIFS([1]summary_table_v26_23SIs!$D$2:$D$1628,"="&amp;V$16,[1]summary_table_v26_23SIs!$B$2:$B$1628,"="&amp;$H30)</f>
        <v>0</v>
      </c>
      <c r="W30">
        <f>COUNTIFS([1]summary_table_v26_23SIs!$D$2:$D$1628,"="&amp;W$16,[1]summary_table_v26_23SIs!$B$2:$B$1628,"="&amp;$H30)</f>
        <v>0</v>
      </c>
      <c r="X30">
        <f>COUNTIFS([1]summary_table_v26_23SIs!$D$2:$D$1628,"="&amp;X$16,[1]summary_table_v26_23SIs!$B$2:$B$1628,"="&amp;$H30)</f>
        <v>1</v>
      </c>
      <c r="Y30">
        <f>COUNTIFS([1]summary_table_v26_23SIs!$D$2:$D$1628,"="&amp;Y$16,[1]summary_table_v26_23SIs!$B$2:$B$1628,"="&amp;$H30)</f>
        <v>0</v>
      </c>
      <c r="Z30">
        <f>COUNTIFS([1]summary_table_v26_23SIs!$D$2:$D$1628,"="&amp;Z$16,[1]summary_table_v26_23SIs!$B$2:$B$1628,"="&amp;$H30)</f>
        <v>0</v>
      </c>
      <c r="AA30">
        <f>COUNTIFS([1]summary_table_v26_23SIs!$D$2:$D$1628,"="&amp;AA$16,[1]summary_table_v26_23SIs!$B$2:$B$1628,"="&amp;$H30)</f>
        <v>0</v>
      </c>
      <c r="AB30">
        <f>COUNTIFS([1]summary_table_v26_23SIs!$D$2:$D$1628,"="&amp;AB$16,[1]summary_table_v26_23SIs!$B$2:$B$1628,"="&amp;$H30)</f>
        <v>0</v>
      </c>
      <c r="AC30">
        <f>COUNTIFS([1]summary_table_v26_23SIs!$D$2:$D$1628,"="&amp;AC$16,[1]summary_table_v26_23SIs!$B$2:$B$1628,"="&amp;$H30)</f>
        <v>2</v>
      </c>
      <c r="AD30">
        <f>COUNTIFS([1]summary_table_v26_23SIs!$D$2:$D$1628,"="&amp;AD$16,[1]summary_table_v26_23SIs!$B$2:$B$1628,"="&amp;$H30)</f>
        <v>2</v>
      </c>
      <c r="AE30">
        <f>COUNTIFS([1]summary_table_v26_23SIs!$D$2:$D$1628,"="&amp;AE$16,[1]summary_table_v26_23SIs!$B$2:$B$1628,"="&amp;$H30)</f>
        <v>0</v>
      </c>
      <c r="AF30">
        <f>COUNTIFS([1]summary_table_v26_23SIs!$D$2:$D$1628,"="&amp;AF$16,[1]summary_table_v26_23SIs!$B$2:$B$1628,"="&amp;$H30)</f>
        <v>0</v>
      </c>
      <c r="AG30">
        <f>COUNTIFS([1]summary_table_v26_23SIs!$D$2:$D$1628,"="&amp;AG$16,[1]summary_table_v26_23SIs!$B$2:$B$1628,"="&amp;$H30)</f>
        <v>0</v>
      </c>
      <c r="AH30">
        <f>COUNTIFS([1]summary_table_v26_23SIs!$D$2:$D$1628,"="&amp;AH$16,[1]summary_table_v26_23SIs!$B$2:$B$1628,"="&amp;$H30)</f>
        <v>0</v>
      </c>
      <c r="AI30">
        <f>COUNTIFS([1]summary_table_v26_23SIs!$D$2:$D$1628,"="&amp;AI$16,[1]summary_table_v26_23SIs!$B$2:$B$1628,"="&amp;$H30)</f>
        <v>0</v>
      </c>
      <c r="AM30" s="1" t="s">
        <v>93</v>
      </c>
      <c r="AN30" s="1"/>
    </row>
    <row r="31" spans="2:41" x14ac:dyDescent="0.2">
      <c r="B31" s="3">
        <f>'[1]Priority Indicators (n=23)'!A16</f>
        <v>3.3</v>
      </c>
      <c r="C31">
        <f>COUNTIF([1]summary_table_v26_23SIs!$D$2:$D$1628,"="&amp;$B31)</f>
        <v>23</v>
      </c>
      <c r="D31">
        <f>COUNTIF(X$17:X$43,"&gt;"&amp;0)</f>
        <v>23</v>
      </c>
      <c r="H31" s="2" t="s">
        <v>119</v>
      </c>
      <c r="I31" t="s">
        <v>118</v>
      </c>
      <c r="J31">
        <f>COUNTIFS([1]summary_table_v26_23SIs!$D$2:$D$1628,"="&amp;J$16,[1]summary_table_v26_23SIs!$B$2:$B$1628,"="&amp;$H31)</f>
        <v>3</v>
      </c>
      <c r="K31">
        <f>COUNTIFS([1]summary_table_v26_23SIs!$D$2:$D$1628,"="&amp;K$16,[1]summary_table_v26_23SIs!$B$2:$B$1628,"="&amp;$H31)</f>
        <v>0</v>
      </c>
      <c r="L31">
        <f>COUNTIFS([1]summary_table_v26_23SIs!$D$2:$D$1628,"="&amp;L$16,[1]summary_table_v26_23SIs!$B$2:$B$1628,"="&amp;$H31)</f>
        <v>0</v>
      </c>
      <c r="M31">
        <f>COUNTIFS([1]summary_table_v26_23SIs!$D$2:$D$1628,"="&amp;M$16,[1]summary_table_v26_23SIs!$B$2:$B$1628,"="&amp;$H31)</f>
        <v>0</v>
      </c>
      <c r="N31">
        <f>COUNTIFS([1]summary_table_v26_23SIs!$D$2:$D$1628,"="&amp;N$16,[1]summary_table_v26_23SIs!$B$2:$B$1628,"="&amp;$H31)</f>
        <v>0</v>
      </c>
      <c r="O31">
        <f>COUNTIFS([1]summary_table_v26_23SIs!$D$2:$D$1628,"="&amp;O$16,[1]summary_table_v26_23SIs!$B$2:$B$1628,"="&amp;$H31)</f>
        <v>0</v>
      </c>
      <c r="P31">
        <f>COUNTIFS([1]summary_table_v26_23SIs!$D$2:$D$1628,"="&amp;P$16,[1]summary_table_v26_23SIs!$B$2:$B$1628,"="&amp;$H31)</f>
        <v>0</v>
      </c>
      <c r="Q31">
        <f>COUNTIFS([1]summary_table_v26_23SIs!$D$2:$D$1628,"="&amp;Q$16,[1]summary_table_v26_23SIs!$B$2:$B$1628,"="&amp;$H31)</f>
        <v>0</v>
      </c>
      <c r="R31">
        <f>COUNTIFS([1]summary_table_v26_23SIs!$D$2:$D$1628,"="&amp;R$16,[1]summary_table_v26_23SIs!$B$2:$B$1628,"="&amp;$H31)</f>
        <v>0</v>
      </c>
      <c r="S31">
        <f>COUNTIFS([1]summary_table_v26_23SIs!$D$2:$D$1628,"="&amp;S$16,[1]summary_table_v26_23SIs!$B$2:$B$1628,"="&amp;$H31)</f>
        <v>0</v>
      </c>
      <c r="T31">
        <f>COUNTIFS([1]summary_table_v26_23SIs!$D$2:$D$1628,"="&amp;T$16,[1]summary_table_v26_23SIs!$B$2:$B$1628,"="&amp;$H31)</f>
        <v>0</v>
      </c>
      <c r="U31">
        <f>COUNTIFS([1]summary_table_v26_23SIs!$D$2:$D$1628,"="&amp;U$16,[1]summary_table_v26_23SIs!$B$2:$B$1628,"="&amp;$H31)</f>
        <v>0</v>
      </c>
      <c r="V31">
        <f>COUNTIFS([1]summary_table_v26_23SIs!$D$2:$D$1628,"="&amp;V$16,[1]summary_table_v26_23SIs!$B$2:$B$1628,"="&amp;$H31)</f>
        <v>0</v>
      </c>
      <c r="W31">
        <f>COUNTIFS([1]summary_table_v26_23SIs!$D$2:$D$1628,"="&amp;W$16,[1]summary_table_v26_23SIs!$B$2:$B$1628,"="&amp;$H31)</f>
        <v>0</v>
      </c>
      <c r="X31">
        <f>COUNTIFS([1]summary_table_v26_23SIs!$D$2:$D$1628,"="&amp;X$16,[1]summary_table_v26_23SIs!$B$2:$B$1628,"="&amp;$H31)</f>
        <v>1</v>
      </c>
      <c r="Y31">
        <f>COUNTIFS([1]summary_table_v26_23SIs!$D$2:$D$1628,"="&amp;Y$16,[1]summary_table_v26_23SIs!$B$2:$B$1628,"="&amp;$H31)</f>
        <v>0</v>
      </c>
      <c r="Z31">
        <f>COUNTIFS([1]summary_table_v26_23SIs!$D$2:$D$1628,"="&amp;Z$16,[1]summary_table_v26_23SIs!$B$2:$B$1628,"="&amp;$H31)</f>
        <v>0</v>
      </c>
      <c r="AA31">
        <f>COUNTIFS([1]summary_table_v26_23SIs!$D$2:$D$1628,"="&amp;AA$16,[1]summary_table_v26_23SIs!$B$2:$B$1628,"="&amp;$H31)</f>
        <v>0</v>
      </c>
      <c r="AB31">
        <f>COUNTIFS([1]summary_table_v26_23SIs!$D$2:$D$1628,"="&amp;AB$16,[1]summary_table_v26_23SIs!$B$2:$B$1628,"="&amp;$H31)</f>
        <v>0</v>
      </c>
      <c r="AC31">
        <f>COUNTIFS([1]summary_table_v26_23SIs!$D$2:$D$1628,"="&amp;AC$16,[1]summary_table_v26_23SIs!$B$2:$B$1628,"="&amp;$H31)</f>
        <v>4</v>
      </c>
      <c r="AD31">
        <f>COUNTIFS([1]summary_table_v26_23SIs!$D$2:$D$1628,"="&amp;AD$16,[1]summary_table_v26_23SIs!$B$2:$B$1628,"="&amp;$H31)</f>
        <v>0</v>
      </c>
      <c r="AE31">
        <f>COUNTIFS([1]summary_table_v26_23SIs!$D$2:$D$1628,"="&amp;AE$16,[1]summary_table_v26_23SIs!$B$2:$B$1628,"="&amp;$H31)</f>
        <v>0</v>
      </c>
      <c r="AF31">
        <f>COUNTIFS([1]summary_table_v26_23SIs!$D$2:$D$1628,"="&amp;AF$16,[1]summary_table_v26_23SIs!$B$2:$B$1628,"="&amp;$H31)</f>
        <v>0</v>
      </c>
      <c r="AG31">
        <f>COUNTIFS([1]summary_table_v26_23SIs!$D$2:$D$1628,"="&amp;AG$16,[1]summary_table_v26_23SIs!$B$2:$B$1628,"="&amp;$H31)</f>
        <v>0</v>
      </c>
      <c r="AH31">
        <f>COUNTIFS([1]summary_table_v26_23SIs!$D$2:$D$1628,"="&amp;AH$16,[1]summary_table_v26_23SIs!$B$2:$B$1628,"="&amp;$H31)</f>
        <v>0</v>
      </c>
      <c r="AI31">
        <f>COUNTIFS([1]summary_table_v26_23SIs!$D$2:$D$1628,"="&amp;AI$16,[1]summary_table_v26_23SIs!$B$2:$B$1628,"="&amp;$H31)</f>
        <v>0</v>
      </c>
      <c r="AJ31" s="1" t="s">
        <v>87</v>
      </c>
      <c r="AM31" s="1" t="s">
        <v>86</v>
      </c>
      <c r="AN31" s="1"/>
    </row>
    <row r="32" spans="2:41" x14ac:dyDescent="0.2">
      <c r="B32" s="3">
        <f>'[1]Priority Indicators (n=23)'!A17</f>
        <v>3.4</v>
      </c>
      <c r="C32">
        <f>COUNTIF([1]summary_table_v26_23SIs!$D$2:$D$1628,"="&amp;$B32)</f>
        <v>0</v>
      </c>
      <c r="D32">
        <f>COUNTIF(Y$17:Y$43,"&gt;"&amp;0)</f>
        <v>0</v>
      </c>
      <c r="H32" s="2" t="s">
        <v>117</v>
      </c>
      <c r="I32" t="s">
        <v>116</v>
      </c>
      <c r="J32">
        <f>COUNTIFS([1]summary_table_v26_23SIs!$D$2:$D$1628,"="&amp;J$16,[1]summary_table_v26_23SIs!$B$2:$B$1628,"="&amp;$H32)</f>
        <v>0</v>
      </c>
      <c r="K32">
        <f>COUNTIFS([1]summary_table_v26_23SIs!$D$2:$D$1628,"="&amp;K$16,[1]summary_table_v26_23SIs!$B$2:$B$1628,"="&amp;$H32)</f>
        <v>0</v>
      </c>
      <c r="L32">
        <f>COUNTIFS([1]summary_table_v26_23SIs!$D$2:$D$1628,"="&amp;L$16,[1]summary_table_v26_23SIs!$B$2:$B$1628,"="&amp;$H32)</f>
        <v>0</v>
      </c>
      <c r="M32">
        <f>COUNTIFS([1]summary_table_v26_23SIs!$D$2:$D$1628,"="&amp;M$16,[1]summary_table_v26_23SIs!$B$2:$B$1628,"="&amp;$H32)</f>
        <v>0</v>
      </c>
      <c r="N32">
        <f>COUNTIFS([1]summary_table_v26_23SIs!$D$2:$D$1628,"="&amp;N$16,[1]summary_table_v26_23SIs!$B$2:$B$1628,"="&amp;$H32)</f>
        <v>0</v>
      </c>
      <c r="O32">
        <f>COUNTIFS([1]summary_table_v26_23SIs!$D$2:$D$1628,"="&amp;O$16,[1]summary_table_v26_23SIs!$B$2:$B$1628,"="&amp;$H32)</f>
        <v>0</v>
      </c>
      <c r="P32">
        <f>COUNTIFS([1]summary_table_v26_23SIs!$D$2:$D$1628,"="&amp;P$16,[1]summary_table_v26_23SIs!$B$2:$B$1628,"="&amp;$H32)</f>
        <v>0</v>
      </c>
      <c r="Q32">
        <f>COUNTIFS([1]summary_table_v26_23SIs!$D$2:$D$1628,"="&amp;Q$16,[1]summary_table_v26_23SIs!$B$2:$B$1628,"="&amp;$H32)</f>
        <v>0</v>
      </c>
      <c r="R32">
        <f>COUNTIFS([1]summary_table_v26_23SIs!$D$2:$D$1628,"="&amp;R$16,[1]summary_table_v26_23SIs!$B$2:$B$1628,"="&amp;$H32)</f>
        <v>0</v>
      </c>
      <c r="S32">
        <f>COUNTIFS([1]summary_table_v26_23SIs!$D$2:$D$1628,"="&amp;S$16,[1]summary_table_v26_23SIs!$B$2:$B$1628,"="&amp;$H32)</f>
        <v>0</v>
      </c>
      <c r="T32">
        <f>COUNTIFS([1]summary_table_v26_23SIs!$D$2:$D$1628,"="&amp;T$16,[1]summary_table_v26_23SIs!$B$2:$B$1628,"="&amp;$H32)</f>
        <v>0</v>
      </c>
      <c r="U32">
        <f>COUNTIFS([1]summary_table_v26_23SIs!$D$2:$D$1628,"="&amp;U$16,[1]summary_table_v26_23SIs!$B$2:$B$1628,"="&amp;$H32)</f>
        <v>0</v>
      </c>
      <c r="V32">
        <f>COUNTIFS([1]summary_table_v26_23SIs!$D$2:$D$1628,"="&amp;V$16,[1]summary_table_v26_23SIs!$B$2:$B$1628,"="&amp;$H32)</f>
        <v>0</v>
      </c>
      <c r="W32">
        <f>COUNTIFS([1]summary_table_v26_23SIs!$D$2:$D$1628,"="&amp;W$16,[1]summary_table_v26_23SIs!$B$2:$B$1628,"="&amp;$H32)</f>
        <v>0</v>
      </c>
      <c r="X32">
        <f>COUNTIFS([1]summary_table_v26_23SIs!$D$2:$D$1628,"="&amp;X$16,[1]summary_table_v26_23SIs!$B$2:$B$1628,"="&amp;$H32)</f>
        <v>0</v>
      </c>
      <c r="Y32">
        <f>COUNTIFS([1]summary_table_v26_23SIs!$D$2:$D$1628,"="&amp;Y$16,[1]summary_table_v26_23SIs!$B$2:$B$1628,"="&amp;$H32)</f>
        <v>0</v>
      </c>
      <c r="Z32">
        <f>COUNTIFS([1]summary_table_v26_23SIs!$D$2:$D$1628,"="&amp;Z$16,[1]summary_table_v26_23SIs!$B$2:$B$1628,"="&amp;$H32)</f>
        <v>0</v>
      </c>
      <c r="AA32">
        <f>COUNTIFS([1]summary_table_v26_23SIs!$D$2:$D$1628,"="&amp;AA$16,[1]summary_table_v26_23SIs!$B$2:$B$1628,"="&amp;$H32)</f>
        <v>0</v>
      </c>
      <c r="AB32">
        <f>COUNTIFS([1]summary_table_v26_23SIs!$D$2:$D$1628,"="&amp;AB$16,[1]summary_table_v26_23SIs!$B$2:$B$1628,"="&amp;$H32)</f>
        <v>0</v>
      </c>
      <c r="AC32">
        <f>COUNTIFS([1]summary_table_v26_23SIs!$D$2:$D$1628,"="&amp;AC$16,[1]summary_table_v26_23SIs!$B$2:$B$1628,"="&amp;$H32)</f>
        <v>0</v>
      </c>
      <c r="AD32">
        <f>COUNTIFS([1]summary_table_v26_23SIs!$D$2:$D$1628,"="&amp;AD$16,[1]summary_table_v26_23SIs!$B$2:$B$1628,"="&amp;$H32)</f>
        <v>0</v>
      </c>
      <c r="AE32">
        <f>COUNTIFS([1]summary_table_v26_23SIs!$D$2:$D$1628,"="&amp;AE$16,[1]summary_table_v26_23SIs!$B$2:$B$1628,"="&amp;$H32)</f>
        <v>0</v>
      </c>
      <c r="AF32">
        <f>COUNTIFS([1]summary_table_v26_23SIs!$D$2:$D$1628,"="&amp;AF$16,[1]summary_table_v26_23SIs!$B$2:$B$1628,"="&amp;$H32)</f>
        <v>0</v>
      </c>
      <c r="AG32">
        <f>COUNTIFS([1]summary_table_v26_23SIs!$D$2:$D$1628,"="&amp;AG$16,[1]summary_table_v26_23SIs!$B$2:$B$1628,"="&amp;$H32)</f>
        <v>0</v>
      </c>
      <c r="AH32">
        <f>COUNTIFS([1]summary_table_v26_23SIs!$D$2:$D$1628,"="&amp;AH$16,[1]summary_table_v26_23SIs!$B$2:$B$1628,"="&amp;$H32)</f>
        <v>0</v>
      </c>
      <c r="AI32">
        <f>COUNTIFS([1]summary_table_v26_23SIs!$D$2:$D$1628,"="&amp;AI$16,[1]summary_table_v26_23SIs!$B$2:$B$1628,"="&amp;$H32)</f>
        <v>0</v>
      </c>
      <c r="AN32" s="1"/>
    </row>
    <row r="33" spans="2:41" x14ac:dyDescent="0.2">
      <c r="B33" s="3">
        <f>'[1]Priority Indicators (n=23)'!A18</f>
        <v>3.5</v>
      </c>
      <c r="C33">
        <f>COUNTIF([1]summary_table_v26_23SIs!$D$2:$D$1628,"="&amp;$B33)</f>
        <v>807</v>
      </c>
      <c r="D33">
        <f>COUNTIF(Z$17:Z$43,"&gt;"&amp;0)</f>
        <v>10</v>
      </c>
      <c r="H33" s="2" t="s">
        <v>115</v>
      </c>
      <c r="I33" t="s">
        <v>114</v>
      </c>
      <c r="J33">
        <f>COUNTIFS([1]summary_table_v26_23SIs!$D$2:$D$1628,"="&amp;J$16,[1]summary_table_v26_23SIs!$B$2:$B$1628,"="&amp;$H33)</f>
        <v>15</v>
      </c>
      <c r="K33">
        <f>COUNTIFS([1]summary_table_v26_23SIs!$D$2:$D$1628,"="&amp;K$16,[1]summary_table_v26_23SIs!$B$2:$B$1628,"="&amp;$H33)</f>
        <v>0</v>
      </c>
      <c r="L33">
        <f>COUNTIFS([1]summary_table_v26_23SIs!$D$2:$D$1628,"="&amp;L$16,[1]summary_table_v26_23SIs!$B$2:$B$1628,"="&amp;$H33)</f>
        <v>3</v>
      </c>
      <c r="M33">
        <f>COUNTIFS([1]summary_table_v26_23SIs!$D$2:$D$1628,"="&amp;M$16,[1]summary_table_v26_23SIs!$B$2:$B$1628,"="&amp;$H33)</f>
        <v>0</v>
      </c>
      <c r="N33">
        <f>COUNTIFS([1]summary_table_v26_23SIs!$D$2:$D$1628,"="&amp;N$16,[1]summary_table_v26_23SIs!$B$2:$B$1628,"="&amp;$H33)</f>
        <v>0</v>
      </c>
      <c r="O33">
        <f>COUNTIFS([1]summary_table_v26_23SIs!$D$2:$D$1628,"="&amp;O$16,[1]summary_table_v26_23SIs!$B$2:$B$1628,"="&amp;$H33)</f>
        <v>0</v>
      </c>
      <c r="P33">
        <f>COUNTIFS([1]summary_table_v26_23SIs!$D$2:$D$1628,"="&amp;P$16,[1]summary_table_v26_23SIs!$B$2:$B$1628,"="&amp;$H33)</f>
        <v>0</v>
      </c>
      <c r="Q33">
        <f>COUNTIFS([1]summary_table_v26_23SIs!$D$2:$D$1628,"="&amp;Q$16,[1]summary_table_v26_23SIs!$B$2:$B$1628,"="&amp;$H33)</f>
        <v>0</v>
      </c>
      <c r="R33">
        <f>COUNTIFS([1]summary_table_v26_23SIs!$D$2:$D$1628,"="&amp;R$16,[1]summary_table_v26_23SIs!$B$2:$B$1628,"="&amp;$H33)</f>
        <v>3</v>
      </c>
      <c r="S33">
        <f>COUNTIFS([1]summary_table_v26_23SIs!$D$2:$D$1628,"="&amp;S$16,[1]summary_table_v26_23SIs!$B$2:$B$1628,"="&amp;$H33)</f>
        <v>0</v>
      </c>
      <c r="T33">
        <f>COUNTIFS([1]summary_table_v26_23SIs!$D$2:$D$1628,"="&amp;T$16,[1]summary_table_v26_23SIs!$B$2:$B$1628,"="&amp;$H33)</f>
        <v>0</v>
      </c>
      <c r="U33">
        <f>COUNTIFS([1]summary_table_v26_23SIs!$D$2:$D$1628,"="&amp;U$16,[1]summary_table_v26_23SIs!$B$2:$B$1628,"="&amp;$H33)</f>
        <v>0</v>
      </c>
      <c r="V33">
        <f>COUNTIFS([1]summary_table_v26_23SIs!$D$2:$D$1628,"="&amp;V$16,[1]summary_table_v26_23SIs!$B$2:$B$1628,"="&amp;$H33)</f>
        <v>0</v>
      </c>
      <c r="W33">
        <f>COUNTIFS([1]summary_table_v26_23SIs!$D$2:$D$1628,"="&amp;W$16,[1]summary_table_v26_23SIs!$B$2:$B$1628,"="&amp;$H33)</f>
        <v>6</v>
      </c>
      <c r="X33">
        <f>COUNTIFS([1]summary_table_v26_23SIs!$D$2:$D$1628,"="&amp;X$16,[1]summary_table_v26_23SIs!$B$2:$B$1628,"="&amp;$H33)</f>
        <v>1</v>
      </c>
      <c r="Y33">
        <f>COUNTIFS([1]summary_table_v26_23SIs!$D$2:$D$1628,"="&amp;Y$16,[1]summary_table_v26_23SIs!$B$2:$B$1628,"="&amp;$H33)</f>
        <v>0</v>
      </c>
      <c r="Z33">
        <f>COUNTIFS([1]summary_table_v26_23SIs!$D$2:$D$1628,"="&amp;Z$16,[1]summary_table_v26_23SIs!$B$2:$B$1628,"="&amp;$H33)</f>
        <v>54</v>
      </c>
      <c r="AA33">
        <f>COUNTIFS([1]summary_table_v26_23SIs!$D$2:$D$1628,"="&amp;AA$16,[1]summary_table_v26_23SIs!$B$2:$B$1628,"="&amp;$H33)</f>
        <v>0</v>
      </c>
      <c r="AB33">
        <f>COUNTIFS([1]summary_table_v26_23SIs!$D$2:$D$1628,"="&amp;AB$16,[1]summary_table_v26_23SIs!$B$2:$B$1628,"="&amp;$H33)</f>
        <v>0</v>
      </c>
      <c r="AC33">
        <f>COUNTIFS([1]summary_table_v26_23SIs!$D$2:$D$1628,"="&amp;AC$16,[1]summary_table_v26_23SIs!$B$2:$B$1628,"="&amp;$H33)</f>
        <v>6</v>
      </c>
      <c r="AD33">
        <f>COUNTIFS([1]summary_table_v26_23SIs!$D$2:$D$1628,"="&amp;AD$16,[1]summary_table_v26_23SIs!$B$2:$B$1628,"="&amp;$H33)</f>
        <v>0</v>
      </c>
      <c r="AE33">
        <f>COUNTIFS([1]summary_table_v26_23SIs!$D$2:$D$1628,"="&amp;AE$16,[1]summary_table_v26_23SIs!$B$2:$B$1628,"="&amp;$H33)</f>
        <v>0</v>
      </c>
      <c r="AF33">
        <f>COUNTIFS([1]summary_table_v26_23SIs!$D$2:$D$1628,"="&amp;AF$16,[1]summary_table_v26_23SIs!$B$2:$B$1628,"="&amp;$H33)</f>
        <v>0</v>
      </c>
      <c r="AG33">
        <f>COUNTIFS([1]summary_table_v26_23SIs!$D$2:$D$1628,"="&amp;AG$16,[1]summary_table_v26_23SIs!$B$2:$B$1628,"="&amp;$H33)</f>
        <v>0</v>
      </c>
      <c r="AH33">
        <f>COUNTIFS([1]summary_table_v26_23SIs!$D$2:$D$1628,"="&amp;AH$16,[1]summary_table_v26_23SIs!$B$2:$B$1628,"="&amp;$H33)</f>
        <v>0</v>
      </c>
      <c r="AI33">
        <f>COUNTIFS([1]summary_table_v26_23SIs!$D$2:$D$1628,"="&amp;AI$16,[1]summary_table_v26_23SIs!$B$2:$B$1628,"="&amp;$H33)</f>
        <v>0</v>
      </c>
      <c r="AM33" s="1" t="s">
        <v>86</v>
      </c>
      <c r="AO33" s="1" t="s">
        <v>113</v>
      </c>
    </row>
    <row r="34" spans="2:41" x14ac:dyDescent="0.2">
      <c r="B34" s="3">
        <f>'[1]Priority Indicators (n=23)'!A19</f>
        <v>3.6</v>
      </c>
      <c r="C34">
        <f>COUNTIF([1]summary_table_v26_23SIs!$D$2:$D$1628,"="&amp;$B34)</f>
        <v>0</v>
      </c>
      <c r="D34">
        <f>COUNTIF(AA$17:AA$43,"&gt;"&amp;0)</f>
        <v>0</v>
      </c>
      <c r="H34" s="2" t="s">
        <v>112</v>
      </c>
      <c r="I34" t="s">
        <v>111</v>
      </c>
      <c r="J34">
        <f>COUNTIFS([1]summary_table_v26_23SIs!$D$2:$D$1628,"="&amp;J$16,[1]summary_table_v26_23SIs!$B$2:$B$1628,"="&amp;$H34)</f>
        <v>0</v>
      </c>
      <c r="K34">
        <f>COUNTIFS([1]summary_table_v26_23SIs!$D$2:$D$1628,"="&amp;K$16,[1]summary_table_v26_23SIs!$B$2:$B$1628,"="&amp;$H34)</f>
        <v>0</v>
      </c>
      <c r="L34">
        <f>COUNTIFS([1]summary_table_v26_23SIs!$D$2:$D$1628,"="&amp;L$16,[1]summary_table_v26_23SIs!$B$2:$B$1628,"="&amp;$H34)</f>
        <v>0</v>
      </c>
      <c r="M34">
        <f>COUNTIFS([1]summary_table_v26_23SIs!$D$2:$D$1628,"="&amp;M$16,[1]summary_table_v26_23SIs!$B$2:$B$1628,"="&amp;$H34)</f>
        <v>0</v>
      </c>
      <c r="N34">
        <f>COUNTIFS([1]summary_table_v26_23SIs!$D$2:$D$1628,"="&amp;N$16,[1]summary_table_v26_23SIs!$B$2:$B$1628,"="&amp;$H34)</f>
        <v>0</v>
      </c>
      <c r="O34">
        <f>COUNTIFS([1]summary_table_v26_23SIs!$D$2:$D$1628,"="&amp;O$16,[1]summary_table_v26_23SIs!$B$2:$B$1628,"="&amp;$H34)</f>
        <v>0</v>
      </c>
      <c r="P34">
        <f>COUNTIFS([1]summary_table_v26_23SIs!$D$2:$D$1628,"="&amp;P$16,[1]summary_table_v26_23SIs!$B$2:$B$1628,"="&amp;$H34)</f>
        <v>0</v>
      </c>
      <c r="Q34">
        <f>COUNTIFS([1]summary_table_v26_23SIs!$D$2:$D$1628,"="&amp;Q$16,[1]summary_table_v26_23SIs!$B$2:$B$1628,"="&amp;$H34)</f>
        <v>0</v>
      </c>
      <c r="R34">
        <f>COUNTIFS([1]summary_table_v26_23SIs!$D$2:$D$1628,"="&amp;R$16,[1]summary_table_v26_23SIs!$B$2:$B$1628,"="&amp;$H34)</f>
        <v>0</v>
      </c>
      <c r="S34">
        <f>COUNTIFS([1]summary_table_v26_23SIs!$D$2:$D$1628,"="&amp;S$16,[1]summary_table_v26_23SIs!$B$2:$B$1628,"="&amp;$H34)</f>
        <v>0</v>
      </c>
      <c r="T34">
        <f>COUNTIFS([1]summary_table_v26_23SIs!$D$2:$D$1628,"="&amp;T$16,[1]summary_table_v26_23SIs!$B$2:$B$1628,"="&amp;$H34)</f>
        <v>0</v>
      </c>
      <c r="U34">
        <f>COUNTIFS([1]summary_table_v26_23SIs!$D$2:$D$1628,"="&amp;U$16,[1]summary_table_v26_23SIs!$B$2:$B$1628,"="&amp;$H34)</f>
        <v>0</v>
      </c>
      <c r="V34">
        <f>COUNTIFS([1]summary_table_v26_23SIs!$D$2:$D$1628,"="&amp;V$16,[1]summary_table_v26_23SIs!$B$2:$B$1628,"="&amp;$H34)</f>
        <v>0</v>
      </c>
      <c r="W34">
        <f>COUNTIFS([1]summary_table_v26_23SIs!$D$2:$D$1628,"="&amp;W$16,[1]summary_table_v26_23SIs!$B$2:$B$1628,"="&amp;$H34)</f>
        <v>0</v>
      </c>
      <c r="X34">
        <f>COUNTIFS([1]summary_table_v26_23SIs!$D$2:$D$1628,"="&amp;X$16,[1]summary_table_v26_23SIs!$B$2:$B$1628,"="&amp;$H34)</f>
        <v>0</v>
      </c>
      <c r="Y34">
        <f>COUNTIFS([1]summary_table_v26_23SIs!$D$2:$D$1628,"="&amp;Y$16,[1]summary_table_v26_23SIs!$B$2:$B$1628,"="&amp;$H34)</f>
        <v>0</v>
      </c>
      <c r="Z34">
        <f>COUNTIFS([1]summary_table_v26_23SIs!$D$2:$D$1628,"="&amp;Z$16,[1]summary_table_v26_23SIs!$B$2:$B$1628,"="&amp;$H34)</f>
        <v>0</v>
      </c>
      <c r="AA34">
        <f>COUNTIFS([1]summary_table_v26_23SIs!$D$2:$D$1628,"="&amp;AA$16,[1]summary_table_v26_23SIs!$B$2:$B$1628,"="&amp;$H34)</f>
        <v>0</v>
      </c>
      <c r="AB34">
        <f>COUNTIFS([1]summary_table_v26_23SIs!$D$2:$D$1628,"="&amp;AB$16,[1]summary_table_v26_23SIs!$B$2:$B$1628,"="&amp;$H34)</f>
        <v>0</v>
      </c>
      <c r="AC34">
        <f>COUNTIFS([1]summary_table_v26_23SIs!$D$2:$D$1628,"="&amp;AC$16,[1]summary_table_v26_23SIs!$B$2:$B$1628,"="&amp;$H34)</f>
        <v>0</v>
      </c>
      <c r="AD34">
        <f>COUNTIFS([1]summary_table_v26_23SIs!$D$2:$D$1628,"="&amp;AD$16,[1]summary_table_v26_23SIs!$B$2:$B$1628,"="&amp;$H34)</f>
        <v>0</v>
      </c>
      <c r="AE34">
        <f>COUNTIFS([1]summary_table_v26_23SIs!$D$2:$D$1628,"="&amp;AE$16,[1]summary_table_v26_23SIs!$B$2:$B$1628,"="&amp;$H34)</f>
        <v>0</v>
      </c>
      <c r="AF34">
        <f>COUNTIFS([1]summary_table_v26_23SIs!$D$2:$D$1628,"="&amp;AF$16,[1]summary_table_v26_23SIs!$B$2:$B$1628,"="&amp;$H34)</f>
        <v>0</v>
      </c>
      <c r="AG34">
        <f>COUNTIFS([1]summary_table_v26_23SIs!$D$2:$D$1628,"="&amp;AG$16,[1]summary_table_v26_23SIs!$B$2:$B$1628,"="&amp;$H34)</f>
        <v>0</v>
      </c>
      <c r="AH34">
        <f>COUNTIFS([1]summary_table_v26_23SIs!$D$2:$D$1628,"="&amp;AH$16,[1]summary_table_v26_23SIs!$B$2:$B$1628,"="&amp;$H34)</f>
        <v>0</v>
      </c>
      <c r="AI34">
        <f>COUNTIFS([1]summary_table_v26_23SIs!$D$2:$D$1628,"="&amp;AI$16,[1]summary_table_v26_23SIs!$B$2:$B$1628,"="&amp;$H34)</f>
        <v>0</v>
      </c>
      <c r="AL34" s="1" t="s">
        <v>110</v>
      </c>
      <c r="AN34" s="1"/>
    </row>
    <row r="35" spans="2:41" x14ac:dyDescent="0.2">
      <c r="B35" s="3">
        <f>'[1]Priority Indicators (n=23)'!A20</f>
        <v>3.7</v>
      </c>
      <c r="C35">
        <f>COUNTIF([1]summary_table_v26_23SIs!$D$2:$D$1628,"="&amp;$B35)</f>
        <v>0</v>
      </c>
      <c r="D35">
        <f>COUNTIF(AB$17:AB$43,"&gt;"&amp;0)</f>
        <v>0</v>
      </c>
      <c r="H35" s="2" t="s">
        <v>109</v>
      </c>
      <c r="I35" t="s">
        <v>108</v>
      </c>
      <c r="J35">
        <f>COUNTIFS([1]summary_table_v26_23SIs!$D$2:$D$1628,"="&amp;J$16,[1]summary_table_v26_23SIs!$B$2:$B$1628,"="&amp;$H35)</f>
        <v>10</v>
      </c>
      <c r="K35">
        <f>COUNTIFS([1]summary_table_v26_23SIs!$D$2:$D$1628,"="&amp;K$16,[1]summary_table_v26_23SIs!$B$2:$B$1628,"="&amp;$H35)</f>
        <v>0</v>
      </c>
      <c r="L35">
        <f>COUNTIFS([1]summary_table_v26_23SIs!$D$2:$D$1628,"="&amp;L$16,[1]summary_table_v26_23SIs!$B$2:$B$1628,"="&amp;$H35)</f>
        <v>0</v>
      </c>
      <c r="M35">
        <f>COUNTIFS([1]summary_table_v26_23SIs!$D$2:$D$1628,"="&amp;M$16,[1]summary_table_v26_23SIs!$B$2:$B$1628,"="&amp;$H35)</f>
        <v>0</v>
      </c>
      <c r="N35">
        <f>COUNTIFS([1]summary_table_v26_23SIs!$D$2:$D$1628,"="&amp;N$16,[1]summary_table_v26_23SIs!$B$2:$B$1628,"="&amp;$H35)</f>
        <v>0</v>
      </c>
      <c r="O35">
        <f>COUNTIFS([1]summary_table_v26_23SIs!$D$2:$D$1628,"="&amp;O$16,[1]summary_table_v26_23SIs!$B$2:$B$1628,"="&amp;$H35)</f>
        <v>0</v>
      </c>
      <c r="P35">
        <f>COUNTIFS([1]summary_table_v26_23SIs!$D$2:$D$1628,"="&amp;P$16,[1]summary_table_v26_23SIs!$B$2:$B$1628,"="&amp;$H35)</f>
        <v>2</v>
      </c>
      <c r="Q35">
        <f>COUNTIFS([1]summary_table_v26_23SIs!$D$2:$D$1628,"="&amp;Q$16,[1]summary_table_v26_23SIs!$B$2:$B$1628,"="&amp;$H35)</f>
        <v>0</v>
      </c>
      <c r="R35">
        <f>COUNTIFS([1]summary_table_v26_23SIs!$D$2:$D$1628,"="&amp;R$16,[1]summary_table_v26_23SIs!$B$2:$B$1628,"="&amp;$H35)</f>
        <v>0</v>
      </c>
      <c r="S35">
        <f>COUNTIFS([1]summary_table_v26_23SIs!$D$2:$D$1628,"="&amp;S$16,[1]summary_table_v26_23SIs!$B$2:$B$1628,"="&amp;$H35)</f>
        <v>0</v>
      </c>
      <c r="T35">
        <f>COUNTIFS([1]summary_table_v26_23SIs!$D$2:$D$1628,"="&amp;T$16,[1]summary_table_v26_23SIs!$B$2:$B$1628,"="&amp;$H35)</f>
        <v>1</v>
      </c>
      <c r="U35">
        <f>COUNTIFS([1]summary_table_v26_23SIs!$D$2:$D$1628,"="&amp;U$16,[1]summary_table_v26_23SIs!$B$2:$B$1628,"="&amp;$H35)</f>
        <v>0</v>
      </c>
      <c r="V35">
        <f>COUNTIFS([1]summary_table_v26_23SIs!$D$2:$D$1628,"="&amp;V$16,[1]summary_table_v26_23SIs!$B$2:$B$1628,"="&amp;$H35)</f>
        <v>0</v>
      </c>
      <c r="W35">
        <f>COUNTIFS([1]summary_table_v26_23SIs!$D$2:$D$1628,"="&amp;W$16,[1]summary_table_v26_23SIs!$B$2:$B$1628,"="&amp;$H35)</f>
        <v>9</v>
      </c>
      <c r="X35">
        <f>COUNTIFS([1]summary_table_v26_23SIs!$D$2:$D$1628,"="&amp;X$16,[1]summary_table_v26_23SIs!$B$2:$B$1628,"="&amp;$H35)</f>
        <v>1</v>
      </c>
      <c r="Y35">
        <f>COUNTIFS([1]summary_table_v26_23SIs!$D$2:$D$1628,"="&amp;Y$16,[1]summary_table_v26_23SIs!$B$2:$B$1628,"="&amp;$H35)</f>
        <v>0</v>
      </c>
      <c r="Z35">
        <f>COUNTIFS([1]summary_table_v26_23SIs!$D$2:$D$1628,"="&amp;Z$16,[1]summary_table_v26_23SIs!$B$2:$B$1628,"="&amp;$H35)</f>
        <v>0</v>
      </c>
      <c r="AA35">
        <f>COUNTIFS([1]summary_table_v26_23SIs!$D$2:$D$1628,"="&amp;AA$16,[1]summary_table_v26_23SIs!$B$2:$B$1628,"="&amp;$H35)</f>
        <v>0</v>
      </c>
      <c r="AB35">
        <f>COUNTIFS([1]summary_table_v26_23SIs!$D$2:$D$1628,"="&amp;AB$16,[1]summary_table_v26_23SIs!$B$2:$B$1628,"="&amp;$H35)</f>
        <v>0</v>
      </c>
      <c r="AC35">
        <f>COUNTIFS([1]summary_table_v26_23SIs!$D$2:$D$1628,"="&amp;AC$16,[1]summary_table_v26_23SIs!$B$2:$B$1628,"="&amp;$H35)</f>
        <v>6</v>
      </c>
      <c r="AD35">
        <f>COUNTIFS([1]summary_table_v26_23SIs!$D$2:$D$1628,"="&amp;AD$16,[1]summary_table_v26_23SIs!$B$2:$B$1628,"="&amp;$H35)</f>
        <v>6</v>
      </c>
      <c r="AE35">
        <f>COUNTIFS([1]summary_table_v26_23SIs!$D$2:$D$1628,"="&amp;AE$16,[1]summary_table_v26_23SIs!$B$2:$B$1628,"="&amp;$H35)</f>
        <v>0</v>
      </c>
      <c r="AF35">
        <f>COUNTIFS([1]summary_table_v26_23SIs!$D$2:$D$1628,"="&amp;AF$16,[1]summary_table_v26_23SIs!$B$2:$B$1628,"="&amp;$H35)</f>
        <v>0</v>
      </c>
      <c r="AG35">
        <f>COUNTIFS([1]summary_table_v26_23SIs!$D$2:$D$1628,"="&amp;AG$16,[1]summary_table_v26_23SIs!$B$2:$B$1628,"="&amp;$H35)</f>
        <v>3</v>
      </c>
      <c r="AH35">
        <f>COUNTIFS([1]summary_table_v26_23SIs!$D$2:$D$1628,"="&amp;AH$16,[1]summary_table_v26_23SIs!$B$2:$B$1628,"="&amp;$H35)</f>
        <v>0</v>
      </c>
      <c r="AI35">
        <f>COUNTIFS([1]summary_table_v26_23SIs!$D$2:$D$1628,"="&amp;AI$16,[1]summary_table_v26_23SIs!$B$2:$B$1628,"="&amp;$H35)</f>
        <v>0</v>
      </c>
      <c r="AK35" s="1" t="s">
        <v>90</v>
      </c>
      <c r="AN35" s="1"/>
    </row>
    <row r="36" spans="2:41" x14ac:dyDescent="0.2">
      <c r="B36" s="3">
        <f>'[1]Priority Indicators (n=23)'!A21</f>
        <v>4.0999999999999996</v>
      </c>
      <c r="C36">
        <f>COUNTIF([1]summary_table_v26_23SIs!$D$2:$D$1628,"="&amp;$B36)</f>
        <v>134</v>
      </c>
      <c r="D36">
        <f>COUNTIF(AC$17:AC$43,"&gt;"&amp;0)</f>
        <v>22</v>
      </c>
      <c r="H36" s="2" t="s">
        <v>107</v>
      </c>
      <c r="I36" t="s">
        <v>106</v>
      </c>
      <c r="J36">
        <f>COUNTIFS([1]summary_table_v26_23SIs!$D$2:$D$1628,"="&amp;J$16,[1]summary_table_v26_23SIs!$B$2:$B$1628,"="&amp;$H36)</f>
        <v>18</v>
      </c>
      <c r="K36">
        <f>COUNTIFS([1]summary_table_v26_23SIs!$D$2:$D$1628,"="&amp;K$16,[1]summary_table_v26_23SIs!$B$2:$B$1628,"="&amp;$H36)</f>
        <v>0</v>
      </c>
      <c r="L36">
        <f>COUNTIFS([1]summary_table_v26_23SIs!$D$2:$D$1628,"="&amp;L$16,[1]summary_table_v26_23SIs!$B$2:$B$1628,"="&amp;$H36)</f>
        <v>0</v>
      </c>
      <c r="M36">
        <f>COUNTIFS([1]summary_table_v26_23SIs!$D$2:$D$1628,"="&amp;M$16,[1]summary_table_v26_23SIs!$B$2:$B$1628,"="&amp;$H36)</f>
        <v>12</v>
      </c>
      <c r="N36">
        <f>COUNTIFS([1]summary_table_v26_23SIs!$D$2:$D$1628,"="&amp;N$16,[1]summary_table_v26_23SIs!$B$2:$B$1628,"="&amp;$H36)</f>
        <v>0</v>
      </c>
      <c r="O36">
        <f>COUNTIFS([1]summary_table_v26_23SIs!$D$2:$D$1628,"="&amp;O$16,[1]summary_table_v26_23SIs!$B$2:$B$1628,"="&amp;$H36)</f>
        <v>0</v>
      </c>
      <c r="P36">
        <f>COUNTIFS([1]summary_table_v26_23SIs!$D$2:$D$1628,"="&amp;P$16,[1]summary_table_v26_23SIs!$B$2:$B$1628,"="&amp;$H36)</f>
        <v>17</v>
      </c>
      <c r="Q36">
        <f>COUNTIFS([1]summary_table_v26_23SIs!$D$2:$D$1628,"="&amp;Q$16,[1]summary_table_v26_23SIs!$B$2:$B$1628,"="&amp;$H36)</f>
        <v>0</v>
      </c>
      <c r="R36">
        <f>COUNTIFS([1]summary_table_v26_23SIs!$D$2:$D$1628,"="&amp;R$16,[1]summary_table_v26_23SIs!$B$2:$B$1628,"="&amp;$H36)</f>
        <v>0</v>
      </c>
      <c r="S36">
        <f>COUNTIFS([1]summary_table_v26_23SIs!$D$2:$D$1628,"="&amp;S$16,[1]summary_table_v26_23SIs!$B$2:$B$1628,"="&amp;$H36)</f>
        <v>0</v>
      </c>
      <c r="T36">
        <f>COUNTIFS([1]summary_table_v26_23SIs!$D$2:$D$1628,"="&amp;T$16,[1]summary_table_v26_23SIs!$B$2:$B$1628,"="&amp;$H36)</f>
        <v>0</v>
      </c>
      <c r="U36">
        <f>COUNTIFS([1]summary_table_v26_23SIs!$D$2:$D$1628,"="&amp;U$16,[1]summary_table_v26_23SIs!$B$2:$B$1628,"="&amp;$H36)</f>
        <v>0</v>
      </c>
      <c r="V36">
        <f>COUNTIFS([1]summary_table_v26_23SIs!$D$2:$D$1628,"="&amp;V$16,[1]summary_table_v26_23SIs!$B$2:$B$1628,"="&amp;$H36)</f>
        <v>0</v>
      </c>
      <c r="W36">
        <f>COUNTIFS([1]summary_table_v26_23SIs!$D$2:$D$1628,"="&amp;W$16,[1]summary_table_v26_23SIs!$B$2:$B$1628,"="&amp;$H36)</f>
        <v>0</v>
      </c>
      <c r="X36">
        <f>COUNTIFS([1]summary_table_v26_23SIs!$D$2:$D$1628,"="&amp;X$16,[1]summary_table_v26_23SIs!$B$2:$B$1628,"="&amp;$H36)</f>
        <v>1</v>
      </c>
      <c r="Y36">
        <f>COUNTIFS([1]summary_table_v26_23SIs!$D$2:$D$1628,"="&amp;Y$16,[1]summary_table_v26_23SIs!$B$2:$B$1628,"="&amp;$H36)</f>
        <v>0</v>
      </c>
      <c r="Z36">
        <f>COUNTIFS([1]summary_table_v26_23SIs!$D$2:$D$1628,"="&amp;Z$16,[1]summary_table_v26_23SIs!$B$2:$B$1628,"="&amp;$H36)</f>
        <v>126</v>
      </c>
      <c r="AA36">
        <f>COUNTIFS([1]summary_table_v26_23SIs!$D$2:$D$1628,"="&amp;AA$16,[1]summary_table_v26_23SIs!$B$2:$B$1628,"="&amp;$H36)</f>
        <v>0</v>
      </c>
      <c r="AB36">
        <f>COUNTIFS([1]summary_table_v26_23SIs!$D$2:$D$1628,"="&amp;AB$16,[1]summary_table_v26_23SIs!$B$2:$B$1628,"="&amp;$H36)</f>
        <v>0</v>
      </c>
      <c r="AC36">
        <f>COUNTIFS([1]summary_table_v26_23SIs!$D$2:$D$1628,"="&amp;AC$16,[1]summary_table_v26_23SIs!$B$2:$B$1628,"="&amp;$H36)</f>
        <v>12</v>
      </c>
      <c r="AD36">
        <f>COUNTIFS([1]summary_table_v26_23SIs!$D$2:$D$1628,"="&amp;AD$16,[1]summary_table_v26_23SIs!$B$2:$B$1628,"="&amp;$H36)</f>
        <v>0</v>
      </c>
      <c r="AE36">
        <f>COUNTIFS([1]summary_table_v26_23SIs!$D$2:$D$1628,"="&amp;AE$16,[1]summary_table_v26_23SIs!$B$2:$B$1628,"="&amp;$H36)</f>
        <v>0</v>
      </c>
      <c r="AF36">
        <f>COUNTIFS([1]summary_table_v26_23SIs!$D$2:$D$1628,"="&amp;AF$16,[1]summary_table_v26_23SIs!$B$2:$B$1628,"="&amp;$H36)</f>
        <v>0</v>
      </c>
      <c r="AG36">
        <f>COUNTIFS([1]summary_table_v26_23SIs!$D$2:$D$1628,"="&amp;AG$16,[1]summary_table_v26_23SIs!$B$2:$B$1628,"="&amp;$H36)</f>
        <v>12</v>
      </c>
      <c r="AH36">
        <f>COUNTIFS([1]summary_table_v26_23SIs!$D$2:$D$1628,"="&amp;AH$16,[1]summary_table_v26_23SIs!$B$2:$B$1628,"="&amp;$H36)</f>
        <v>0</v>
      </c>
      <c r="AI36">
        <f>COUNTIFS([1]summary_table_v26_23SIs!$D$2:$D$1628,"="&amp;AI$16,[1]summary_table_v26_23SIs!$B$2:$B$1628,"="&amp;$H36)</f>
        <v>0</v>
      </c>
      <c r="AJ36" s="1" t="s">
        <v>87</v>
      </c>
      <c r="AM36" s="1" t="s">
        <v>93</v>
      </c>
      <c r="AN36" s="1" t="s">
        <v>99</v>
      </c>
    </row>
    <row r="37" spans="2:41" x14ac:dyDescent="0.2">
      <c r="B37" s="3">
        <f>'[1]Priority Indicators (n=23)'!A22</f>
        <v>4.2</v>
      </c>
      <c r="C37">
        <f>COUNTIF([1]summary_table_v26_23SIs!$D$2:$D$1628,"="&amp;$B37)</f>
        <v>12</v>
      </c>
      <c r="D37">
        <f>COUNTIF(AD$17:AD$43,"&gt;"&amp;0)</f>
        <v>4</v>
      </c>
      <c r="H37" s="2" t="s">
        <v>105</v>
      </c>
      <c r="I37" t="s">
        <v>104</v>
      </c>
      <c r="J37">
        <f>COUNTIFS([1]summary_table_v26_23SIs!$D$2:$D$1628,"="&amp;J$16,[1]summary_table_v26_23SIs!$B$2:$B$1628,"="&amp;$H37)</f>
        <v>18</v>
      </c>
      <c r="K37">
        <f>COUNTIFS([1]summary_table_v26_23SIs!$D$2:$D$1628,"="&amp;K$16,[1]summary_table_v26_23SIs!$B$2:$B$1628,"="&amp;$H37)</f>
        <v>0</v>
      </c>
      <c r="L37">
        <f>COUNTIFS([1]summary_table_v26_23SIs!$D$2:$D$1628,"="&amp;L$16,[1]summary_table_v26_23SIs!$B$2:$B$1628,"="&amp;$H37)</f>
        <v>0</v>
      </c>
      <c r="M37">
        <f>COUNTIFS([1]summary_table_v26_23SIs!$D$2:$D$1628,"="&amp;M$16,[1]summary_table_v26_23SIs!$B$2:$B$1628,"="&amp;$H37)</f>
        <v>0</v>
      </c>
      <c r="N37">
        <f>COUNTIFS([1]summary_table_v26_23SIs!$D$2:$D$1628,"="&amp;N$16,[1]summary_table_v26_23SIs!$B$2:$B$1628,"="&amp;$H37)</f>
        <v>0</v>
      </c>
      <c r="O37">
        <f>COUNTIFS([1]summary_table_v26_23SIs!$D$2:$D$1628,"="&amp;O$16,[1]summary_table_v26_23SIs!$B$2:$B$1628,"="&amp;$H37)</f>
        <v>0</v>
      </c>
      <c r="P37">
        <f>COUNTIFS([1]summary_table_v26_23SIs!$D$2:$D$1628,"="&amp;P$16,[1]summary_table_v26_23SIs!$B$2:$B$1628,"="&amp;$H37)</f>
        <v>8</v>
      </c>
      <c r="Q37">
        <f>COUNTIFS([1]summary_table_v26_23SIs!$D$2:$D$1628,"="&amp;Q$16,[1]summary_table_v26_23SIs!$B$2:$B$1628,"="&amp;$H37)</f>
        <v>0</v>
      </c>
      <c r="R37">
        <f>COUNTIFS([1]summary_table_v26_23SIs!$D$2:$D$1628,"="&amp;R$16,[1]summary_table_v26_23SIs!$B$2:$B$1628,"="&amp;$H37)</f>
        <v>0</v>
      </c>
      <c r="S37">
        <f>COUNTIFS([1]summary_table_v26_23SIs!$D$2:$D$1628,"="&amp;S$16,[1]summary_table_v26_23SIs!$B$2:$B$1628,"="&amp;$H37)</f>
        <v>0</v>
      </c>
      <c r="T37">
        <f>COUNTIFS([1]summary_table_v26_23SIs!$D$2:$D$1628,"="&amp;T$16,[1]summary_table_v26_23SIs!$B$2:$B$1628,"="&amp;$H37)</f>
        <v>8</v>
      </c>
      <c r="U37">
        <f>COUNTIFS([1]summary_table_v26_23SIs!$D$2:$D$1628,"="&amp;U$16,[1]summary_table_v26_23SIs!$B$2:$B$1628,"="&amp;$H37)</f>
        <v>0</v>
      </c>
      <c r="V37">
        <f>COUNTIFS([1]summary_table_v26_23SIs!$D$2:$D$1628,"="&amp;V$16,[1]summary_table_v26_23SIs!$B$2:$B$1628,"="&amp;$H37)</f>
        <v>0</v>
      </c>
      <c r="W37">
        <f>COUNTIFS([1]summary_table_v26_23SIs!$D$2:$D$1628,"="&amp;W$16,[1]summary_table_v26_23SIs!$B$2:$B$1628,"="&amp;$H37)</f>
        <v>0</v>
      </c>
      <c r="X37">
        <f>COUNTIFS([1]summary_table_v26_23SIs!$D$2:$D$1628,"="&amp;X$16,[1]summary_table_v26_23SIs!$B$2:$B$1628,"="&amp;$H37)</f>
        <v>1</v>
      </c>
      <c r="Y37">
        <f>COUNTIFS([1]summary_table_v26_23SIs!$D$2:$D$1628,"="&amp;Y$16,[1]summary_table_v26_23SIs!$B$2:$B$1628,"="&amp;$H37)</f>
        <v>0</v>
      </c>
      <c r="Z37">
        <f>COUNTIFS([1]summary_table_v26_23SIs!$D$2:$D$1628,"="&amp;Z$16,[1]summary_table_v26_23SIs!$B$2:$B$1628,"="&amp;$H37)</f>
        <v>0</v>
      </c>
      <c r="AA37">
        <f>COUNTIFS([1]summary_table_v26_23SIs!$D$2:$D$1628,"="&amp;AA$16,[1]summary_table_v26_23SIs!$B$2:$B$1628,"="&amp;$H37)</f>
        <v>0</v>
      </c>
      <c r="AB37">
        <f>COUNTIFS([1]summary_table_v26_23SIs!$D$2:$D$1628,"="&amp;AB$16,[1]summary_table_v26_23SIs!$B$2:$B$1628,"="&amp;$H37)</f>
        <v>0</v>
      </c>
      <c r="AC37">
        <f>COUNTIFS([1]summary_table_v26_23SIs!$D$2:$D$1628,"="&amp;AC$16,[1]summary_table_v26_23SIs!$B$2:$B$1628,"="&amp;$H37)</f>
        <v>8</v>
      </c>
      <c r="AD37">
        <f>COUNTIFS([1]summary_table_v26_23SIs!$D$2:$D$1628,"="&amp;AD$16,[1]summary_table_v26_23SIs!$B$2:$B$1628,"="&amp;$H37)</f>
        <v>0</v>
      </c>
      <c r="AE37">
        <f>COUNTIFS([1]summary_table_v26_23SIs!$D$2:$D$1628,"="&amp;AE$16,[1]summary_table_v26_23SIs!$B$2:$B$1628,"="&amp;$H37)</f>
        <v>1</v>
      </c>
      <c r="AF37">
        <f>COUNTIFS([1]summary_table_v26_23SIs!$D$2:$D$1628,"="&amp;AF$16,[1]summary_table_v26_23SIs!$B$2:$B$1628,"="&amp;$H37)</f>
        <v>0</v>
      </c>
      <c r="AG37">
        <f>COUNTIFS([1]summary_table_v26_23SIs!$D$2:$D$1628,"="&amp;AG$16,[1]summary_table_v26_23SIs!$B$2:$B$1628,"="&amp;$H37)</f>
        <v>0</v>
      </c>
      <c r="AH37">
        <f>COUNTIFS([1]summary_table_v26_23SIs!$D$2:$D$1628,"="&amp;AH$16,[1]summary_table_v26_23SIs!$B$2:$B$1628,"="&amp;$H37)</f>
        <v>0</v>
      </c>
      <c r="AI37">
        <f>COUNTIFS([1]summary_table_v26_23SIs!$D$2:$D$1628,"="&amp;AI$16,[1]summary_table_v26_23SIs!$B$2:$B$1628,"="&amp;$H37)</f>
        <v>0</v>
      </c>
      <c r="AJ37" s="1" t="s">
        <v>87</v>
      </c>
      <c r="AM37" s="1" t="s">
        <v>93</v>
      </c>
      <c r="AN37" s="1"/>
    </row>
    <row r="38" spans="2:41" x14ac:dyDescent="0.2">
      <c r="B38" s="3">
        <f>'[1]Priority Indicators (n=23)'!A23</f>
        <v>4.3</v>
      </c>
      <c r="C38">
        <f>COUNTIF([1]summary_table_v26_23SIs!$D$2:$D$1628,"="&amp;$B38)</f>
        <v>11</v>
      </c>
      <c r="D38">
        <f>COUNTIF(AE$17:AE$43,"&gt;"&amp;0)</f>
        <v>3</v>
      </c>
      <c r="H38" s="2" t="s">
        <v>103</v>
      </c>
      <c r="I38" t="s">
        <v>102</v>
      </c>
      <c r="J38">
        <f>COUNTIFS([1]summary_table_v26_23SIs!$D$2:$D$1628,"="&amp;J$16,[1]summary_table_v26_23SIs!$B$2:$B$1628,"="&amp;$H38)</f>
        <v>0</v>
      </c>
      <c r="K38">
        <f>COUNTIFS([1]summary_table_v26_23SIs!$D$2:$D$1628,"="&amp;K$16,[1]summary_table_v26_23SIs!$B$2:$B$1628,"="&amp;$H38)</f>
        <v>0</v>
      </c>
      <c r="L38">
        <f>COUNTIFS([1]summary_table_v26_23SIs!$D$2:$D$1628,"="&amp;L$16,[1]summary_table_v26_23SIs!$B$2:$B$1628,"="&amp;$H38)</f>
        <v>0</v>
      </c>
      <c r="M38">
        <f>COUNTIFS([1]summary_table_v26_23SIs!$D$2:$D$1628,"="&amp;M$16,[1]summary_table_v26_23SIs!$B$2:$B$1628,"="&amp;$H38)</f>
        <v>0</v>
      </c>
      <c r="N38">
        <f>COUNTIFS([1]summary_table_v26_23SIs!$D$2:$D$1628,"="&amp;N$16,[1]summary_table_v26_23SIs!$B$2:$B$1628,"="&amp;$H38)</f>
        <v>0</v>
      </c>
      <c r="O38">
        <f>COUNTIFS([1]summary_table_v26_23SIs!$D$2:$D$1628,"="&amp;O$16,[1]summary_table_v26_23SIs!$B$2:$B$1628,"="&amp;$H38)</f>
        <v>0</v>
      </c>
      <c r="P38">
        <f>COUNTIFS([1]summary_table_v26_23SIs!$D$2:$D$1628,"="&amp;P$16,[1]summary_table_v26_23SIs!$B$2:$B$1628,"="&amp;$H38)</f>
        <v>0</v>
      </c>
      <c r="Q38">
        <f>COUNTIFS([1]summary_table_v26_23SIs!$D$2:$D$1628,"="&amp;Q$16,[1]summary_table_v26_23SIs!$B$2:$B$1628,"="&amp;$H38)</f>
        <v>0</v>
      </c>
      <c r="R38">
        <f>COUNTIFS([1]summary_table_v26_23SIs!$D$2:$D$1628,"="&amp;R$16,[1]summary_table_v26_23SIs!$B$2:$B$1628,"="&amp;$H38)</f>
        <v>0</v>
      </c>
      <c r="S38">
        <f>COUNTIFS([1]summary_table_v26_23SIs!$D$2:$D$1628,"="&amp;S$16,[1]summary_table_v26_23SIs!$B$2:$B$1628,"="&amp;$H38)</f>
        <v>0</v>
      </c>
      <c r="T38">
        <f>COUNTIFS([1]summary_table_v26_23SIs!$D$2:$D$1628,"="&amp;T$16,[1]summary_table_v26_23SIs!$B$2:$B$1628,"="&amp;$H38)</f>
        <v>0</v>
      </c>
      <c r="U38">
        <f>COUNTIFS([1]summary_table_v26_23SIs!$D$2:$D$1628,"="&amp;U$16,[1]summary_table_v26_23SIs!$B$2:$B$1628,"="&amp;$H38)</f>
        <v>0</v>
      </c>
      <c r="V38">
        <f>COUNTIFS([1]summary_table_v26_23SIs!$D$2:$D$1628,"="&amp;V$16,[1]summary_table_v26_23SIs!$B$2:$B$1628,"="&amp;$H38)</f>
        <v>0</v>
      </c>
      <c r="W38">
        <f>COUNTIFS([1]summary_table_v26_23SIs!$D$2:$D$1628,"="&amp;W$16,[1]summary_table_v26_23SIs!$B$2:$B$1628,"="&amp;$H38)</f>
        <v>0</v>
      </c>
      <c r="X38">
        <f>COUNTIFS([1]summary_table_v26_23SIs!$D$2:$D$1628,"="&amp;X$16,[1]summary_table_v26_23SIs!$B$2:$B$1628,"="&amp;$H38)</f>
        <v>0</v>
      </c>
      <c r="Y38">
        <f>COUNTIFS([1]summary_table_v26_23SIs!$D$2:$D$1628,"="&amp;Y$16,[1]summary_table_v26_23SIs!$B$2:$B$1628,"="&amp;$H38)</f>
        <v>0</v>
      </c>
      <c r="Z38">
        <f>COUNTIFS([1]summary_table_v26_23SIs!$D$2:$D$1628,"="&amp;Z$16,[1]summary_table_v26_23SIs!$B$2:$B$1628,"="&amp;$H38)</f>
        <v>0</v>
      </c>
      <c r="AA38">
        <f>COUNTIFS([1]summary_table_v26_23SIs!$D$2:$D$1628,"="&amp;AA$16,[1]summary_table_v26_23SIs!$B$2:$B$1628,"="&amp;$H38)</f>
        <v>0</v>
      </c>
      <c r="AB38">
        <f>COUNTIFS([1]summary_table_v26_23SIs!$D$2:$D$1628,"="&amp;AB$16,[1]summary_table_v26_23SIs!$B$2:$B$1628,"="&amp;$H38)</f>
        <v>0</v>
      </c>
      <c r="AC38">
        <f>COUNTIFS([1]summary_table_v26_23SIs!$D$2:$D$1628,"="&amp;AC$16,[1]summary_table_v26_23SIs!$B$2:$B$1628,"="&amp;$H38)</f>
        <v>0</v>
      </c>
      <c r="AD38">
        <f>COUNTIFS([1]summary_table_v26_23SIs!$D$2:$D$1628,"="&amp;AD$16,[1]summary_table_v26_23SIs!$B$2:$B$1628,"="&amp;$H38)</f>
        <v>0</v>
      </c>
      <c r="AE38">
        <f>COUNTIFS([1]summary_table_v26_23SIs!$D$2:$D$1628,"="&amp;AE$16,[1]summary_table_v26_23SIs!$B$2:$B$1628,"="&amp;$H38)</f>
        <v>0</v>
      </c>
      <c r="AF38">
        <f>COUNTIFS([1]summary_table_v26_23SIs!$D$2:$D$1628,"="&amp;AF$16,[1]summary_table_v26_23SIs!$B$2:$B$1628,"="&amp;$H38)</f>
        <v>0</v>
      </c>
      <c r="AG38">
        <f>COUNTIFS([1]summary_table_v26_23SIs!$D$2:$D$1628,"="&amp;AG$16,[1]summary_table_v26_23SIs!$B$2:$B$1628,"="&amp;$H38)</f>
        <v>0</v>
      </c>
      <c r="AH38">
        <f>COUNTIFS([1]summary_table_v26_23SIs!$D$2:$D$1628,"="&amp;AH$16,[1]summary_table_v26_23SIs!$B$2:$B$1628,"="&amp;$H38)</f>
        <v>0</v>
      </c>
      <c r="AI38">
        <f>COUNTIFS([1]summary_table_v26_23SIs!$D$2:$D$1628,"="&amp;AI$16,[1]summary_table_v26_23SIs!$B$2:$B$1628,"="&amp;$H38)</f>
        <v>0</v>
      </c>
      <c r="AN38" s="1"/>
      <c r="AO38" s="1" t="s">
        <v>140</v>
      </c>
    </row>
    <row r="39" spans="2:41" x14ac:dyDescent="0.2">
      <c r="B39" s="3">
        <f>'[1]Priority Indicators (n=23)'!A24</f>
        <v>4.4000000000000004</v>
      </c>
      <c r="C39">
        <f>COUNTIF([1]summary_table_v26_23SIs!$D$2:$D$1628,"="&amp;$B39)</f>
        <v>0</v>
      </c>
      <c r="D39">
        <f>COUNTIF(AF$17:AF$43,"&gt;"&amp;0)</f>
        <v>0</v>
      </c>
      <c r="H39" s="2" t="s">
        <v>101</v>
      </c>
      <c r="I39" t="s">
        <v>100</v>
      </c>
      <c r="J39">
        <f>COUNTIFS([1]summary_table_v26_23SIs!$D$2:$D$1628,"="&amp;J$16,[1]summary_table_v26_23SIs!$B$2:$B$1628,"="&amp;$H39)</f>
        <v>10</v>
      </c>
      <c r="K39">
        <f>COUNTIFS([1]summary_table_v26_23SIs!$D$2:$D$1628,"="&amp;K$16,[1]summary_table_v26_23SIs!$B$2:$B$1628,"="&amp;$H39)</f>
        <v>0</v>
      </c>
      <c r="L39">
        <f>COUNTIFS([1]summary_table_v26_23SIs!$D$2:$D$1628,"="&amp;L$16,[1]summary_table_v26_23SIs!$B$2:$B$1628,"="&amp;$H39)</f>
        <v>0</v>
      </c>
      <c r="M39">
        <f>COUNTIFS([1]summary_table_v26_23SIs!$D$2:$D$1628,"="&amp;M$16,[1]summary_table_v26_23SIs!$B$2:$B$1628,"="&amp;$H39)</f>
        <v>5</v>
      </c>
      <c r="N39">
        <f>COUNTIFS([1]summary_table_v26_23SIs!$D$2:$D$1628,"="&amp;N$16,[1]summary_table_v26_23SIs!$B$2:$B$1628,"="&amp;$H39)</f>
        <v>0</v>
      </c>
      <c r="O39">
        <f>COUNTIFS([1]summary_table_v26_23SIs!$D$2:$D$1628,"="&amp;O$16,[1]summary_table_v26_23SIs!$B$2:$B$1628,"="&amp;$H39)</f>
        <v>0</v>
      </c>
      <c r="P39">
        <f>COUNTIFS([1]summary_table_v26_23SIs!$D$2:$D$1628,"="&amp;P$16,[1]summary_table_v26_23SIs!$B$2:$B$1628,"="&amp;$H39)</f>
        <v>0</v>
      </c>
      <c r="Q39">
        <f>COUNTIFS([1]summary_table_v26_23SIs!$D$2:$D$1628,"="&amp;Q$16,[1]summary_table_v26_23SIs!$B$2:$B$1628,"="&amp;$H39)</f>
        <v>0</v>
      </c>
      <c r="R39">
        <f>COUNTIFS([1]summary_table_v26_23SIs!$D$2:$D$1628,"="&amp;R$16,[1]summary_table_v26_23SIs!$B$2:$B$1628,"="&amp;$H39)</f>
        <v>0</v>
      </c>
      <c r="S39">
        <f>COUNTIFS([1]summary_table_v26_23SIs!$D$2:$D$1628,"="&amp;S$16,[1]summary_table_v26_23SIs!$B$2:$B$1628,"="&amp;$H39)</f>
        <v>0</v>
      </c>
      <c r="T39">
        <f>COUNTIFS([1]summary_table_v26_23SIs!$D$2:$D$1628,"="&amp;T$16,[1]summary_table_v26_23SIs!$B$2:$B$1628,"="&amp;$H39)</f>
        <v>5</v>
      </c>
      <c r="U39">
        <f>COUNTIFS([1]summary_table_v26_23SIs!$D$2:$D$1628,"="&amp;U$16,[1]summary_table_v26_23SIs!$B$2:$B$1628,"="&amp;$H39)</f>
        <v>0</v>
      </c>
      <c r="V39">
        <f>COUNTIFS([1]summary_table_v26_23SIs!$D$2:$D$1628,"="&amp;V$16,[1]summary_table_v26_23SIs!$B$2:$B$1628,"="&amp;$H39)</f>
        <v>0</v>
      </c>
      <c r="W39">
        <f>COUNTIFS([1]summary_table_v26_23SIs!$D$2:$D$1628,"="&amp;W$16,[1]summary_table_v26_23SIs!$B$2:$B$1628,"="&amp;$H39)</f>
        <v>0</v>
      </c>
      <c r="X39">
        <f>COUNTIFS([1]summary_table_v26_23SIs!$D$2:$D$1628,"="&amp;X$16,[1]summary_table_v26_23SIs!$B$2:$B$1628,"="&amp;$H39)</f>
        <v>1</v>
      </c>
      <c r="Y39">
        <f>COUNTIFS([1]summary_table_v26_23SIs!$D$2:$D$1628,"="&amp;Y$16,[1]summary_table_v26_23SIs!$B$2:$B$1628,"="&amp;$H39)</f>
        <v>0</v>
      </c>
      <c r="Z39">
        <f>COUNTIFS([1]summary_table_v26_23SIs!$D$2:$D$1628,"="&amp;Z$16,[1]summary_table_v26_23SIs!$B$2:$B$1628,"="&amp;$H39)</f>
        <v>51</v>
      </c>
      <c r="AA39">
        <f>COUNTIFS([1]summary_table_v26_23SIs!$D$2:$D$1628,"="&amp;AA$16,[1]summary_table_v26_23SIs!$B$2:$B$1628,"="&amp;$H39)</f>
        <v>0</v>
      </c>
      <c r="AB39">
        <f>COUNTIFS([1]summary_table_v26_23SIs!$D$2:$D$1628,"="&amp;AB$16,[1]summary_table_v26_23SIs!$B$2:$B$1628,"="&amp;$H39)</f>
        <v>0</v>
      </c>
      <c r="AC39">
        <f>COUNTIFS([1]summary_table_v26_23SIs!$D$2:$D$1628,"="&amp;AC$16,[1]summary_table_v26_23SIs!$B$2:$B$1628,"="&amp;$H39)</f>
        <v>10</v>
      </c>
      <c r="AD39">
        <f>COUNTIFS([1]summary_table_v26_23SIs!$D$2:$D$1628,"="&amp;AD$16,[1]summary_table_v26_23SIs!$B$2:$B$1628,"="&amp;$H39)</f>
        <v>0</v>
      </c>
      <c r="AE39">
        <f>COUNTIFS([1]summary_table_v26_23SIs!$D$2:$D$1628,"="&amp;AE$16,[1]summary_table_v26_23SIs!$B$2:$B$1628,"="&amp;$H39)</f>
        <v>0</v>
      </c>
      <c r="AF39">
        <f>COUNTIFS([1]summary_table_v26_23SIs!$D$2:$D$1628,"="&amp;AF$16,[1]summary_table_v26_23SIs!$B$2:$B$1628,"="&amp;$H39)</f>
        <v>0</v>
      </c>
      <c r="AG39">
        <f>COUNTIFS([1]summary_table_v26_23SIs!$D$2:$D$1628,"="&amp;AG$16,[1]summary_table_v26_23SIs!$B$2:$B$1628,"="&amp;$H39)</f>
        <v>0</v>
      </c>
      <c r="AH39">
        <f>COUNTIFS([1]summary_table_v26_23SIs!$D$2:$D$1628,"="&amp;AH$16,[1]summary_table_v26_23SIs!$B$2:$B$1628,"="&amp;$H39)</f>
        <v>0</v>
      </c>
      <c r="AI39">
        <f>COUNTIFS([1]summary_table_v26_23SIs!$D$2:$D$1628,"="&amp;AI$16,[1]summary_table_v26_23SIs!$B$2:$B$1628,"="&amp;$H39)</f>
        <v>0</v>
      </c>
      <c r="AJ39" s="1" t="s">
        <v>87</v>
      </c>
      <c r="AN39" s="1" t="s">
        <v>99</v>
      </c>
      <c r="AO39" s="1" t="s">
        <v>98</v>
      </c>
    </row>
    <row r="40" spans="2:41" x14ac:dyDescent="0.2">
      <c r="B40" s="3">
        <f>'[1]Priority Indicators (n=23)'!A25</f>
        <v>4.5</v>
      </c>
      <c r="C40">
        <f>COUNTIF([1]summary_table_v26_23SIs!$D$2:$D$1628,"="&amp;$B40)</f>
        <v>35</v>
      </c>
      <c r="D40">
        <f>COUNTIF(AG$17:AG$43,"&gt;"&amp;0)</f>
        <v>7</v>
      </c>
      <c r="H40" s="2" t="s">
        <v>97</v>
      </c>
      <c r="I40" t="s">
        <v>96</v>
      </c>
      <c r="J40">
        <f>COUNTIFS([1]summary_table_v26_23SIs!$D$2:$D$1628,"="&amp;J$16,[1]summary_table_v26_23SIs!$B$2:$B$1628,"="&amp;$H40)</f>
        <v>25</v>
      </c>
      <c r="K40">
        <f>COUNTIFS([1]summary_table_v26_23SIs!$D$2:$D$1628,"="&amp;K$16,[1]summary_table_v26_23SIs!$B$2:$B$1628,"="&amp;$H40)</f>
        <v>0</v>
      </c>
      <c r="L40">
        <f>COUNTIFS([1]summary_table_v26_23SIs!$D$2:$D$1628,"="&amp;L$16,[1]summary_table_v26_23SIs!$B$2:$B$1628,"="&amp;$H40)</f>
        <v>0</v>
      </c>
      <c r="M40">
        <f>COUNTIFS([1]summary_table_v26_23SIs!$D$2:$D$1628,"="&amp;M$16,[1]summary_table_v26_23SIs!$B$2:$B$1628,"="&amp;$H40)</f>
        <v>0</v>
      </c>
      <c r="N40">
        <f>COUNTIFS([1]summary_table_v26_23SIs!$D$2:$D$1628,"="&amp;N$16,[1]summary_table_v26_23SIs!$B$2:$B$1628,"="&amp;$H40)</f>
        <v>0</v>
      </c>
      <c r="O40">
        <f>COUNTIFS([1]summary_table_v26_23SIs!$D$2:$D$1628,"="&amp;O$16,[1]summary_table_v26_23SIs!$B$2:$B$1628,"="&amp;$H40)</f>
        <v>0</v>
      </c>
      <c r="P40">
        <f>COUNTIFS([1]summary_table_v26_23SIs!$D$2:$D$1628,"="&amp;P$16,[1]summary_table_v26_23SIs!$B$2:$B$1628,"="&amp;$H40)</f>
        <v>0</v>
      </c>
      <c r="Q40">
        <f>COUNTIFS([1]summary_table_v26_23SIs!$D$2:$D$1628,"="&amp;Q$16,[1]summary_table_v26_23SIs!$B$2:$B$1628,"="&amp;$H40)</f>
        <v>0</v>
      </c>
      <c r="R40">
        <f>COUNTIFS([1]summary_table_v26_23SIs!$D$2:$D$1628,"="&amp;R$16,[1]summary_table_v26_23SIs!$B$2:$B$1628,"="&amp;$H40)</f>
        <v>0</v>
      </c>
      <c r="S40">
        <f>COUNTIFS([1]summary_table_v26_23SIs!$D$2:$D$1628,"="&amp;S$16,[1]summary_table_v26_23SIs!$B$2:$B$1628,"="&amp;$H40)</f>
        <v>0</v>
      </c>
      <c r="T40">
        <f>COUNTIFS([1]summary_table_v26_23SIs!$D$2:$D$1628,"="&amp;T$16,[1]summary_table_v26_23SIs!$B$2:$B$1628,"="&amp;$H40)</f>
        <v>0</v>
      </c>
      <c r="U40">
        <f>COUNTIFS([1]summary_table_v26_23SIs!$D$2:$D$1628,"="&amp;U$16,[1]summary_table_v26_23SIs!$B$2:$B$1628,"="&amp;$H40)</f>
        <v>0</v>
      </c>
      <c r="V40">
        <f>COUNTIFS([1]summary_table_v26_23SIs!$D$2:$D$1628,"="&amp;V$16,[1]summary_table_v26_23SIs!$B$2:$B$1628,"="&amp;$H40)</f>
        <v>0</v>
      </c>
      <c r="W40">
        <f>COUNTIFS([1]summary_table_v26_23SIs!$D$2:$D$1628,"="&amp;W$16,[1]summary_table_v26_23SIs!$B$2:$B$1628,"="&amp;$H40)</f>
        <v>20</v>
      </c>
      <c r="X40">
        <f>COUNTIFS([1]summary_table_v26_23SIs!$D$2:$D$1628,"="&amp;X$16,[1]summary_table_v26_23SIs!$B$2:$B$1628,"="&amp;$H40)</f>
        <v>1</v>
      </c>
      <c r="Y40">
        <f>COUNTIFS([1]summary_table_v26_23SIs!$D$2:$D$1628,"="&amp;Y$16,[1]summary_table_v26_23SIs!$B$2:$B$1628,"="&amp;$H40)</f>
        <v>0</v>
      </c>
      <c r="Z40">
        <f>COUNTIFS([1]summary_table_v26_23SIs!$D$2:$D$1628,"="&amp;Z$16,[1]summary_table_v26_23SIs!$B$2:$B$1628,"="&amp;$H40)</f>
        <v>0</v>
      </c>
      <c r="AA40">
        <f>COUNTIFS([1]summary_table_v26_23SIs!$D$2:$D$1628,"="&amp;AA$16,[1]summary_table_v26_23SIs!$B$2:$B$1628,"="&amp;$H40)</f>
        <v>0</v>
      </c>
      <c r="AB40">
        <f>COUNTIFS([1]summary_table_v26_23SIs!$D$2:$D$1628,"="&amp;AB$16,[1]summary_table_v26_23SIs!$B$2:$B$1628,"="&amp;$H40)</f>
        <v>0</v>
      </c>
      <c r="AC40">
        <f>COUNTIFS([1]summary_table_v26_23SIs!$D$2:$D$1628,"="&amp;AC$16,[1]summary_table_v26_23SIs!$B$2:$B$1628,"="&amp;$H40)</f>
        <v>10</v>
      </c>
      <c r="AD40">
        <f>COUNTIFS([1]summary_table_v26_23SIs!$D$2:$D$1628,"="&amp;AD$16,[1]summary_table_v26_23SIs!$B$2:$B$1628,"="&amp;$H40)</f>
        <v>0</v>
      </c>
      <c r="AE40">
        <f>COUNTIFS([1]summary_table_v26_23SIs!$D$2:$D$1628,"="&amp;AE$16,[1]summary_table_v26_23SIs!$B$2:$B$1628,"="&amp;$H40)</f>
        <v>0</v>
      </c>
      <c r="AF40">
        <f>COUNTIFS([1]summary_table_v26_23SIs!$D$2:$D$1628,"="&amp;AF$16,[1]summary_table_v26_23SIs!$B$2:$B$1628,"="&amp;$H40)</f>
        <v>0</v>
      </c>
      <c r="AG40">
        <f>COUNTIFS([1]summary_table_v26_23SIs!$D$2:$D$1628,"="&amp;AG$16,[1]summary_table_v26_23SIs!$B$2:$B$1628,"="&amp;$H40)</f>
        <v>0</v>
      </c>
      <c r="AH40">
        <f>COUNTIFS([1]summary_table_v26_23SIs!$D$2:$D$1628,"="&amp;AH$16,[1]summary_table_v26_23SIs!$B$2:$B$1628,"="&amp;$H40)</f>
        <v>0</v>
      </c>
      <c r="AI40">
        <f>COUNTIFS([1]summary_table_v26_23SIs!$D$2:$D$1628,"="&amp;AI$16,[1]summary_table_v26_23SIs!$B$2:$B$1628,"="&amp;$H40)</f>
        <v>0</v>
      </c>
      <c r="AM40" s="1" t="s">
        <v>93</v>
      </c>
      <c r="AN40" s="1"/>
    </row>
    <row r="41" spans="2:41" x14ac:dyDescent="0.2">
      <c r="B41" s="3">
        <f>'[1]Priority Indicators (n=23)'!A26</f>
        <v>4.5999999999999996</v>
      </c>
      <c r="C41">
        <f>COUNTIF([1]summary_table_v26_23SIs!$D$2:$D$1628,"="&amp;$B41)</f>
        <v>0</v>
      </c>
      <c r="D41">
        <f>COUNTIF(AH$17:AH$43,"&gt;"&amp;0)</f>
        <v>0</v>
      </c>
      <c r="H41" s="2" t="s">
        <v>95</v>
      </c>
      <c r="I41" t="s">
        <v>94</v>
      </c>
      <c r="J41">
        <f>COUNTIFS([1]summary_table_v26_23SIs!$D$2:$D$1628,"="&amp;J$16,[1]summary_table_v26_23SIs!$B$2:$B$1628,"="&amp;$H41)</f>
        <v>3</v>
      </c>
      <c r="K41">
        <f>COUNTIFS([1]summary_table_v26_23SIs!$D$2:$D$1628,"="&amp;K$16,[1]summary_table_v26_23SIs!$B$2:$B$1628,"="&amp;$H41)</f>
        <v>0</v>
      </c>
      <c r="L41">
        <f>COUNTIFS([1]summary_table_v26_23SIs!$D$2:$D$1628,"="&amp;L$16,[1]summary_table_v26_23SIs!$B$2:$B$1628,"="&amp;$H41)</f>
        <v>0</v>
      </c>
      <c r="M41">
        <f>COUNTIFS([1]summary_table_v26_23SIs!$D$2:$D$1628,"="&amp;M$16,[1]summary_table_v26_23SIs!$B$2:$B$1628,"="&amp;$H41)</f>
        <v>0</v>
      </c>
      <c r="N41">
        <f>COUNTIFS([1]summary_table_v26_23SIs!$D$2:$D$1628,"="&amp;N$16,[1]summary_table_v26_23SIs!$B$2:$B$1628,"="&amp;$H41)</f>
        <v>6</v>
      </c>
      <c r="O41">
        <f>COUNTIFS([1]summary_table_v26_23SIs!$D$2:$D$1628,"="&amp;O$16,[1]summary_table_v26_23SIs!$B$2:$B$1628,"="&amp;$H41)</f>
        <v>0</v>
      </c>
      <c r="P41">
        <f>COUNTIFS([1]summary_table_v26_23SIs!$D$2:$D$1628,"="&amp;P$16,[1]summary_table_v26_23SIs!$B$2:$B$1628,"="&amp;$H41)</f>
        <v>0</v>
      </c>
      <c r="Q41">
        <f>COUNTIFS([1]summary_table_v26_23SIs!$D$2:$D$1628,"="&amp;Q$16,[1]summary_table_v26_23SIs!$B$2:$B$1628,"="&amp;$H41)</f>
        <v>0</v>
      </c>
      <c r="R41">
        <f>COUNTIFS([1]summary_table_v26_23SIs!$D$2:$D$1628,"="&amp;R$16,[1]summary_table_v26_23SIs!$B$2:$B$1628,"="&amp;$H41)</f>
        <v>0</v>
      </c>
      <c r="S41">
        <f>COUNTIFS([1]summary_table_v26_23SIs!$D$2:$D$1628,"="&amp;S$16,[1]summary_table_v26_23SIs!$B$2:$B$1628,"="&amp;$H41)</f>
        <v>0</v>
      </c>
      <c r="T41">
        <f>COUNTIFS([1]summary_table_v26_23SIs!$D$2:$D$1628,"="&amp;T$16,[1]summary_table_v26_23SIs!$B$2:$B$1628,"="&amp;$H41)</f>
        <v>0</v>
      </c>
      <c r="U41">
        <f>COUNTIFS([1]summary_table_v26_23SIs!$D$2:$D$1628,"="&amp;U$16,[1]summary_table_v26_23SIs!$B$2:$B$1628,"="&amp;$H41)</f>
        <v>0</v>
      </c>
      <c r="V41">
        <f>COUNTIFS([1]summary_table_v26_23SIs!$D$2:$D$1628,"="&amp;V$16,[1]summary_table_v26_23SIs!$B$2:$B$1628,"="&amp;$H41)</f>
        <v>0</v>
      </c>
      <c r="W41">
        <f>COUNTIFS([1]summary_table_v26_23SIs!$D$2:$D$1628,"="&amp;W$16,[1]summary_table_v26_23SIs!$B$2:$B$1628,"="&amp;$H41)</f>
        <v>0</v>
      </c>
      <c r="X41">
        <f>COUNTIFS([1]summary_table_v26_23SIs!$D$2:$D$1628,"="&amp;X$16,[1]summary_table_v26_23SIs!$B$2:$B$1628,"="&amp;$H41)</f>
        <v>1</v>
      </c>
      <c r="Y41">
        <f>COUNTIFS([1]summary_table_v26_23SIs!$D$2:$D$1628,"="&amp;Y$16,[1]summary_table_v26_23SIs!$B$2:$B$1628,"="&amp;$H41)</f>
        <v>0</v>
      </c>
      <c r="Z41">
        <f>COUNTIFS([1]summary_table_v26_23SIs!$D$2:$D$1628,"="&amp;Z$16,[1]summary_table_v26_23SIs!$B$2:$B$1628,"="&amp;$H41)</f>
        <v>90</v>
      </c>
      <c r="AA41">
        <f>COUNTIFS([1]summary_table_v26_23SIs!$D$2:$D$1628,"="&amp;AA$16,[1]summary_table_v26_23SIs!$B$2:$B$1628,"="&amp;$H41)</f>
        <v>0</v>
      </c>
      <c r="AB41">
        <f>COUNTIFS([1]summary_table_v26_23SIs!$D$2:$D$1628,"="&amp;AB$16,[1]summary_table_v26_23SIs!$B$2:$B$1628,"="&amp;$H41)</f>
        <v>0</v>
      </c>
      <c r="AC41">
        <f>COUNTIFS([1]summary_table_v26_23SIs!$D$2:$D$1628,"="&amp;AC$16,[1]summary_table_v26_23SIs!$B$2:$B$1628,"="&amp;$H41)</f>
        <v>8</v>
      </c>
      <c r="AD41">
        <f>COUNTIFS([1]summary_table_v26_23SIs!$D$2:$D$1628,"="&amp;AD$16,[1]summary_table_v26_23SIs!$B$2:$B$1628,"="&amp;$H41)</f>
        <v>0</v>
      </c>
      <c r="AE41">
        <f>COUNTIFS([1]summary_table_v26_23SIs!$D$2:$D$1628,"="&amp;AE$16,[1]summary_table_v26_23SIs!$B$2:$B$1628,"="&amp;$H41)</f>
        <v>0</v>
      </c>
      <c r="AF41">
        <f>COUNTIFS([1]summary_table_v26_23SIs!$D$2:$D$1628,"="&amp;AF$16,[1]summary_table_v26_23SIs!$B$2:$B$1628,"="&amp;$H41)</f>
        <v>0</v>
      </c>
      <c r="AG41">
        <f>COUNTIFS([1]summary_table_v26_23SIs!$D$2:$D$1628,"="&amp;AG$16,[1]summary_table_v26_23SIs!$B$2:$B$1628,"="&amp;$H41)</f>
        <v>0</v>
      </c>
      <c r="AH41">
        <f>COUNTIFS([1]summary_table_v26_23SIs!$D$2:$D$1628,"="&amp;AH$16,[1]summary_table_v26_23SIs!$B$2:$B$1628,"="&amp;$H41)</f>
        <v>0</v>
      </c>
      <c r="AI41">
        <f>COUNTIFS([1]summary_table_v26_23SIs!$D$2:$D$1628,"="&amp;AI$16,[1]summary_table_v26_23SIs!$B$2:$B$1628,"="&amp;$H41)</f>
        <v>0</v>
      </c>
      <c r="AJ41" s="1" t="s">
        <v>87</v>
      </c>
      <c r="AM41" s="1" t="s">
        <v>93</v>
      </c>
      <c r="AN41" s="1"/>
    </row>
    <row r="42" spans="2:41" x14ac:dyDescent="0.2">
      <c r="B42" s="3">
        <f>'[1]Priority Indicators (n=23)'!A27</f>
        <v>4.7</v>
      </c>
      <c r="C42">
        <f>COUNTIF([1]summary_table_v26_23SIs!$D$2:$D$1628,"="&amp;$B42)</f>
        <v>0</v>
      </c>
      <c r="D42">
        <f>COUNTIF(AI$17:AI$43,"&gt;"&amp;0)</f>
        <v>0</v>
      </c>
      <c r="H42" s="2" t="s">
        <v>92</v>
      </c>
      <c r="I42" t="s">
        <v>91</v>
      </c>
      <c r="J42">
        <f>COUNTIFS([1]summary_table_v26_23SIs!$D$2:$D$1628,"="&amp;J$16,[1]summary_table_v26_23SIs!$B$2:$B$1628,"="&amp;$H42)</f>
        <v>24</v>
      </c>
      <c r="K42">
        <f>COUNTIFS([1]summary_table_v26_23SIs!$D$2:$D$1628,"="&amp;K$16,[1]summary_table_v26_23SIs!$B$2:$B$1628,"="&amp;$H42)</f>
        <v>0</v>
      </c>
      <c r="L42">
        <f>COUNTIFS([1]summary_table_v26_23SIs!$D$2:$D$1628,"="&amp;L$16,[1]summary_table_v26_23SIs!$B$2:$B$1628,"="&amp;$H42)</f>
        <v>0</v>
      </c>
      <c r="M42">
        <f>COUNTIFS([1]summary_table_v26_23SIs!$D$2:$D$1628,"="&amp;M$16,[1]summary_table_v26_23SIs!$B$2:$B$1628,"="&amp;$H42)</f>
        <v>0</v>
      </c>
      <c r="N42">
        <f>COUNTIFS([1]summary_table_v26_23SIs!$D$2:$D$1628,"="&amp;N$16,[1]summary_table_v26_23SIs!$B$2:$B$1628,"="&amp;$H42)</f>
        <v>0</v>
      </c>
      <c r="O42">
        <f>COUNTIFS([1]summary_table_v26_23SIs!$D$2:$D$1628,"="&amp;O$16,[1]summary_table_v26_23SIs!$B$2:$B$1628,"="&amp;$H42)</f>
        <v>0</v>
      </c>
      <c r="P42">
        <f>COUNTIFS([1]summary_table_v26_23SIs!$D$2:$D$1628,"="&amp;P$16,[1]summary_table_v26_23SIs!$B$2:$B$1628,"="&amp;$H42)</f>
        <v>0</v>
      </c>
      <c r="Q42">
        <f>COUNTIFS([1]summary_table_v26_23SIs!$D$2:$D$1628,"="&amp;Q$16,[1]summary_table_v26_23SIs!$B$2:$B$1628,"="&amp;$H42)</f>
        <v>0</v>
      </c>
      <c r="R42">
        <f>COUNTIFS([1]summary_table_v26_23SIs!$D$2:$D$1628,"="&amp;R$16,[1]summary_table_v26_23SIs!$B$2:$B$1628,"="&amp;$H42)</f>
        <v>0</v>
      </c>
      <c r="S42">
        <f>COUNTIFS([1]summary_table_v26_23SIs!$D$2:$D$1628,"="&amp;S$16,[1]summary_table_v26_23SIs!$B$2:$B$1628,"="&amp;$H42)</f>
        <v>0</v>
      </c>
      <c r="T42">
        <f>COUNTIFS([1]summary_table_v26_23SIs!$D$2:$D$1628,"="&amp;T$16,[1]summary_table_v26_23SIs!$B$2:$B$1628,"="&amp;$H42)</f>
        <v>0</v>
      </c>
      <c r="U42">
        <f>COUNTIFS([1]summary_table_v26_23SIs!$D$2:$D$1628,"="&amp;U$16,[1]summary_table_v26_23SIs!$B$2:$B$1628,"="&amp;$H42)</f>
        <v>0</v>
      </c>
      <c r="V42">
        <f>COUNTIFS([1]summary_table_v26_23SIs!$D$2:$D$1628,"="&amp;V$16,[1]summary_table_v26_23SIs!$B$2:$B$1628,"="&amp;$H42)</f>
        <v>0</v>
      </c>
      <c r="W42">
        <f>COUNTIFS([1]summary_table_v26_23SIs!$D$2:$D$1628,"="&amp;W$16,[1]summary_table_v26_23SIs!$B$2:$B$1628,"="&amp;$H42)</f>
        <v>17</v>
      </c>
      <c r="X42">
        <f>COUNTIFS([1]summary_table_v26_23SIs!$D$2:$D$1628,"="&amp;X$16,[1]summary_table_v26_23SIs!$B$2:$B$1628,"="&amp;$H42)</f>
        <v>1</v>
      </c>
      <c r="Y42">
        <f>COUNTIFS([1]summary_table_v26_23SIs!$D$2:$D$1628,"="&amp;Y$16,[1]summary_table_v26_23SIs!$B$2:$B$1628,"="&amp;$H42)</f>
        <v>0</v>
      </c>
      <c r="Z42">
        <f>COUNTIFS([1]summary_table_v26_23SIs!$D$2:$D$1628,"="&amp;Z$16,[1]summary_table_v26_23SIs!$B$2:$B$1628,"="&amp;$H42)</f>
        <v>162</v>
      </c>
      <c r="AA42">
        <f>COUNTIFS([1]summary_table_v26_23SIs!$D$2:$D$1628,"="&amp;AA$16,[1]summary_table_v26_23SIs!$B$2:$B$1628,"="&amp;$H42)</f>
        <v>0</v>
      </c>
      <c r="AB42">
        <f>COUNTIFS([1]summary_table_v26_23SIs!$D$2:$D$1628,"="&amp;AB$16,[1]summary_table_v26_23SIs!$B$2:$B$1628,"="&amp;$H42)</f>
        <v>0</v>
      </c>
      <c r="AC42">
        <f>COUNTIFS([1]summary_table_v26_23SIs!$D$2:$D$1628,"="&amp;AC$16,[1]summary_table_v26_23SIs!$B$2:$B$1628,"="&amp;$H42)</f>
        <v>2</v>
      </c>
      <c r="AD42">
        <f>COUNTIFS([1]summary_table_v26_23SIs!$D$2:$D$1628,"="&amp;AD$16,[1]summary_table_v26_23SIs!$B$2:$B$1628,"="&amp;$H42)</f>
        <v>0</v>
      </c>
      <c r="AE42">
        <f>COUNTIFS([1]summary_table_v26_23SIs!$D$2:$D$1628,"="&amp;AE$16,[1]summary_table_v26_23SIs!$B$2:$B$1628,"="&amp;$H42)</f>
        <v>0</v>
      </c>
      <c r="AF42">
        <f>COUNTIFS([1]summary_table_v26_23SIs!$D$2:$D$1628,"="&amp;AF$16,[1]summary_table_v26_23SIs!$B$2:$B$1628,"="&amp;$H42)</f>
        <v>0</v>
      </c>
      <c r="AG42">
        <f>COUNTIFS([1]summary_table_v26_23SIs!$D$2:$D$1628,"="&amp;AG$16,[1]summary_table_v26_23SIs!$B$2:$B$1628,"="&amp;$H42)</f>
        <v>0</v>
      </c>
      <c r="AH42">
        <f>COUNTIFS([1]summary_table_v26_23SIs!$D$2:$D$1628,"="&amp;AH$16,[1]summary_table_v26_23SIs!$B$2:$B$1628,"="&amp;$H42)</f>
        <v>0</v>
      </c>
      <c r="AI42">
        <f>COUNTIFS([1]summary_table_v26_23SIs!$D$2:$D$1628,"="&amp;AI$16,[1]summary_table_v26_23SIs!$B$2:$B$1628,"="&amp;$H42)</f>
        <v>0</v>
      </c>
      <c r="AK42" s="1" t="s">
        <v>90</v>
      </c>
      <c r="AN42" s="1"/>
    </row>
    <row r="43" spans="2:41" x14ac:dyDescent="0.2">
      <c r="B43" s="7" t="s">
        <v>85</v>
      </c>
      <c r="C43" s="6">
        <f>SUM(C17:C42)</f>
        <v>1627</v>
      </c>
      <c r="D43" s="6"/>
      <c r="H43" s="2" t="s">
        <v>89</v>
      </c>
      <c r="I43" t="s">
        <v>88</v>
      </c>
      <c r="J43">
        <f>COUNTIFS([1]summary_table_v26_23SIs!$D$2:$D$1628,"="&amp;J$16,[1]summary_table_v26_23SIs!$B$2:$B$1628,"="&amp;$H43)</f>
        <v>2</v>
      </c>
      <c r="K43">
        <f>COUNTIFS([1]summary_table_v26_23SIs!$D$2:$D$1628,"="&amp;K$16,[1]summary_table_v26_23SIs!$B$2:$B$1628,"="&amp;$H43)</f>
        <v>0</v>
      </c>
      <c r="L43">
        <f>COUNTIFS([1]summary_table_v26_23SIs!$D$2:$D$1628,"="&amp;L$16,[1]summary_table_v26_23SIs!$B$2:$B$1628,"="&amp;$H43)</f>
        <v>0</v>
      </c>
      <c r="M43">
        <f>COUNTIFS([1]summary_table_v26_23SIs!$D$2:$D$1628,"="&amp;M$16,[1]summary_table_v26_23SIs!$B$2:$B$1628,"="&amp;$H43)</f>
        <v>0</v>
      </c>
      <c r="N43">
        <f>COUNTIFS([1]summary_table_v26_23SIs!$D$2:$D$1628,"="&amp;N$16,[1]summary_table_v26_23SIs!$B$2:$B$1628,"="&amp;$H43)</f>
        <v>0</v>
      </c>
      <c r="O43">
        <f>COUNTIFS([1]summary_table_v26_23SIs!$D$2:$D$1628,"="&amp;O$16,[1]summary_table_v26_23SIs!$B$2:$B$1628,"="&amp;$H43)</f>
        <v>0</v>
      </c>
      <c r="P43">
        <f>COUNTIFS([1]summary_table_v26_23SIs!$D$2:$D$1628,"="&amp;P$16,[1]summary_table_v26_23SIs!$B$2:$B$1628,"="&amp;$H43)</f>
        <v>0</v>
      </c>
      <c r="Q43">
        <f>COUNTIFS([1]summary_table_v26_23SIs!$D$2:$D$1628,"="&amp;Q$16,[1]summary_table_v26_23SIs!$B$2:$B$1628,"="&amp;$H43)</f>
        <v>0</v>
      </c>
      <c r="R43">
        <f>COUNTIFS([1]summary_table_v26_23SIs!$D$2:$D$1628,"="&amp;R$16,[1]summary_table_v26_23SIs!$B$2:$B$1628,"="&amp;$H43)</f>
        <v>0</v>
      </c>
      <c r="S43">
        <f>COUNTIFS([1]summary_table_v26_23SIs!$D$2:$D$1628,"="&amp;S$16,[1]summary_table_v26_23SIs!$B$2:$B$1628,"="&amp;$H43)</f>
        <v>0</v>
      </c>
      <c r="T43">
        <f>COUNTIFS([1]summary_table_v26_23SIs!$D$2:$D$1628,"="&amp;T$16,[1]summary_table_v26_23SIs!$B$2:$B$1628,"="&amp;$H43)</f>
        <v>0</v>
      </c>
      <c r="U43">
        <f>COUNTIFS([1]summary_table_v26_23SIs!$D$2:$D$1628,"="&amp;U$16,[1]summary_table_v26_23SIs!$B$2:$B$1628,"="&amp;$H43)</f>
        <v>0</v>
      </c>
      <c r="V43">
        <f>COUNTIFS([1]summary_table_v26_23SIs!$D$2:$D$1628,"="&amp;V$16,[1]summary_table_v26_23SIs!$B$2:$B$1628,"="&amp;$H43)</f>
        <v>0</v>
      </c>
      <c r="W43">
        <f>COUNTIFS([1]summary_table_v26_23SIs!$D$2:$D$1628,"="&amp;W$16,[1]summary_table_v26_23SIs!$B$2:$B$1628,"="&amp;$H43)</f>
        <v>0</v>
      </c>
      <c r="X43">
        <f>COUNTIFS([1]summary_table_v26_23SIs!$D$2:$D$1628,"="&amp;X$16,[1]summary_table_v26_23SIs!$B$2:$B$1628,"="&amp;$H43)</f>
        <v>1</v>
      </c>
      <c r="Y43">
        <f>COUNTIFS([1]summary_table_v26_23SIs!$D$2:$D$1628,"="&amp;Y$16,[1]summary_table_v26_23SIs!$B$2:$B$1628,"="&amp;$H43)</f>
        <v>0</v>
      </c>
      <c r="Z43">
        <f>COUNTIFS([1]summary_table_v26_23SIs!$D$2:$D$1628,"="&amp;Z$16,[1]summary_table_v26_23SIs!$B$2:$B$1628,"="&amp;$H43)</f>
        <v>18</v>
      </c>
      <c r="AA43">
        <f>COUNTIFS([1]summary_table_v26_23SIs!$D$2:$D$1628,"="&amp;AA$16,[1]summary_table_v26_23SIs!$B$2:$B$1628,"="&amp;$H43)</f>
        <v>0</v>
      </c>
      <c r="AB43">
        <f>COUNTIFS([1]summary_table_v26_23SIs!$D$2:$D$1628,"="&amp;AB$16,[1]summary_table_v26_23SIs!$B$2:$B$1628,"="&amp;$H43)</f>
        <v>0</v>
      </c>
      <c r="AC43">
        <f>COUNTIFS([1]summary_table_v26_23SIs!$D$2:$D$1628,"="&amp;AC$16,[1]summary_table_v26_23SIs!$B$2:$B$1628,"="&amp;$H43)</f>
        <v>4</v>
      </c>
      <c r="AD43">
        <f>COUNTIFS([1]summary_table_v26_23SIs!$D$2:$D$1628,"="&amp;AD$16,[1]summary_table_v26_23SIs!$B$2:$B$1628,"="&amp;$H43)</f>
        <v>0</v>
      </c>
      <c r="AE43">
        <f>COUNTIFS([1]summary_table_v26_23SIs!$D$2:$D$1628,"="&amp;AE$16,[1]summary_table_v26_23SIs!$B$2:$B$1628,"="&amp;$H43)</f>
        <v>0</v>
      </c>
      <c r="AF43">
        <f>COUNTIFS([1]summary_table_v26_23SIs!$D$2:$D$1628,"="&amp;AF$16,[1]summary_table_v26_23SIs!$B$2:$B$1628,"="&amp;$H43)</f>
        <v>0</v>
      </c>
      <c r="AG43">
        <f>COUNTIFS([1]summary_table_v26_23SIs!$D$2:$D$1628,"="&amp;AG$16,[1]summary_table_v26_23SIs!$B$2:$B$1628,"="&amp;$H43)</f>
        <v>0</v>
      </c>
      <c r="AH43">
        <f>COUNTIFS([1]summary_table_v26_23SIs!$D$2:$D$1628,"="&amp;AH$16,[1]summary_table_v26_23SIs!$B$2:$B$1628,"="&amp;$H43)</f>
        <v>0</v>
      </c>
      <c r="AI43">
        <f>COUNTIFS([1]summary_table_v26_23SIs!$D$2:$D$1628,"="&amp;AI$16,[1]summary_table_v26_23SIs!$B$2:$B$1628,"="&amp;$H43)</f>
        <v>0</v>
      </c>
      <c r="AJ43" s="1" t="s">
        <v>87</v>
      </c>
      <c r="AM43" s="1" t="s">
        <v>86</v>
      </c>
      <c r="AN43" s="1"/>
    </row>
    <row r="45" spans="2:41" x14ac:dyDescent="0.2">
      <c r="H45" s="5" t="s">
        <v>85</v>
      </c>
      <c r="I45" s="4"/>
      <c r="J45" s="4">
        <f>SUM(J17:J43)</f>
        <v>312</v>
      </c>
      <c r="K45" s="4">
        <f>SUM(K17:K43)</f>
        <v>0</v>
      </c>
      <c r="L45" s="4">
        <f>SUM(L17:L43)</f>
        <v>3</v>
      </c>
      <c r="M45" s="4">
        <f>SUM(M17:M43)</f>
        <v>31</v>
      </c>
      <c r="N45" s="4">
        <f>SUM(N17:N43)</f>
        <v>9</v>
      </c>
      <c r="O45" s="4">
        <f>SUM(O17:O43)</f>
        <v>26</v>
      </c>
      <c r="P45" s="4">
        <f>SUM(P17:P43)</f>
        <v>86</v>
      </c>
      <c r="Q45" s="4">
        <f>SUM(Q17:Q43)</f>
        <v>0</v>
      </c>
      <c r="R45" s="4">
        <f>SUM(R17:R43)</f>
        <v>3</v>
      </c>
      <c r="S45" s="4">
        <f>SUM(S17:S43)</f>
        <v>0</v>
      </c>
      <c r="T45" s="4">
        <f>SUM(T17:T43)</f>
        <v>31</v>
      </c>
      <c r="U45" s="4">
        <f>SUM(U17:U43)</f>
        <v>3</v>
      </c>
      <c r="V45" s="4">
        <f>SUM(V17:V43)</f>
        <v>0</v>
      </c>
      <c r="W45" s="4">
        <f>SUM(W17:W43)</f>
        <v>98</v>
      </c>
      <c r="X45" s="4">
        <f>SUM(X17:X43)</f>
        <v>23</v>
      </c>
      <c r="Y45" s="4">
        <f>SUM(Y17:Y43)</f>
        <v>0</v>
      </c>
      <c r="Z45" s="4">
        <f>SUM(Z17:Z43)</f>
        <v>807</v>
      </c>
      <c r="AA45" s="4">
        <f>SUM(AA17:AA43)</f>
        <v>0</v>
      </c>
      <c r="AB45" s="4">
        <f>SUM(AB17:AB43)</f>
        <v>0</v>
      </c>
      <c r="AC45" s="4">
        <f>SUM(AC17:AC43)</f>
        <v>134</v>
      </c>
      <c r="AD45" s="4">
        <f>SUM(AD17:AD43)</f>
        <v>12</v>
      </c>
      <c r="AE45" s="4">
        <f>SUM(AE17:AE43)</f>
        <v>11</v>
      </c>
      <c r="AF45" s="4">
        <f>SUM(AF17:AF43)</f>
        <v>0</v>
      </c>
      <c r="AG45" s="4">
        <f>SUM(AG17:AG43)</f>
        <v>35</v>
      </c>
      <c r="AH45" s="4">
        <f>SUM(AH17:AH43)</f>
        <v>0</v>
      </c>
      <c r="AI45" s="4">
        <f>SUM(AI17:AI43)</f>
        <v>0</v>
      </c>
      <c r="AJ45" s="1">
        <f>COUNTIF(AJ17:AJ43,"&lt;&gt;"&amp;"")</f>
        <v>15</v>
      </c>
      <c r="AK45" s="1">
        <f>COUNTIF(AK17:AK43,"&lt;&gt;"&amp;"")</f>
        <v>7</v>
      </c>
      <c r="AL45" s="1">
        <f>COUNTIF(AL17:AL43,"&lt;&gt;"&amp;"")</f>
        <v>4</v>
      </c>
      <c r="AM45" s="1">
        <f>COUNTIF(AM17:AM43,"&lt;&gt;"&amp;"")</f>
        <v>8</v>
      </c>
      <c r="AN45" s="1">
        <f>COUNTIF(AN17:AN43,"&lt;&gt;"&amp;"")</f>
        <v>5</v>
      </c>
      <c r="AO45" s="19" t="s">
        <v>84</v>
      </c>
    </row>
    <row r="47" spans="2:41" x14ac:dyDescent="0.2">
      <c r="AJ47" s="18"/>
      <c r="AK47" s="18"/>
      <c r="AL47" s="18"/>
      <c r="AM47" s="18"/>
      <c r="AN47" s="18"/>
      <c r="AO47" s="18" t="s">
        <v>83</v>
      </c>
    </row>
    <row r="48" spans="2:41" x14ac:dyDescent="0.2">
      <c r="AJ48" s="18"/>
      <c r="AK48" s="18"/>
      <c r="AL48" s="18"/>
      <c r="AM48" s="18"/>
      <c r="AN48" s="18"/>
      <c r="AO48" s="18" t="s">
        <v>82</v>
      </c>
    </row>
    <row r="49" spans="36:41" x14ac:dyDescent="0.2">
      <c r="AJ49" s="18"/>
      <c r="AK49" s="18"/>
      <c r="AL49" s="18"/>
      <c r="AM49" s="18"/>
      <c r="AN49" s="18"/>
      <c r="AO49" s="18" t="s">
        <v>81</v>
      </c>
    </row>
    <row r="50" spans="36:41" x14ac:dyDescent="0.2">
      <c r="AJ50" s="18"/>
      <c r="AK50" s="18"/>
      <c r="AL50" s="18"/>
      <c r="AM50" s="18"/>
      <c r="AN50" s="18"/>
      <c r="AO50" s="18" t="s">
        <v>80</v>
      </c>
    </row>
    <row r="51" spans="36:41" x14ac:dyDescent="0.2">
      <c r="AJ51" s="18"/>
      <c r="AK51" s="18"/>
      <c r="AL51" s="18"/>
      <c r="AM51" s="18"/>
      <c r="AN51" s="18"/>
      <c r="AO51" s="18" t="s">
        <v>79</v>
      </c>
    </row>
    <row r="52" spans="36:41" x14ac:dyDescent="0.2">
      <c r="AJ52" s="18"/>
      <c r="AK52" s="18"/>
      <c r="AL52" s="18"/>
      <c r="AM52" s="18"/>
      <c r="AN52" s="18"/>
      <c r="AO52" s="18" t="s">
        <v>78</v>
      </c>
    </row>
    <row r="53" spans="36:41" x14ac:dyDescent="0.2">
      <c r="AJ53" s="18"/>
      <c r="AK53" s="18"/>
      <c r="AL53" s="18" t="s">
        <v>77</v>
      </c>
      <c r="AM53" s="18"/>
      <c r="AN53" s="18"/>
      <c r="AO53" s="18"/>
    </row>
    <row r="54" spans="36:41" x14ac:dyDescent="0.2">
      <c r="AJ54" s="18"/>
      <c r="AK54" s="18"/>
      <c r="AL54" s="18"/>
      <c r="AM54" s="18"/>
      <c r="AN54" s="18"/>
      <c r="AO54" s="18" t="s">
        <v>76</v>
      </c>
    </row>
    <row r="55" spans="36:41" x14ac:dyDescent="0.2">
      <c r="AJ55" s="18"/>
      <c r="AK55" s="18"/>
      <c r="AL55" s="18"/>
      <c r="AM55" s="18"/>
      <c r="AN55" s="18"/>
      <c r="AO55" s="18" t="s">
        <v>75</v>
      </c>
    </row>
    <row r="56" spans="36:41" x14ac:dyDescent="0.2">
      <c r="AJ56" s="18"/>
      <c r="AK56" s="18"/>
      <c r="AL56" s="18"/>
      <c r="AM56" s="18"/>
      <c r="AN56" s="18"/>
      <c r="AO56" s="18" t="s">
        <v>74</v>
      </c>
    </row>
    <row r="57" spans="36:41" x14ac:dyDescent="0.2">
      <c r="AJ57" s="18"/>
      <c r="AK57" s="18" t="s">
        <v>73</v>
      </c>
      <c r="AL57" s="18"/>
      <c r="AM57" s="18"/>
      <c r="AN57" s="18"/>
      <c r="AO57" s="18"/>
    </row>
    <row r="58" spans="36:41" x14ac:dyDescent="0.2">
      <c r="AJ58" s="18"/>
      <c r="AK58" s="18"/>
      <c r="AL58" s="18"/>
      <c r="AM58" s="18"/>
      <c r="AN58" s="18"/>
      <c r="AO58" s="18" t="s">
        <v>72</v>
      </c>
    </row>
    <row r="59" spans="36:41" x14ac:dyDescent="0.2">
      <c r="AJ59" s="18"/>
      <c r="AK59" s="18"/>
      <c r="AL59" s="18"/>
      <c r="AM59" s="18"/>
      <c r="AN59" s="18"/>
      <c r="AO59" s="18" t="s">
        <v>71</v>
      </c>
    </row>
    <row r="60" spans="36:41" x14ac:dyDescent="0.2">
      <c r="AJ60" s="18"/>
      <c r="AK60" s="18"/>
      <c r="AL60" s="18"/>
      <c r="AM60" s="18"/>
      <c r="AN60" s="18"/>
      <c r="AO60" s="18" t="s">
        <v>70</v>
      </c>
    </row>
    <row r="61" spans="36:41" x14ac:dyDescent="0.2">
      <c r="AJ61" s="18"/>
      <c r="AK61" s="18"/>
      <c r="AL61" s="18"/>
      <c r="AM61" s="18"/>
      <c r="AN61" s="18"/>
      <c r="AO61" s="18" t="s">
        <v>69</v>
      </c>
    </row>
    <row r="62" spans="36:41" x14ac:dyDescent="0.2">
      <c r="AJ62" s="18"/>
      <c r="AK62" s="18"/>
      <c r="AL62" s="18" t="s">
        <v>68</v>
      </c>
      <c r="AM62" s="18"/>
      <c r="AN62" s="18"/>
      <c r="AO62" s="18"/>
    </row>
    <row r="63" spans="36:41" x14ac:dyDescent="0.2">
      <c r="AJ63" s="18"/>
      <c r="AK63" s="18"/>
      <c r="AL63" s="18"/>
      <c r="AM63" s="18"/>
      <c r="AN63" s="18"/>
      <c r="AO63" s="18" t="s">
        <v>67</v>
      </c>
    </row>
    <row r="64" spans="36:41" x14ac:dyDescent="0.2">
      <c r="AJ64" s="18" t="s">
        <v>66</v>
      </c>
      <c r="AK64" s="18"/>
      <c r="AL64" s="18" t="s">
        <v>66</v>
      </c>
      <c r="AM64" s="18"/>
      <c r="AN64" s="18" t="s">
        <v>66</v>
      </c>
      <c r="AO64" s="18"/>
    </row>
    <row r="65" spans="36:41" x14ac:dyDescent="0.2">
      <c r="AJ65" s="18"/>
      <c r="AK65" s="18"/>
      <c r="AL65" s="18"/>
      <c r="AM65" s="18"/>
      <c r="AN65" s="18"/>
      <c r="AO65" s="18" t="s">
        <v>65</v>
      </c>
    </row>
    <row r="66" spans="36:41" x14ac:dyDescent="0.2">
      <c r="AJ66" s="18"/>
      <c r="AK66" s="18"/>
      <c r="AL66" s="18"/>
      <c r="AM66" s="18"/>
      <c r="AN66" s="18"/>
      <c r="AO66" s="18" t="s">
        <v>64</v>
      </c>
    </row>
    <row r="67" spans="36:41" x14ac:dyDescent="0.2">
      <c r="AJ67" s="18"/>
      <c r="AK67" s="18"/>
      <c r="AL67" s="18"/>
      <c r="AM67" s="18"/>
      <c r="AN67" s="18"/>
      <c r="AO67" s="18" t="s">
        <v>63</v>
      </c>
    </row>
    <row r="68" spans="36:41" x14ac:dyDescent="0.2">
      <c r="AJ68" s="18"/>
      <c r="AK68" s="18"/>
      <c r="AL68" s="18"/>
      <c r="AM68" s="18"/>
      <c r="AN68" s="18"/>
      <c r="AO68" s="18" t="s">
        <v>62</v>
      </c>
    </row>
    <row r="69" spans="36:41" x14ac:dyDescent="0.2">
      <c r="AJ69" s="18"/>
      <c r="AK69" s="18"/>
      <c r="AL69" s="18"/>
      <c r="AM69" s="18"/>
      <c r="AN69" s="18"/>
      <c r="AO69" s="18" t="s">
        <v>61</v>
      </c>
    </row>
    <row r="70" spans="36:41" x14ac:dyDescent="0.2">
      <c r="AJ70" s="18"/>
      <c r="AK70" s="18"/>
      <c r="AL70" s="18"/>
      <c r="AM70" s="18"/>
      <c r="AN70" s="18"/>
      <c r="AO70" s="18" t="s">
        <v>60</v>
      </c>
    </row>
    <row r="71" spans="36:41" x14ac:dyDescent="0.2">
      <c r="AJ71" s="18"/>
      <c r="AK71" s="18"/>
      <c r="AL71" s="18"/>
      <c r="AM71" s="18"/>
      <c r="AN71" s="18"/>
      <c r="AO71" s="18" t="s">
        <v>59</v>
      </c>
    </row>
    <row r="72" spans="36:41" x14ac:dyDescent="0.2">
      <c r="AJ72" s="18"/>
      <c r="AK72" s="18"/>
      <c r="AL72" s="18"/>
      <c r="AM72" s="18"/>
      <c r="AN72" s="18"/>
      <c r="AO72" s="18" t="s">
        <v>58</v>
      </c>
    </row>
    <row r="73" spans="36:41" x14ac:dyDescent="0.2">
      <c r="AJ73" s="18"/>
      <c r="AK73" s="18"/>
      <c r="AL73" s="18"/>
      <c r="AM73" s="18"/>
      <c r="AN73" s="18"/>
      <c r="AO73" s="18" t="s">
        <v>57</v>
      </c>
    </row>
    <row r="74" spans="36:41" x14ac:dyDescent="0.2">
      <c r="AJ74" s="18"/>
      <c r="AK74" s="18"/>
      <c r="AL74" s="18" t="s">
        <v>56</v>
      </c>
      <c r="AM74" s="18"/>
      <c r="AN74" s="18"/>
      <c r="AO74" s="18"/>
    </row>
    <row r="75" spans="36:41" x14ac:dyDescent="0.2">
      <c r="AJ75" s="18"/>
      <c r="AK75" s="18" t="s">
        <v>55</v>
      </c>
      <c r="AL75" s="18"/>
      <c r="AM75" s="18"/>
      <c r="AN75" s="18"/>
      <c r="AO75" s="18"/>
    </row>
    <row r="76" spans="36:41" x14ac:dyDescent="0.2">
      <c r="AJ76" s="18"/>
      <c r="AK76" s="18" t="s">
        <v>54</v>
      </c>
      <c r="AL76" s="18"/>
      <c r="AM76" s="18"/>
      <c r="AN76" s="18"/>
      <c r="AO76" s="18"/>
    </row>
    <row r="77" spans="36:41" x14ac:dyDescent="0.2">
      <c r="AJ77" s="18"/>
      <c r="AK77" s="18"/>
      <c r="AL77" s="18"/>
      <c r="AM77" s="18"/>
      <c r="AN77" s="18"/>
      <c r="AO77" s="18" t="s">
        <v>53</v>
      </c>
    </row>
    <row r="78" spans="36:41" x14ac:dyDescent="0.2">
      <c r="AJ78" s="18"/>
      <c r="AK78" s="18"/>
      <c r="AL78" s="18"/>
      <c r="AM78" s="18"/>
      <c r="AN78" s="18"/>
      <c r="AO78" s="18" t="s">
        <v>52</v>
      </c>
    </row>
    <row r="79" spans="36:41" x14ac:dyDescent="0.2">
      <c r="AJ79" s="18"/>
      <c r="AK79" s="18"/>
      <c r="AL79" s="18"/>
      <c r="AM79" s="18"/>
      <c r="AN79" s="18"/>
      <c r="AO79" s="18" t="s">
        <v>51</v>
      </c>
    </row>
    <row r="80" spans="36:41" x14ac:dyDescent="0.2">
      <c r="AJ80" s="18"/>
      <c r="AK80" s="18"/>
      <c r="AL80" s="18"/>
      <c r="AM80" s="18"/>
      <c r="AN80" s="18"/>
      <c r="AO80" s="18" t="s">
        <v>50</v>
      </c>
    </row>
    <row r="81" spans="36:41" x14ac:dyDescent="0.2">
      <c r="AJ81" s="18"/>
      <c r="AK81" s="18"/>
      <c r="AL81" s="18"/>
      <c r="AM81" s="18"/>
      <c r="AN81" s="18"/>
      <c r="AO81" s="18" t="s">
        <v>49</v>
      </c>
    </row>
    <row r="82" spans="36:41" x14ac:dyDescent="0.2">
      <c r="AJ82" s="18"/>
      <c r="AK82" s="18"/>
      <c r="AL82" s="18" t="s">
        <v>48</v>
      </c>
      <c r="AM82" s="18"/>
      <c r="AN82" s="18"/>
      <c r="AO82" s="18"/>
    </row>
    <row r="83" spans="36:41" x14ac:dyDescent="0.2">
      <c r="AJ83" s="18"/>
      <c r="AK83" s="18"/>
      <c r="AL83" s="18"/>
      <c r="AM83" s="18"/>
      <c r="AN83" s="18"/>
      <c r="AO83" s="18" t="s">
        <v>47</v>
      </c>
    </row>
    <row r="84" spans="36:41" x14ac:dyDescent="0.2">
      <c r="AJ84" s="18"/>
      <c r="AK84" s="18"/>
      <c r="AL84" s="18"/>
      <c r="AM84" s="18"/>
      <c r="AN84" s="18"/>
      <c r="AO84" s="18" t="s">
        <v>46</v>
      </c>
    </row>
    <row r="85" spans="36:41" x14ac:dyDescent="0.2">
      <c r="AJ85" s="18"/>
      <c r="AK85" s="18"/>
      <c r="AL85" s="18"/>
      <c r="AM85" s="18"/>
      <c r="AN85" s="18"/>
      <c r="AO85" s="18" t="s">
        <v>45</v>
      </c>
    </row>
    <row r="86" spans="36:41" x14ac:dyDescent="0.2">
      <c r="AJ86" s="18"/>
      <c r="AK86" s="18"/>
      <c r="AL86" s="18"/>
      <c r="AM86" s="18"/>
      <c r="AN86" s="18"/>
      <c r="AO86" s="18" t="s">
        <v>44</v>
      </c>
    </row>
    <row r="87" spans="36:41" x14ac:dyDescent="0.2">
      <c r="AJ87" s="18"/>
      <c r="AK87" s="18"/>
      <c r="AL87" s="18"/>
      <c r="AM87" s="18"/>
      <c r="AN87" s="18"/>
      <c r="AO87" s="18" t="s">
        <v>43</v>
      </c>
    </row>
    <row r="88" spans="36:41" x14ac:dyDescent="0.2">
      <c r="AJ88" s="18"/>
      <c r="AK88" s="18" t="s">
        <v>42</v>
      </c>
      <c r="AL88" s="18"/>
      <c r="AM88" s="18"/>
      <c r="AN88" s="18"/>
      <c r="AO88" s="18"/>
    </row>
    <row r="89" spans="36:41" x14ac:dyDescent="0.2">
      <c r="AJ89" s="18"/>
      <c r="AK89" s="18"/>
      <c r="AL89" s="18" t="s">
        <v>41</v>
      </c>
      <c r="AM89" s="18"/>
      <c r="AN89" s="18"/>
      <c r="AO89" s="18"/>
    </row>
    <row r="90" spans="36:41" x14ac:dyDescent="0.2">
      <c r="AJ90" s="18"/>
      <c r="AK90" s="18"/>
      <c r="AL90" s="18"/>
      <c r="AM90" s="18"/>
      <c r="AN90" s="18"/>
      <c r="AO90" s="18" t="s">
        <v>40</v>
      </c>
    </row>
    <row r="91" spans="36:41" x14ac:dyDescent="0.2">
      <c r="AJ91" s="18"/>
      <c r="AK91" s="18"/>
      <c r="AL91" s="18"/>
      <c r="AM91" s="18"/>
      <c r="AN91" s="18"/>
      <c r="AO91" s="18" t="s">
        <v>39</v>
      </c>
    </row>
    <row r="92" spans="36:41" x14ac:dyDescent="0.2">
      <c r="AJ92" s="18"/>
      <c r="AK92" s="18"/>
      <c r="AL92" s="18"/>
      <c r="AM92" s="18"/>
      <c r="AN92" s="18"/>
      <c r="AO92" s="18" t="s">
        <v>38</v>
      </c>
    </row>
    <row r="93" spans="36:41" x14ac:dyDescent="0.2">
      <c r="AJ93" s="18"/>
      <c r="AK93" s="18"/>
      <c r="AL93" s="18"/>
      <c r="AM93" s="18" t="s">
        <v>37</v>
      </c>
      <c r="AN93" s="18"/>
      <c r="AO93" s="18"/>
    </row>
    <row r="94" spans="36:41" x14ac:dyDescent="0.2">
      <c r="AJ94" s="18"/>
      <c r="AK94" s="18"/>
      <c r="AL94" s="18"/>
      <c r="AM94" s="18"/>
      <c r="AN94" s="18"/>
      <c r="AO94" s="18" t="s">
        <v>36</v>
      </c>
    </row>
    <row r="95" spans="36:41" x14ac:dyDescent="0.2">
      <c r="AJ95" s="18"/>
      <c r="AK95" s="18"/>
      <c r="AL95" s="18"/>
      <c r="AM95" s="18"/>
      <c r="AN95" s="18"/>
      <c r="AO95" s="18" t="s">
        <v>35</v>
      </c>
    </row>
    <row r="96" spans="36:41" x14ac:dyDescent="0.2">
      <c r="AJ96" s="18"/>
      <c r="AK96" s="18"/>
      <c r="AL96" s="18"/>
      <c r="AM96" s="18"/>
      <c r="AN96" s="18"/>
      <c r="AO96" s="18" t="s">
        <v>34</v>
      </c>
    </row>
    <row r="97" spans="36:41" x14ac:dyDescent="0.2">
      <c r="AJ97" s="18"/>
      <c r="AK97" s="18"/>
      <c r="AL97" s="18"/>
      <c r="AM97" s="18" t="s">
        <v>33</v>
      </c>
      <c r="AN97" s="18"/>
      <c r="AO97" s="18"/>
    </row>
    <row r="98" spans="36:41" x14ac:dyDescent="0.2">
      <c r="AJ98" s="18"/>
      <c r="AK98" s="18"/>
      <c r="AL98" s="18"/>
      <c r="AM98" s="18"/>
      <c r="AN98" s="18"/>
      <c r="AO98" s="18" t="s">
        <v>32</v>
      </c>
    </row>
    <row r="99" spans="36:41" x14ac:dyDescent="0.2">
      <c r="AJ99" s="18"/>
      <c r="AK99" s="18"/>
      <c r="AL99" s="18"/>
      <c r="AM99" s="18" t="s">
        <v>31</v>
      </c>
      <c r="AN99" s="18"/>
      <c r="AO99" s="18"/>
    </row>
    <row r="100" spans="36:41" x14ac:dyDescent="0.2">
      <c r="AJ100" s="18"/>
      <c r="AK100" s="18"/>
      <c r="AL100" s="18"/>
      <c r="AM100" s="18"/>
      <c r="AN100" s="18"/>
      <c r="AO100" s="18" t="s">
        <v>23</v>
      </c>
    </row>
    <row r="101" spans="36:41" x14ac:dyDescent="0.2">
      <c r="AJ101" s="18"/>
      <c r="AK101" s="18"/>
      <c r="AL101" s="18"/>
      <c r="AM101" s="18"/>
      <c r="AN101" s="18"/>
      <c r="AO101" s="18" t="s">
        <v>30</v>
      </c>
    </row>
    <row r="102" spans="36:41" x14ac:dyDescent="0.2">
      <c r="AJ102" s="18"/>
      <c r="AK102" s="18" t="s">
        <v>29</v>
      </c>
      <c r="AL102" s="18"/>
      <c r="AM102" s="18"/>
      <c r="AN102" s="18"/>
      <c r="AO102" s="18"/>
    </row>
    <row r="103" spans="36:41" x14ac:dyDescent="0.2">
      <c r="AJ103" s="18"/>
      <c r="AK103" s="18"/>
      <c r="AL103" s="18"/>
      <c r="AM103" s="18"/>
      <c r="AN103" s="18"/>
      <c r="AO103" s="18" t="s">
        <v>28</v>
      </c>
    </row>
    <row r="104" spans="36:41" x14ac:dyDescent="0.2">
      <c r="AJ104" s="18"/>
      <c r="AK104" s="18"/>
      <c r="AL104" s="18"/>
      <c r="AM104" s="18"/>
      <c r="AN104" s="18"/>
      <c r="AO104" s="18" t="s">
        <v>27</v>
      </c>
    </row>
    <row r="105" spans="36:41" x14ac:dyDescent="0.2">
      <c r="AJ105" s="18"/>
      <c r="AK105" s="18"/>
      <c r="AL105" s="18"/>
      <c r="AM105" s="18"/>
      <c r="AN105" s="18"/>
      <c r="AO105" s="18" t="s">
        <v>26</v>
      </c>
    </row>
    <row r="106" spans="36:41" x14ac:dyDescent="0.2">
      <c r="AJ106" s="18"/>
      <c r="AK106" s="18"/>
      <c r="AL106" s="18"/>
      <c r="AM106" s="18"/>
      <c r="AN106" s="18"/>
      <c r="AO106" s="18" t="s">
        <v>25</v>
      </c>
    </row>
    <row r="107" spans="36:41" x14ac:dyDescent="0.2">
      <c r="AJ107" s="18"/>
      <c r="AK107" s="18"/>
      <c r="AL107" s="18"/>
      <c r="AM107" s="18"/>
      <c r="AN107" s="18"/>
      <c r="AO107" s="18" t="s">
        <v>24</v>
      </c>
    </row>
    <row r="108" spans="36:41" x14ac:dyDescent="0.2">
      <c r="AJ108" s="18"/>
      <c r="AK108" s="18"/>
      <c r="AL108" s="18"/>
      <c r="AM108" s="18"/>
      <c r="AN108" s="18"/>
      <c r="AO108" s="18" t="s">
        <v>23</v>
      </c>
    </row>
    <row r="109" spans="36:41" x14ac:dyDescent="0.2">
      <c r="AJ109" s="18"/>
      <c r="AK109" s="18"/>
      <c r="AL109" s="18"/>
      <c r="AM109" s="18"/>
      <c r="AN109" s="18"/>
      <c r="AO109" s="18" t="s">
        <v>22</v>
      </c>
    </row>
    <row r="110" spans="36:41" x14ac:dyDescent="0.2">
      <c r="AJ110" s="18"/>
      <c r="AK110" s="18"/>
      <c r="AL110" s="18"/>
      <c r="AM110" s="18"/>
      <c r="AN110" s="18"/>
      <c r="AO110" s="18" t="s">
        <v>21</v>
      </c>
    </row>
    <row r="111" spans="36:41" x14ac:dyDescent="0.2">
      <c r="AJ111" s="18"/>
      <c r="AK111" s="18"/>
      <c r="AL111" s="18"/>
      <c r="AM111" s="18"/>
      <c r="AN111" s="18"/>
      <c r="AO111" s="18" t="s">
        <v>20</v>
      </c>
    </row>
    <row r="112" spans="36:41" x14ac:dyDescent="0.2">
      <c r="AJ112" s="18"/>
      <c r="AK112" s="18" t="s">
        <v>19</v>
      </c>
      <c r="AL112" s="18"/>
      <c r="AM112" s="18"/>
      <c r="AN112" s="18"/>
      <c r="AO112" s="18"/>
    </row>
    <row r="113" spans="36:41" x14ac:dyDescent="0.2">
      <c r="AJ113" s="18"/>
      <c r="AK113" s="18"/>
      <c r="AL113" s="18"/>
      <c r="AM113" s="18"/>
      <c r="AN113" s="18"/>
      <c r="AO113" s="18" t="s">
        <v>18</v>
      </c>
    </row>
    <row r="114" spans="36:41" x14ac:dyDescent="0.2">
      <c r="AJ114" s="18"/>
      <c r="AK114" s="18"/>
      <c r="AL114" s="18"/>
      <c r="AM114" s="18"/>
      <c r="AN114" s="18"/>
      <c r="AO114" s="18" t="s">
        <v>17</v>
      </c>
    </row>
    <row r="115" spans="36:41" x14ac:dyDescent="0.2">
      <c r="AJ115" s="18"/>
      <c r="AK115" s="18"/>
      <c r="AL115" s="18"/>
      <c r="AM115" s="18"/>
      <c r="AN115" s="18"/>
      <c r="AO115" s="18" t="s">
        <v>16</v>
      </c>
    </row>
    <row r="116" spans="36:41" x14ac:dyDescent="0.2">
      <c r="AJ116" s="18"/>
      <c r="AK116" s="18"/>
      <c r="AL116" s="18"/>
      <c r="AM116" s="18"/>
      <c r="AN116" s="18"/>
      <c r="AO116" s="18" t="s">
        <v>15</v>
      </c>
    </row>
    <row r="117" spans="36:41" x14ac:dyDescent="0.2">
      <c r="AJ117" s="18"/>
      <c r="AK117" s="18"/>
      <c r="AL117" s="18"/>
      <c r="AM117" s="18"/>
      <c r="AN117" s="18"/>
      <c r="AO117" s="18" t="s">
        <v>14</v>
      </c>
    </row>
    <row r="118" spans="36:41" x14ac:dyDescent="0.2">
      <c r="AJ118" s="18"/>
      <c r="AK118" s="18"/>
      <c r="AL118" s="18"/>
      <c r="AM118" s="18"/>
      <c r="AN118" s="18"/>
      <c r="AO118" s="18" t="s">
        <v>13</v>
      </c>
    </row>
    <row r="119" spans="36:41" x14ac:dyDescent="0.2">
      <c r="AJ119" s="18"/>
      <c r="AK119" s="18" t="s">
        <v>12</v>
      </c>
      <c r="AL119" s="18"/>
      <c r="AM119" s="18"/>
      <c r="AN119" s="18"/>
      <c r="AO119" s="18"/>
    </row>
    <row r="120" spans="36:41" x14ac:dyDescent="0.2">
      <c r="AJ120" s="18"/>
      <c r="AK120" s="18"/>
      <c r="AL120" s="18"/>
      <c r="AM120" s="18"/>
      <c r="AN120" s="18"/>
      <c r="AO120" s="18" t="s">
        <v>11</v>
      </c>
    </row>
    <row r="121" spans="36:41" x14ac:dyDescent="0.2">
      <c r="AJ121" s="18" t="s">
        <v>10</v>
      </c>
      <c r="AK121" s="18"/>
      <c r="AL121" s="18"/>
      <c r="AM121" s="18" t="s">
        <v>10</v>
      </c>
      <c r="AN121" s="18"/>
      <c r="AO121" s="18"/>
    </row>
    <row r="122" spans="36:41" x14ac:dyDescent="0.2">
      <c r="AJ122" s="18"/>
      <c r="AK122" s="18"/>
      <c r="AL122" s="18"/>
      <c r="AM122" s="18"/>
      <c r="AN122" s="18"/>
      <c r="AO122" s="18" t="s">
        <v>9</v>
      </c>
    </row>
    <row r="123" spans="36:41" x14ac:dyDescent="0.2">
      <c r="AJ123" s="18"/>
      <c r="AK123" s="18"/>
      <c r="AL123" s="18"/>
      <c r="AM123" s="18"/>
      <c r="AN123" s="18"/>
      <c r="AO123" s="18" t="s">
        <v>8</v>
      </c>
    </row>
    <row r="124" spans="36:41" x14ac:dyDescent="0.2">
      <c r="AJ124" s="18"/>
      <c r="AK124" s="18"/>
      <c r="AL124" s="18"/>
      <c r="AM124" s="18"/>
      <c r="AN124" s="18"/>
      <c r="AO124" s="18" t="s">
        <v>7</v>
      </c>
    </row>
    <row r="125" spans="36:41" x14ac:dyDescent="0.2">
      <c r="AJ125" s="18"/>
      <c r="AK125" s="18"/>
      <c r="AL125" s="18"/>
      <c r="AM125" s="18"/>
      <c r="AN125" s="18"/>
      <c r="AO125" s="18" t="s">
        <v>6</v>
      </c>
    </row>
    <row r="126" spans="36:41" x14ac:dyDescent="0.2">
      <c r="AJ126" s="18"/>
      <c r="AK126" s="18"/>
      <c r="AL126" s="18"/>
      <c r="AM126" s="18"/>
      <c r="AN126" s="18"/>
      <c r="AO126" s="18" t="s">
        <v>5</v>
      </c>
    </row>
    <row r="127" spans="36:41" x14ac:dyDescent="0.2">
      <c r="AJ127" s="18"/>
      <c r="AK127" s="18"/>
      <c r="AL127" s="18"/>
      <c r="AM127" s="18"/>
      <c r="AN127" s="18"/>
      <c r="AO127" s="18" t="s">
        <v>4</v>
      </c>
    </row>
    <row r="128" spans="36:41" x14ac:dyDescent="0.2">
      <c r="AJ128" s="18"/>
      <c r="AK128" s="18"/>
      <c r="AL128" s="18" t="s">
        <v>3</v>
      </c>
      <c r="AM128" s="18"/>
      <c r="AN128" s="18"/>
      <c r="AO128" s="18"/>
    </row>
    <row r="129" spans="36:41" x14ac:dyDescent="0.2">
      <c r="AJ129" s="18"/>
      <c r="AK129" s="18"/>
      <c r="AL129" s="18" t="s">
        <v>2</v>
      </c>
      <c r="AM129" s="18"/>
      <c r="AN129" s="18"/>
      <c r="AO129" s="18"/>
    </row>
    <row r="130" spans="36:41" x14ac:dyDescent="0.2">
      <c r="AJ130" s="18"/>
      <c r="AK130" s="18"/>
      <c r="AL130" s="18"/>
      <c r="AM130" s="18" t="s">
        <v>1</v>
      </c>
      <c r="AN130" s="18"/>
      <c r="AO130" s="18"/>
    </row>
    <row r="131" spans="36:41" x14ac:dyDescent="0.2">
      <c r="AJ131" s="18"/>
      <c r="AK131" s="18"/>
      <c r="AL131" s="18"/>
      <c r="AM131" s="18"/>
      <c r="AN131" s="18"/>
      <c r="AO131" s="18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 analysis0_23SIs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CW</cp:lastModifiedBy>
  <dcterms:created xsi:type="dcterms:W3CDTF">2025-07-23T08:53:06Z</dcterms:created>
  <dcterms:modified xsi:type="dcterms:W3CDTF">2025-07-23T08:55:47Z</dcterms:modified>
</cp:coreProperties>
</file>