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F3A9806D-ACCC-4CA1-A042-CC78E03B7386}" xr6:coauthVersionLast="47" xr6:coauthVersionMax="47" xr10:uidLastSave="{00000000-0000-0000-0000-000000000000}"/>
  <bookViews>
    <workbookView xWindow="-45" yWindow="16080" windowWidth="29040" windowHeight="17790" xr2:uid="{72F1A8B5-8DE4-FB43-96AA-05E53817EF18}"/>
  </bookViews>
  <sheets>
    <sheet name="Data" sheetId="1" r:id="rId1"/>
    <sheet name="active mobility" sheetId="25" r:id="rId2"/>
    <sheet name="passive building (ireland)" sheetId="24" r:id="rId3"/>
    <sheet name="passive building (belgium)" sheetId="23" r:id="rId4"/>
    <sheet name="passive building (germany)" sheetId="21" r:id="rId5"/>
    <sheet name="passive building (austria)" sheetId="20" r:id="rId6"/>
    <sheet name="energy communities population" sheetId="15" r:id="rId7"/>
    <sheet name="e-bikes" sheetId="17" r:id="rId8"/>
    <sheet name="annual-reported-passenger-kilom" sheetId="26" r:id="rId9"/>
    <sheet name="long distance travel" sheetId="6" r:id="rId10"/>
    <sheet name="passive building" sheetId="16" r:id="rId11"/>
    <sheet name="climate protest" sheetId="14" r:id="rId12"/>
    <sheet name="elm- us" sheetId="13" r:id="rId13"/>
    <sheet name="elm- uk" sheetId="12" r:id="rId14"/>
    <sheet name="elm-i" sheetId="11" r:id="rId15"/>
    <sheet name="elm- j" sheetId="10" r:id="rId16"/>
    <sheet name="elm- g" sheetId="9" r:id="rId17"/>
    <sheet name="cohousing population" sheetId="4" r:id="rId18"/>
    <sheet name="microfinance population" sheetId="5" r:id="rId19"/>
    <sheet name="ESG firms" sheetId="27" r:id="rId20"/>
  </sheets>
  <definedNames>
    <definedName name="ExternalData_1" localSheetId="1" hidden="1">'active mobility'!$A$1:$FF$38</definedName>
    <definedName name="ExternalData_1" localSheetId="8" hidden="1">'annual-reported-passenger-kilom'!$A$1:$E$53</definedName>
    <definedName name="ExternalData_1" localSheetId="11" hidden="1">'climate protest'!$A$1:$D$309</definedName>
    <definedName name="ExternalData_1" localSheetId="17" hidden="1">'cohousing population'!$A$1:$D$223</definedName>
    <definedName name="ExternalData_1" localSheetId="16" hidden="1">'elm- g'!$A$1:$AG$77</definedName>
    <definedName name="ExternalData_1" localSheetId="6" hidden="1">'energy communities population'!$A$1:$D$116</definedName>
    <definedName name="ExternalData_1" localSheetId="18" hidden="1">'microfinance population'!$A$1:$D$403</definedName>
    <definedName name="ExternalData_1" localSheetId="5" hidden="1">'passive building (austria)'!$A$1:$FN$108</definedName>
    <definedName name="ExternalData_1" localSheetId="3" hidden="1">'passive building (belgium)'!$A$1:$FN$108</definedName>
    <definedName name="ExternalData_1" localSheetId="4" hidden="1">'passive building (germany)'!$A$1:$FN$108</definedName>
    <definedName name="ExternalData_1" localSheetId="2" hidden="1">'passive building (ireland)'!$A$1:$FN$108</definedName>
    <definedName name="ExternalData_2" localSheetId="15" hidden="1">'elm- j'!$A$1:$AG$77</definedName>
    <definedName name="ExternalData_3" localSheetId="14" hidden="1">'elm-i'!$A$1:$AG$77</definedName>
    <definedName name="ExternalData_4" localSheetId="13" hidden="1">'elm- uk'!$A$1:$AG$77</definedName>
    <definedName name="ExternalData_5" localSheetId="12" hidden="1">'elm- us'!$A$1:$AI$76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1" l="1"/>
  <c r="Z107" i="1"/>
  <c r="AA107" i="1"/>
  <c r="AB107" i="1"/>
  <c r="Y108" i="1"/>
  <c r="Z108" i="1"/>
  <c r="AA108" i="1"/>
  <c r="AB108" i="1"/>
  <c r="Y109" i="1"/>
  <c r="Z109" i="1"/>
  <c r="AA109" i="1"/>
  <c r="AB109" i="1"/>
  <c r="Y110" i="1"/>
  <c r="Z110" i="1"/>
  <c r="AA110" i="1"/>
  <c r="AB110" i="1"/>
  <c r="Y111" i="1"/>
  <c r="Z111" i="1"/>
  <c r="AA111" i="1"/>
  <c r="AB111" i="1"/>
  <c r="Y112" i="1"/>
  <c r="Z112" i="1"/>
  <c r="AA112" i="1"/>
  <c r="AB112" i="1"/>
  <c r="Y113" i="1"/>
  <c r="Z113" i="1"/>
  <c r="AA113" i="1"/>
  <c r="AB113" i="1"/>
  <c r="Y114" i="1"/>
  <c r="Z114" i="1"/>
  <c r="AA114" i="1"/>
  <c r="AB114" i="1"/>
  <c r="Y115" i="1"/>
  <c r="Z115" i="1"/>
  <c r="AA115" i="1"/>
  <c r="AB115" i="1"/>
  <c r="Y116" i="1"/>
  <c r="Z116" i="1"/>
  <c r="AA116" i="1"/>
  <c r="AB116" i="1"/>
  <c r="Y117" i="1"/>
  <c r="Z117" i="1"/>
  <c r="AA117" i="1"/>
  <c r="AB117" i="1"/>
  <c r="Y118" i="1"/>
  <c r="Z118" i="1"/>
  <c r="AA118" i="1"/>
  <c r="AB118" i="1"/>
  <c r="Y119" i="1"/>
  <c r="Z119" i="1"/>
  <c r="AA119" i="1"/>
  <c r="AB119" i="1"/>
  <c r="Y120" i="1"/>
  <c r="Z120" i="1"/>
  <c r="AA120" i="1"/>
  <c r="AB120" i="1"/>
  <c r="Y121" i="1"/>
  <c r="Z121" i="1"/>
  <c r="AA121" i="1"/>
  <c r="AB121" i="1"/>
  <c r="Y122" i="1"/>
  <c r="Z122" i="1"/>
  <c r="AA122" i="1"/>
  <c r="AB122" i="1"/>
  <c r="Y123" i="1"/>
  <c r="Z123" i="1"/>
  <c r="AA123" i="1"/>
  <c r="AB123" i="1"/>
  <c r="Z106" i="1"/>
  <c r="AA106" i="1"/>
  <c r="AB106" i="1"/>
  <c r="Y106" i="1"/>
  <c r="O120" i="27"/>
  <c r="O119" i="27" s="1"/>
  <c r="O118" i="27" s="1"/>
  <c r="O117" i="27" s="1"/>
  <c r="O116" i="27" s="1"/>
  <c r="O115" i="27" s="1"/>
  <c r="O114" i="27" s="1"/>
  <c r="O113" i="27" s="1"/>
  <c r="O112" i="27" s="1"/>
  <c r="O111" i="27" s="1"/>
  <c r="O110" i="27" s="1"/>
  <c r="O109" i="27" s="1"/>
  <c r="O108" i="27" s="1"/>
  <c r="O107" i="27" s="1"/>
  <c r="O106" i="27" s="1"/>
  <c r="P120" i="27"/>
  <c r="P119" i="27" s="1"/>
  <c r="P118" i="27" s="1"/>
  <c r="P117" i="27" s="1"/>
  <c r="P116" i="27" s="1"/>
  <c r="P115" i="27" s="1"/>
  <c r="P114" i="27" s="1"/>
  <c r="P113" i="27" s="1"/>
  <c r="P112" i="27" s="1"/>
  <c r="P111" i="27" s="1"/>
  <c r="P110" i="27" s="1"/>
  <c r="P109" i="27" s="1"/>
  <c r="P108" i="27" s="1"/>
  <c r="P107" i="27" s="1"/>
  <c r="P106" i="27" s="1"/>
  <c r="Q120" i="27"/>
  <c r="Q119" i="27" s="1"/>
  <c r="Q118" i="27" s="1"/>
  <c r="Q117" i="27" s="1"/>
  <c r="Q116" i="27" s="1"/>
  <c r="Q115" i="27" s="1"/>
  <c r="Q114" i="27" s="1"/>
  <c r="Q113" i="27" s="1"/>
  <c r="Q112" i="27" s="1"/>
  <c r="Q111" i="27" s="1"/>
  <c r="Q110" i="27" s="1"/>
  <c r="Q109" i="27" s="1"/>
  <c r="Q108" i="27" s="1"/>
  <c r="Q107" i="27" s="1"/>
  <c r="Q106" i="27" s="1"/>
  <c r="R120" i="27"/>
  <c r="R119" i="27" s="1"/>
  <c r="R118" i="27" s="1"/>
  <c r="R117" i="27" s="1"/>
  <c r="R116" i="27" s="1"/>
  <c r="R115" i="27" s="1"/>
  <c r="R114" i="27" s="1"/>
  <c r="R113" i="27" s="1"/>
  <c r="R112" i="27" s="1"/>
  <c r="R111" i="27" s="1"/>
  <c r="R110" i="27" s="1"/>
  <c r="R109" i="27" s="1"/>
  <c r="R108" i="27" s="1"/>
  <c r="R107" i="27" s="1"/>
  <c r="R106" i="27" s="1"/>
  <c r="O121" i="27"/>
  <c r="P121" i="27"/>
  <c r="Q121" i="27"/>
  <c r="R121" i="27"/>
  <c r="R122" i="27"/>
  <c r="Q122" i="27"/>
  <c r="P122" i="27"/>
  <c r="O122" i="27"/>
  <c r="P123" i="27"/>
  <c r="Q123" i="27"/>
  <c r="R123" i="27"/>
  <c r="O123" i="27"/>
  <c r="B123" i="27"/>
  <c r="C123" i="27"/>
  <c r="D123" i="27"/>
  <c r="E123" i="27"/>
  <c r="I108" i="27"/>
  <c r="I109" i="27"/>
  <c r="I110" i="27"/>
  <c r="I111" i="27"/>
  <c r="I112" i="27"/>
  <c r="I113" i="27"/>
  <c r="I114" i="27"/>
  <c r="I115" i="27"/>
  <c r="I116" i="27"/>
  <c r="I117" i="27"/>
  <c r="I118" i="27"/>
  <c r="I119" i="27"/>
  <c r="I120" i="27"/>
  <c r="I121" i="27"/>
  <c r="I122" i="27"/>
  <c r="I123" i="27"/>
  <c r="I107" i="27"/>
  <c r="A8" i="27" l="1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7" i="27"/>
  <c r="AD112" i="1"/>
  <c r="AD113" i="1"/>
  <c r="AD114" i="1"/>
  <c r="AD115" i="1"/>
  <c r="AD116" i="1"/>
  <c r="G7" i="17"/>
  <c r="G8" i="17"/>
  <c r="G9" i="17"/>
  <c r="G10" i="17"/>
  <c r="G11" i="17"/>
  <c r="G12" i="17"/>
  <c r="AG129" i="1"/>
  <c r="AH129" i="1"/>
  <c r="AI129" i="1"/>
  <c r="AJ129" i="1"/>
  <c r="AG130" i="1"/>
  <c r="AH130" i="1"/>
  <c r="AI130" i="1"/>
  <c r="AJ130" i="1"/>
  <c r="AG131" i="1"/>
  <c r="AH131" i="1"/>
  <c r="AI131" i="1"/>
  <c r="AJ131" i="1"/>
  <c r="H2" i="24"/>
  <c r="AJ104" i="1" s="1"/>
  <c r="AG104" i="1"/>
  <c r="AH104" i="1"/>
  <c r="AI104" i="1"/>
  <c r="AG105" i="1"/>
  <c r="AH105" i="1"/>
  <c r="AI105" i="1"/>
  <c r="AJ105" i="1"/>
  <c r="AG106" i="1"/>
  <c r="AH106" i="1"/>
  <c r="AI106" i="1"/>
  <c r="AJ106" i="1"/>
  <c r="H29" i="20"/>
  <c r="H28" i="20"/>
  <c r="H27" i="20"/>
  <c r="H2" i="20"/>
  <c r="H3" i="20"/>
  <c r="H4" i="20"/>
  <c r="H5" i="20"/>
  <c r="H29" i="21"/>
  <c r="H28" i="21"/>
  <c r="H27" i="21"/>
  <c r="H2" i="21"/>
  <c r="H3" i="21"/>
  <c r="H4" i="21"/>
  <c r="H5" i="21"/>
  <c r="H29" i="23"/>
  <c r="H28" i="23"/>
  <c r="H27" i="23"/>
  <c r="H4" i="23"/>
  <c r="H3" i="23"/>
  <c r="H2" i="23" s="1"/>
  <c r="H29" i="24"/>
  <c r="H28" i="24"/>
  <c r="H27" i="24"/>
  <c r="H3" i="24"/>
  <c r="H4" i="24"/>
  <c r="H5" i="24"/>
  <c r="AG107" i="1"/>
  <c r="AH107" i="1"/>
  <c r="AI107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02" i="1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8" i="6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12" i="1"/>
  <c r="DL34" i="25"/>
  <c r="DL35" i="25" s="1"/>
  <c r="DL36" i="25" s="1"/>
  <c r="DL33" i="25"/>
  <c r="DL29" i="25"/>
  <c r="DL30" i="25" s="1"/>
  <c r="DL31" i="25" s="1"/>
  <c r="DL28" i="25"/>
  <c r="DL24" i="25"/>
  <c r="DL25" i="25" s="1"/>
  <c r="DL26" i="25" s="1"/>
  <c r="DL23" i="25"/>
  <c r="DL19" i="25"/>
  <c r="DL20" i="25"/>
  <c r="DL21" i="25" s="1"/>
  <c r="DL18" i="25"/>
  <c r="DL14" i="25"/>
  <c r="DL15" i="25"/>
  <c r="DL16" i="25"/>
  <c r="DL13" i="25"/>
  <c r="DL22" i="25"/>
  <c r="DL27" i="25"/>
  <c r="DL32" i="25"/>
  <c r="DL37" i="25"/>
  <c r="DL17" i="25"/>
  <c r="DL12" i="25"/>
  <c r="DK12" i="25"/>
  <c r="DK17" i="25"/>
  <c r="DK22" i="25"/>
  <c r="DK27" i="25"/>
  <c r="DK32" i="25"/>
  <c r="DK37" i="25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D123" i="1" l="1"/>
  <c r="D124" i="1"/>
  <c r="D125" i="1"/>
  <c r="D126" i="1"/>
  <c r="D127" i="1"/>
  <c r="C123" i="1"/>
  <c r="C124" i="1"/>
  <c r="C125" i="1"/>
  <c r="C126" i="1"/>
  <c r="C127" i="1"/>
  <c r="AE123" i="1"/>
  <c r="AE124" i="1"/>
  <c r="AE125" i="1"/>
  <c r="AE126" i="1"/>
  <c r="AE127" i="1"/>
  <c r="AE128" i="1"/>
  <c r="AE129" i="1"/>
  <c r="AE130" i="1"/>
  <c r="AE122" i="1"/>
  <c r="H20" i="17"/>
  <c r="H21" i="17"/>
  <c r="H22" i="17"/>
  <c r="H23" i="17"/>
  <c r="H24" i="17"/>
  <c r="H25" i="17"/>
  <c r="H26" i="17"/>
  <c r="H27" i="17"/>
  <c r="H19" i="17"/>
  <c r="H18" i="17"/>
  <c r="E128" i="1"/>
  <c r="E129" i="1" s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04" i="1"/>
  <c r="E88" i="1"/>
  <c r="E118" i="1"/>
  <c r="E119" i="1" s="1"/>
  <c r="E120" i="1" s="1"/>
  <c r="E121" i="1" s="1"/>
  <c r="E122" i="1" s="1"/>
  <c r="E123" i="1" s="1"/>
  <c r="E124" i="1" s="1"/>
  <c r="E125" i="1" s="1"/>
  <c r="E126" i="1" s="1"/>
  <c r="E108" i="1"/>
  <c r="E109" i="1" s="1"/>
  <c r="E110" i="1" s="1"/>
  <c r="E111" i="1" s="1"/>
  <c r="E112" i="1" s="1"/>
  <c r="E113" i="1" s="1"/>
  <c r="E114" i="1" s="1"/>
  <c r="E115" i="1" s="1"/>
  <c r="E116" i="1" s="1"/>
  <c r="E98" i="1"/>
  <c r="E99" i="1" s="1"/>
  <c r="E100" i="1" s="1"/>
  <c r="E101" i="1" s="1"/>
  <c r="E102" i="1" s="1"/>
  <c r="E103" i="1" s="1"/>
  <c r="E104" i="1" s="1"/>
  <c r="E105" i="1" s="1"/>
  <c r="E106" i="1" s="1"/>
  <c r="E89" i="1"/>
  <c r="E90" i="1" s="1"/>
  <c r="E91" i="1" s="1"/>
  <c r="E92" i="1" s="1"/>
  <c r="E93" i="1" s="1"/>
  <c r="E94" i="1" s="1"/>
  <c r="E95" i="1" s="1"/>
  <c r="E96" i="1" s="1"/>
  <c r="F88" i="1"/>
  <c r="G14" i="17"/>
  <c r="AD118" i="1" s="1"/>
  <c r="G15" i="17"/>
  <c r="AD119" i="1" s="1"/>
  <c r="G16" i="17"/>
  <c r="AD120" i="1" s="1"/>
  <c r="G17" i="17"/>
  <c r="AD121" i="1" s="1"/>
  <c r="G18" i="17"/>
  <c r="AD122" i="1" s="1"/>
  <c r="G19" i="17"/>
  <c r="AD123" i="1" s="1"/>
  <c r="G20" i="17"/>
  <c r="AD124" i="1" s="1"/>
  <c r="G21" i="17"/>
  <c r="AD125" i="1" s="1"/>
  <c r="G22" i="17"/>
  <c r="AD126" i="1" s="1"/>
  <c r="G23" i="17"/>
  <c r="AD127" i="1" s="1"/>
  <c r="G24" i="17"/>
  <c r="AD128" i="1" s="1"/>
  <c r="G25" i="17"/>
  <c r="AD129" i="1" s="1"/>
  <c r="G13" i="17"/>
  <c r="AD117" i="1" s="1"/>
  <c r="F18" i="17"/>
  <c r="F19" i="17"/>
  <c r="AC123" i="1" s="1"/>
  <c r="F20" i="17"/>
  <c r="AC124" i="1" s="1"/>
  <c r="F21" i="17"/>
  <c r="AC125" i="1" s="1"/>
  <c r="F22" i="17"/>
  <c r="AC126" i="1" s="1"/>
  <c r="F23" i="17"/>
  <c r="AC127" i="1" s="1"/>
  <c r="F24" i="17"/>
  <c r="AC128" i="1" s="1"/>
  <c r="F25" i="17"/>
  <c r="AC129" i="1" s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21" i="12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77" i="1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21" i="9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77" i="1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21" i="10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77" i="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21" i="11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21" i="13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77" i="1"/>
  <c r="C73" i="13"/>
  <c r="C74" i="13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0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77" i="1"/>
  <c r="AJ10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785428-5D7B-A44E-877F-B4A191D6ED95}" keepAlive="1" name="Query - annual-reported-passenger-kilometers" description="Connection to the 'annual-reported-passenger-kilometers' query in the workbook." type="5" refreshedVersion="0" background="1" saveData="1">
    <dbPr connection="Provider=Microsoft.Mashup.OleDb.1;Data Source=$Workbook$;Location=annual-reported-passenger-kilometers;Extended Properties=&quot;&quot;" command="SELECT * FROM [annual-reported-passenger-kilometers]"/>
  </connection>
  <connection id="2" xr16:uid="{E0F10918-CB10-9D4C-85E8-BC633E509C37}" keepAlive="1" name="Query - annual-reported-passenger-kilometers (2)" description="Connection to the 'annual-reported-passenger-kilometers (2)' query in the workbook." type="5" refreshedVersion="0" background="1" saveData="1">
    <dbPr connection="Provider=Microsoft.Mashup.OleDb.1;Data Source=$Workbook$;Location=&quot;annual-reported-passenger-kilometers (2)&quot;;Extended Properties=&quot;&quot;" command="SELECT * FROM [annual-reported-passenger-kilometers (2)]"/>
  </connection>
  <connection id="3" xr16:uid="{B4EDBDC6-516E-1E47-AE36-111E57508548}" keepAlive="1" name="Query - annual-reported-passenger-kilometers (3)" description="Connection to the 'annual-reported-passenger-kilometers (3)' query in the workbook." type="5" refreshedVersion="8" background="1" saveData="1">
    <dbPr connection="Provider=Microsoft.Mashup.OleDb.1;Data Source=$Workbook$;Location=&quot;annual-reported-passenger-kilometers (3)&quot;;Extended Properties=&quot;&quot;" command="SELECT * FROM [annual-reported-passenger-kilometers (3)]"/>
  </connection>
  <connection id="4" xr16:uid="{569D8E9E-577A-8548-B726-D36C4516F476}" keepAlive="1" name="Query - eu-27_passenger transport activity (gpkm) for different transport modes accordin" description="Connection to the 'eu-27_passenger transport activity (gpkm) for different transport modes accordin' query in the workbook." type="5" refreshedVersion="8" background="1" saveData="1">
    <dbPr connection="Provider=Microsoft.Mashup.OleDb.1;Data Source=$Workbook$;Location=&quot;eu-27_passenger transport activity (gpkm) for different transport modes accordin&quot;;Extended Properties=&quot;&quot;" command="SELECT * FROM [eu-27_passenger transport activity (gpkm) for different transport modes accordin]"/>
  </connection>
  <connection id="5" xr16:uid="{6466A73A-CDB8-B645-9E56-00E50CC732BE}" keepAlive="1" name="Query - germany" description="Connection to the 'germany' query in the workbook." type="5" refreshedVersion="8" background="1" saveData="1">
    <dbPr connection="Provider=Microsoft.Mashup.OleDb.1;Data Source=$Workbook$;Location=germany;Extended Properties=&quot;&quot;" command="SELECT * FROM [germany]"/>
  </connection>
  <connection id="6" xr16:uid="{F3796C7E-2A7E-644D-904A-32FA74A299C1}" keepAlive="1" name="Query - india" description="Connection to the 'india' query in the workbook." type="5" refreshedVersion="8" background="1" saveData="1">
    <dbPr connection="Provider=Microsoft.Mashup.OleDb.1;Data Source=$Workbook$;Location=india;Extended Properties=&quot;&quot;" command="SELECT * FROM [india]"/>
  </connection>
  <connection id="7" xr16:uid="{12C2FF68-F664-5742-8968-CAC52FA0A177}" keepAlive="1" name="Query - japan" description="Connection to the 'japan' query in the workbook." type="5" refreshedVersion="8" background="1" saveData="1">
    <dbPr connection="Provider=Microsoft.Mashup.OleDb.1;Data Source=$Workbook$;Location=japan;Extended Properties=&quot;&quot;" command="SELECT * FROM [japan]"/>
  </connection>
  <connection id="8" xr16:uid="{C5C886EE-0B7B-E24F-A375-276CC3933530}" keepAlive="1" name="Query - population" description="Connection to the 'population' query in the workbook." type="5" refreshedVersion="8" background="1" saveData="1">
    <dbPr connection="Provider=Microsoft.Mashup.OleDb.1;Data Source=$Workbook$;Location=population;Extended Properties=&quot;&quot;" command="SELECT * FROM [population]"/>
  </connection>
  <connection id="9" xr16:uid="{915D7857-DC87-9D49-B200-FCAE67C9B545}" keepAlive="1" name="Query - population (2)" description="Connection to the 'population (2)' query in the workbook." type="5" refreshedVersion="8" background="1" saveData="1">
    <dbPr connection="Provider=Microsoft.Mashup.OleDb.1;Data Source=$Workbook$;Location=&quot;population (2)&quot;;Extended Properties=&quot;&quot;" command="SELECT * FROM [population (2)]"/>
  </connection>
  <connection id="10" xr16:uid="{C9A1FEF0-27C0-AA41-9889-DB2D69762DA5}" keepAlive="1" name="Query - population (3)" description="Connection to the 'population (3)' query in the workbook." type="5" refreshedVersion="8" background="1" saveData="1">
    <dbPr connection="Provider=Microsoft.Mashup.OleDb.1;Data Source=$Workbook$;Location=&quot;population (3)&quot;;Extended Properties=&quot;&quot;" command="SELECT * FROM [population (3)]"/>
  </connection>
  <connection id="11" xr16:uid="{A65AACF7-AAFB-264A-BEFC-A30D9A9B91BF}" keepAlive="1" name="Query - population-unwpp" description="Connection to the 'population-unwpp' query in the workbook." type="5" refreshedVersion="0" background="1" saveData="1">
    <dbPr connection="Provider=Microsoft.Mashup.OleDb.1;Data Source=$Workbook$;Location=population-unwpp;Extended Properties=&quot;&quot;" command="SELECT * FROM [population-unwpp]"/>
  </connection>
  <connection id="12" xr16:uid="{B214AB6E-2C59-D44E-A773-E403EC47CE7B}" keepAlive="1" name="Query - population-unwpp (2)" description="Connection to the 'population-unwpp (2)' query in the workbook." type="5" refreshedVersion="8" background="1" saveData="1">
    <dbPr connection="Provider=Microsoft.Mashup.OleDb.1;Data Source=$Workbook$;Location=&quot;population-unwpp (2)&quot;;Extended Properties=&quot;&quot;" command="SELECT * FROM [population-unwpp (2)]"/>
  </connection>
  <connection id="13" xr16:uid="{12035742-AEB4-F548-867A-8378682761C2}" keepAlive="1" name="Query - RES_summary" description="Connection to the 'RES_summary' query in the workbook." type="5" refreshedVersion="8" background="1" saveData="1">
    <dbPr connection="Provider=Microsoft.Mashup.OleDb.1;Data Source=$Workbook$;Location=RES_summary;Extended Properties=&quot;&quot;" command="SELECT * FROM [RES_summary]"/>
  </connection>
  <connection id="14" xr16:uid="{D05E4E3B-7BDF-894C-AD63-F36AE588F669}" keepAlive="1" name="Query - RES_summary (2)" description="Connection to the 'RES_summary (2)' query in the workbook." type="5" refreshedVersion="8" background="1" saveData="1">
    <dbPr connection="Provider=Microsoft.Mashup.OleDb.1;Data Source=$Workbook$;Location=&quot;RES_summary (2)&quot;;Extended Properties=&quot;&quot;" command="SELECT * FROM [RES_summary (2)]"/>
  </connection>
  <connection id="15" xr16:uid="{963F0348-24C3-CD42-A89A-750F5B762991}" keepAlive="1" name="Query - RES_summary (3)" description="Connection to the 'RES_summary (3)' query in the workbook." type="5" refreshedVersion="0" background="1" saveData="1">
    <dbPr connection="Provider=Microsoft.Mashup.OleDb.1;Data Source=$Workbook$;Location=&quot;RES_summary (3)&quot;;Extended Properties=&quot;&quot;" command="SELECT * FROM [RES_summary (3)]"/>
  </connection>
  <connection id="16" xr16:uid="{7B736376-8944-6140-80D1-46FC85A2A50A}" keepAlive="1" name="Query - RES_summary (4)" description="Connection to the 'RES_summary (4)' query in the workbook." type="5" refreshedVersion="8" background="1" saveData="1">
    <dbPr connection="Provider=Microsoft.Mashup.OleDb.1;Data Source=$Workbook$;Location=&quot;RES_summary (4)&quot;;Extended Properties=&quot;&quot;" command="SELECT * FROM [RES_summary (4)]"/>
  </connection>
  <connection id="17" xr16:uid="{7D2DBABA-D359-A748-BBA1-E5DEF3222E0C}" keepAlive="1" name="Query - RES_summary (5)" description="Connection to the 'RES_summary (5)' query in the workbook." type="5" refreshedVersion="8" background="1" saveData="1">
    <dbPr connection="Provider=Microsoft.Mashup.OleDb.1;Data Source=$Workbook$;Location=&quot;RES_summary (5)&quot;;Extended Properties=&quot;&quot;" command="SELECT * FROM [RES_summary (5)]"/>
  </connection>
  <connection id="18" xr16:uid="{CE40AB53-71AD-1D47-B60D-4D053BA4E397}" keepAlive="1" name="Query - uk" description="Connection to the 'uk' query in the workbook." type="5" refreshedVersion="8" background="1" saveData="1">
    <dbPr connection="Provider=Microsoft.Mashup.OleDb.1;Data Source=$Workbook$;Location=uk;Extended Properties=&quot;&quot;" command="SELECT * FROM [uk]"/>
  </connection>
  <connection id="19" xr16:uid="{099035BC-7448-9A42-BD1F-8503140A228A}" keepAlive="1" name="Query - us" description="Connection to the 'us' query in the workbook." type="5" refreshedVersion="8" background="1" saveData="1">
    <dbPr connection="Provider=Microsoft.Mashup.OleDb.1;Data Source=$Workbook$;Location=us;Extended Properties=&quot;&quot;" command="SELECT * FROM [us]"/>
  </connection>
  <connection id="20" xr16:uid="{6F3590B7-2D43-4E4F-8390-949FDC2C41B2}" keepAlive="1" name="Query - vegetable-consumption-per-capita" description="Connection to the 'vegetable-consumption-per-capita' query in the workbook." type="5" refreshedVersion="0" background="1" saveData="1">
    <dbPr connection="Provider=Microsoft.Mashup.OleDb.1;Data Source=$Workbook$;Location=vegetable-consumption-per-capita;Extended Properties=&quot;&quot;" command="SELECT * FROM [vegetable-consumption-per-capita]"/>
  </connection>
</connections>
</file>

<file path=xl/sharedStrings.xml><?xml version="1.0" encoding="utf-8"?>
<sst xmlns="http://schemas.openxmlformats.org/spreadsheetml/2006/main" count="10410" uniqueCount="2090">
  <si>
    <t>SI</t>
  </si>
  <si>
    <t>co-housing</t>
  </si>
  <si>
    <t xml:space="preserve">co-housing </t>
  </si>
  <si>
    <t xml:space="preserve">mobesity </t>
  </si>
  <si>
    <t>microfinance</t>
  </si>
  <si>
    <t>eating less meat</t>
  </si>
  <si>
    <t>climate protest</t>
  </si>
  <si>
    <t xml:space="preserve">active mobility </t>
  </si>
  <si>
    <t>car sharing</t>
  </si>
  <si>
    <t>firm ESG reporting</t>
  </si>
  <si>
    <t>e-bikes</t>
  </si>
  <si>
    <t>low carbon long distance travel</t>
  </si>
  <si>
    <t>passive building retrofits</t>
  </si>
  <si>
    <t>Indicator</t>
  </si>
  <si>
    <t>Population</t>
  </si>
  <si>
    <t xml:space="preserve">Population </t>
  </si>
  <si>
    <t xml:space="preserve">heaviest vehicle available </t>
  </si>
  <si>
    <t>total kg food</t>
  </si>
  <si>
    <t>population</t>
  </si>
  <si>
    <t>share of companies that use GRI reporting</t>
  </si>
  <si>
    <t>total bike sales</t>
  </si>
  <si>
    <t>road+rail pkm</t>
  </si>
  <si>
    <t>Country</t>
  </si>
  <si>
    <t>US</t>
  </si>
  <si>
    <t>Germany</t>
  </si>
  <si>
    <t>Denmark</t>
  </si>
  <si>
    <t>Vaud</t>
  </si>
  <si>
    <t>Bangladesh</t>
  </si>
  <si>
    <t>Nigeria</t>
  </si>
  <si>
    <t>Japan</t>
  </si>
  <si>
    <t>India</t>
  </si>
  <si>
    <t>UK</t>
  </si>
  <si>
    <t>Global</t>
  </si>
  <si>
    <t>Netherlands</t>
  </si>
  <si>
    <t>Asia-Pacific</t>
  </si>
  <si>
    <t>Europe</t>
  </si>
  <si>
    <t>Americas</t>
  </si>
  <si>
    <t>Middle East &amp; Africa</t>
  </si>
  <si>
    <t>China</t>
  </si>
  <si>
    <t>EU</t>
  </si>
  <si>
    <t>Austria</t>
  </si>
  <si>
    <t>Belgium</t>
  </si>
  <si>
    <t>Ireland</t>
  </si>
  <si>
    <t>Source</t>
  </si>
  <si>
    <t>census.gov</t>
  </si>
  <si>
    <t>ourworldindata.org</t>
  </si>
  <si>
    <t>Our World in Data</t>
  </si>
  <si>
    <t>original eating less meat data</t>
  </si>
  <si>
    <t>globalreporting.org</t>
  </si>
  <si>
    <t>Statisa</t>
  </si>
  <si>
    <t>URL</t>
  </si>
  <si>
    <t>https://ourworldindata.org/grapher/population-unwpp?country=DNK~DEU~CHE</t>
  </si>
  <si>
    <t>https://citypopulation.de/en/switzerland/cities/</t>
  </si>
  <si>
    <t xml:space="preserve">https://ourworldindata.org/grapher/population?time=1890..latest&amp;country=IND~BGD~NGA </t>
  </si>
  <si>
    <t xml:space="preserve">https://ourworldindata.org/grapher/population?time=1909..latest&amp;country=USA~OWID_WRL~GBR </t>
  </si>
  <si>
    <t xml:space="preserve">https://ourworldindata.org/grapher/population?time=1909..latest&amp;country=~NLD </t>
  </si>
  <si>
    <t>https://ourworldindata.org/grapher/annual-reported-passenger-kilometers?country=~NLD</t>
  </si>
  <si>
    <t>https://www.globalreporting.org/news/news-center/gri-global-adoption-by-top-companies-continues-to-grow/</t>
  </si>
  <si>
    <t>see ebikes sheet for url</t>
  </si>
  <si>
    <t>units</t>
  </si>
  <si>
    <t>people</t>
  </si>
  <si>
    <t xml:space="preserve">people </t>
  </si>
  <si>
    <t>kg</t>
  </si>
  <si>
    <t>kg food</t>
  </si>
  <si>
    <t xml:space="preserve">% </t>
  </si>
  <si>
    <t>million</t>
  </si>
  <si>
    <t>pkm</t>
  </si>
  <si>
    <t>Entity</t>
  </si>
  <si>
    <t>Code</t>
  </si>
  <si>
    <t>Year</t>
  </si>
  <si>
    <t>Population (historical)</t>
  </si>
  <si>
    <t>NLD</t>
  </si>
  <si>
    <t>bikes</t>
  </si>
  <si>
    <t>E-bike sales</t>
  </si>
  <si>
    <t>Bike sales</t>
  </si>
  <si>
    <t>netherlands</t>
  </si>
  <si>
    <t>Statista</t>
  </si>
  <si>
    <t>https://www-statista-com.libproxy.berkeley.edu/statistics/255662/sales-of-electric-bicycles-in-china/</t>
  </si>
  <si>
    <t>https://www.statista.com/outlook/mmo/bicycles/china#unit-sales</t>
  </si>
  <si>
    <t>https://www-statista-com.libproxy.berkeley.edu/statistics/801377/sales-volume-of-new-e-bikes-in-the-netherlands/</t>
  </si>
  <si>
    <t>https://www-statista-com.libproxy.berkeley.edu/statistics/620866/sales-volume-of-new-bicycles-in-the-netherlands/</t>
  </si>
  <si>
    <t>https://www-statista-com.libproxy.berkeley.edu/statistics/1353343/electric-bike-sales-europe/</t>
  </si>
  <si>
    <t>millions</t>
  </si>
  <si>
    <t>thousands</t>
  </si>
  <si>
    <t>milions</t>
  </si>
  <si>
    <t>low-carbon long distance travel</t>
  </si>
  <si>
    <t>Passenger-km for all modes of road transport</t>
  </si>
  <si>
    <t>Passenger-km for railway</t>
  </si>
  <si>
    <t>Passenger-km for vehicles</t>
  </si>
  <si>
    <t>Passenger-km for buses</t>
  </si>
  <si>
    <t>Passenger-km for mopeds</t>
  </si>
  <si>
    <t>Passenger-km for motorcycles</t>
  </si>
  <si>
    <t>https://ourworldindata.org/grapher/annual-reported-passenger-kilometers</t>
  </si>
  <si>
    <t>https://www.statista.com/statistics/437580/total-passenger-road-transport-in-germany/</t>
  </si>
  <si>
    <t>https://www-statista-com.libproxy.berkeley.edu/forecasts/1152005/railway-passenger-km-forecast-in-germany</t>
  </si>
  <si>
    <t>https://www-statista-com.libproxy.berkeley.edu/statistics/1367124/car-kilometers-driven-germany/</t>
  </si>
  <si>
    <t>https://www-statista-com.libproxy.berkeley.edu/statistics/1367134/bus-kilometers-driven-germany/</t>
  </si>
  <si>
    <t>https://www-statista-com.libproxy.berkeley.edu/statistics/1367089/motorcycle-kilometers-driven-germany/</t>
  </si>
  <si>
    <t>https://www-statista-com.libproxy.berkeley.edu/statistics/437009/passengers-transported-by-rail-in-germany-in-million-passenger-kilometres/</t>
  </si>
  <si>
    <t>km</t>
  </si>
  <si>
    <t>million km</t>
  </si>
  <si>
    <t>billion km</t>
  </si>
  <si>
    <t>cummulative passive house units</t>
  </si>
  <si>
    <t>new or total buildings, by year, country</t>
  </si>
  <si>
    <t>Belgium, Germany, Austria, Ireland</t>
  </si>
  <si>
    <t>Welch et al., 2023</t>
  </si>
  <si>
    <t>International Passive House Institute, 2025</t>
  </si>
  <si>
    <t>https://www.sciencedirect.com/science/article/abs/pii/S0360132323009654#:~:text=Passive%20House%20retrofits%20are%20an,retrofits%20are%20still%20so%20rare.</t>
  </si>
  <si>
    <t>https://passivehouse-international.org/index.php?page_id=65</t>
  </si>
  <si>
    <t>Column1</t>
  </si>
  <si>
    <t>**see cohousing and microfinance for Bangladesh, india, and Germany pop. data</t>
  </si>
  <si>
    <t>United Kingdom</t>
  </si>
  <si>
    <t>GBR</t>
  </si>
  <si>
    <t>United States</t>
  </si>
  <si>
    <t>USA</t>
  </si>
  <si>
    <t>World</t>
  </si>
  <si>
    <t>OWID_WRL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</si>
  <si>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</si>
  <si>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</si>
  <si>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</si>
  <si>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</si>
  <si>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</si>
  <si>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</si>
  <si>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</si>
  <si>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</si>
  <si>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</si>
  <si>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</si>
  <si>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</si>
  <si>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</si>
  <si>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</si>
  <si>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</si>
  <si>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</si>
  <si>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</si>
  <si>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</si>
  <si>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</si>
  <si>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</si>
  <si>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</si>
  <si>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</si>
  <si>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</si>
  <si>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</si>
  <si>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</si>
  <si>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</si>
  <si>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</si>
  <si>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</si>
  <si>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</si>
  <si>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</si>
  <si>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</si>
  <si>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</si>
  <si>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</si>
  <si>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</si>
  <si>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</si>
  <si>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EDITS Fast Track: Diffusion of Social Innovations</t>
  </si>
  <si>
    <t>Data Collection Template</t>
  </si>
  <si>
    <t>(see next tab for other indicators to fill in)</t>
  </si>
  <si>
    <t>Name of social innovation:</t>
  </si>
  <si>
    <t>Eating less meat</t>
  </si>
  <si>
    <t>Alternate names:</t>
  </si>
  <si>
    <t>Vegetarian diet</t>
  </si>
  <si>
    <t>Time scale:</t>
  </si>
  <si>
    <t>50 years</t>
  </si>
  <si>
    <t>add timescale of data (&gt;10 years if possible)</t>
  </si>
  <si>
    <t>Spatial scale (or adoption niche):</t>
  </si>
  <si>
    <t>add spatial scale of data (e.g., early-adopting social group, city, country) * complete separate data collection template for different spatial scales *</t>
  </si>
  <si>
    <t>Indicators of diffusion:</t>
  </si>
  <si>
    <t>select 'Adoption over time' plus as many others as possible from the Indicators worksheet!</t>
  </si>
  <si>
    <t>Indicator 2.4</t>
  </si>
  <si>
    <t>Indicator 2.1</t>
  </si>
  <si>
    <t>Indicator 1.1</t>
  </si>
  <si>
    <t>indicator name:</t>
  </si>
  <si>
    <t>Ease of Use</t>
  </si>
  <si>
    <t>Learning</t>
  </si>
  <si>
    <t>Adoption over time</t>
  </si>
  <si>
    <t>indicator description:</t>
  </si>
  <si>
    <t>Vegetable consumption per capita</t>
  </si>
  <si>
    <t>Meat supply/person</t>
  </si>
  <si>
    <t>Daily meat consumption/person</t>
  </si>
  <si>
    <t>per capita poultry consumption</t>
  </si>
  <si>
    <t>per capita pig consumption</t>
  </si>
  <si>
    <t>per capita beef consumption</t>
  </si>
  <si>
    <t>per capita sheep &amp; goat consumption</t>
  </si>
  <si>
    <t>per capita meat consumption/other</t>
  </si>
  <si>
    <t>per capita total meat consumption</t>
  </si>
  <si>
    <t>% poultry+pig in total meat consumption</t>
  </si>
  <si>
    <t>% beef+sheep+goat in total meat consumption</t>
  </si>
  <si>
    <t>metric used (with units):</t>
  </si>
  <si>
    <t>Kg/year</t>
  </si>
  <si>
    <t>g/day</t>
  </si>
  <si>
    <t>kg/yr</t>
  </si>
  <si>
    <t>Kg/yr</t>
  </si>
  <si>
    <t>% kg/yr</t>
  </si>
  <si>
    <t>data source(s):</t>
  </si>
  <si>
    <t>FAO (Our World in Data)</t>
  </si>
  <si>
    <t>estimated from FAO data</t>
  </si>
  <si>
    <t>comments or explanations:</t>
  </si>
  <si>
    <t>year</t>
  </si>
  <si>
    <t>values</t>
  </si>
  <si>
    <t xml:space="preserve">Adoption over time </t>
  </si>
  <si>
    <t xml:space="preserve">Germany </t>
  </si>
  <si>
    <t>Population - Sex: all - Age: all - Variant: estimates</t>
  </si>
  <si>
    <t>DNK</t>
  </si>
  <si>
    <t>DEU</t>
  </si>
  <si>
    <t>Switzerland</t>
  </si>
  <si>
    <t>CHE</t>
  </si>
  <si>
    <t>BGD</t>
  </si>
  <si>
    <t>IND</t>
  </si>
  <si>
    <t>NGA</t>
  </si>
  <si>
    <t>Passenger kilometers by rail</t>
  </si>
  <si>
    <t>Passenger kilometers by road</t>
  </si>
  <si>
    <t>Passenger-km for all rail transport</t>
  </si>
  <si>
    <t>AT - Residential sector summary</t>
  </si>
  <si>
    <t>Household consumption expenditure (M€ at 2015 prices)</t>
  </si>
  <si>
    <t>Population (inhabitants)</t>
  </si>
  <si>
    <t>Number of households</t>
  </si>
  <si>
    <t>Total households useful surface area (in thousand sqm)</t>
  </si>
  <si>
    <t>Number of new and renovated households</t>
  </si>
  <si>
    <t>New and renovated households useful surface area (in thousand sqm)</t>
  </si>
  <si>
    <t>Actual heating degree-days</t>
  </si>
  <si>
    <t>Mean heating degree-days over period 2000 - 2020</t>
  </si>
  <si>
    <t>Relative heating degree-days</t>
  </si>
  <si>
    <t>Indicators</t>
  </si>
  <si>
    <t>Households size (inhabitants/household)</t>
  </si>
  <si>
    <t>Households useful surface area (in sqm/capita)</t>
  </si>
  <si>
    <t>Households useful surface area (in sqm/household)</t>
  </si>
  <si>
    <t>New and renovated households useful surface area (in sqm/capita)</t>
  </si>
  <si>
    <t>New and renovated households useful surface area (in sqm/household)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</si>
  <si>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</si>
  <si>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</si>
  <si>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</si>
  <si>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Energy consumption</t>
  </si>
  <si>
    <t>Energy consumption by fuel - Eurostat structure (ktoe)</t>
  </si>
  <si>
    <t>Solids</t>
  </si>
  <si>
    <t>Liquids</t>
  </si>
  <si>
    <t>Liquified petroleum gas (LPG)</t>
  </si>
  <si>
    <t>Diesel oil and other liquids (without biofuels)</t>
  </si>
  <si>
    <t>Natural gas</t>
  </si>
  <si>
    <t>Renewable energies and wastes</t>
  </si>
  <si>
    <t>Biomass and waste</t>
  </si>
  <si>
    <t>Biogas</t>
  </si>
  <si>
    <t>Liquid biofuels</t>
  </si>
  <si>
    <t>Solar</t>
  </si>
  <si>
    <t>Geothermal</t>
  </si>
  <si>
    <t>Ambient heat</t>
  </si>
  <si>
    <t>Distributed heat</t>
  </si>
  <si>
    <t>Electricity</t>
  </si>
  <si>
    <t>Column43</t>
  </si>
  <si>
    <t>Energy consumption by end-uses (ktoe)</t>
  </si>
  <si>
    <t>Thermal uses</t>
  </si>
  <si>
    <t>Space heating</t>
  </si>
  <si>
    <t>Cooling</t>
  </si>
  <si>
    <t>Water heating</t>
  </si>
  <si>
    <t>Cooking</t>
  </si>
  <si>
    <t>Specific electricity uses (appliances and lighting)</t>
  </si>
  <si>
    <t>Column51</t>
  </si>
  <si>
    <t>Shares of energy consumption in end-uses (in %)</t>
  </si>
  <si>
    <t>Thermal uses_1</t>
  </si>
  <si>
    <t>Space heating_2</t>
  </si>
  <si>
    <t>Cooling_3</t>
  </si>
  <si>
    <t>Water heating_4</t>
  </si>
  <si>
    <t>Cooking_5</t>
  </si>
  <si>
    <t>Specific electricity uses (appliances and lighting)_6</t>
  </si>
  <si>
    <t>Column59</t>
  </si>
  <si>
    <t>Emissions</t>
  </si>
  <si>
    <t>Column61</t>
  </si>
  <si>
    <t>Emissions by fuel - Eurostat structure (kt of CO2)</t>
  </si>
  <si>
    <t>Solids_7</t>
  </si>
  <si>
    <t>Liquids_8</t>
  </si>
  <si>
    <t>Liquified petroleum gas (LPG)_9</t>
  </si>
  <si>
    <t>Diesel oil and other liquids (without biofuels)_10</t>
  </si>
  <si>
    <t>Natural gas_11</t>
  </si>
  <si>
    <t>Renewable energies and wastes_12</t>
  </si>
  <si>
    <t>Biomass and waste_13</t>
  </si>
  <si>
    <t>Biogas_14</t>
  </si>
  <si>
    <t>Liquid biofuels_15</t>
  </si>
  <si>
    <t>Solar_16</t>
  </si>
  <si>
    <t>Geothermal_17</t>
  </si>
  <si>
    <t>Ambient heat_18</t>
  </si>
  <si>
    <t>Distributed heat_19</t>
  </si>
  <si>
    <t>Electricity_20</t>
  </si>
  <si>
    <t>Column77</t>
  </si>
  <si>
    <t>Emissions by end-uses (kt of CO2)</t>
  </si>
  <si>
    <t>Thermal uses_21</t>
  </si>
  <si>
    <t>Space heating_22</t>
  </si>
  <si>
    <t>Cooling_23</t>
  </si>
  <si>
    <t>Water heating_24</t>
  </si>
  <si>
    <t>Cooking_25</t>
  </si>
  <si>
    <t>Specific electricity uses (appliances and lighting)_26</t>
  </si>
  <si>
    <t>Column85</t>
  </si>
  <si>
    <t>Share of emissions in end-uses (in %)</t>
  </si>
  <si>
    <t>Thermal uses_27</t>
  </si>
  <si>
    <t>Space heating_28</t>
  </si>
  <si>
    <t>Cooling_29</t>
  </si>
  <si>
    <t>Water heating_30</t>
  </si>
  <si>
    <t>Cooking_31</t>
  </si>
  <si>
    <t>Specific electricity uses (appliances and lighting)_32</t>
  </si>
  <si>
    <t>Column93</t>
  </si>
  <si>
    <t>Additional household indicators</t>
  </si>
  <si>
    <t>Column95</t>
  </si>
  <si>
    <t>Energy consumption per household (kWh / household)</t>
  </si>
  <si>
    <t>Thermal uses_33</t>
  </si>
  <si>
    <t>Space heating_34</t>
  </si>
  <si>
    <t>Cooling_35</t>
  </si>
  <si>
    <t>Water heating_36</t>
  </si>
  <si>
    <t>Cooking_37</t>
  </si>
  <si>
    <t>Specific electricity uses (appliances and lighting)_38</t>
  </si>
  <si>
    <t>Column103</t>
  </si>
  <si>
    <t>Thermal energy service per household (kWh useful / household)</t>
  </si>
  <si>
    <t>Space heating_39</t>
  </si>
  <si>
    <t>Cooling_40</t>
  </si>
  <si>
    <t>Water heating_41</t>
  </si>
  <si>
    <t>Cooking_42</t>
  </si>
  <si>
    <t>Column109</t>
  </si>
  <si>
    <t>Emissions per household (kg CO2 / household)</t>
  </si>
  <si>
    <t>Thermal uses_43</t>
  </si>
  <si>
    <t>Space heating_44</t>
  </si>
  <si>
    <t>Cooling_45</t>
  </si>
  <si>
    <t>Water heating_46</t>
  </si>
  <si>
    <t>Cooking_47</t>
  </si>
  <si>
    <t>Specific electricity uses (appliances and lighting)_48</t>
  </si>
  <si>
    <t>Column117</t>
  </si>
  <si>
    <t>Ratio of energy service to energy consumption (system efficiency indicator)</t>
  </si>
  <si>
    <t>Space heating_49</t>
  </si>
  <si>
    <t>Cooling_50</t>
  </si>
  <si>
    <t>Water heating_51</t>
  </si>
  <si>
    <t>Cooking_52</t>
  </si>
  <si>
    <t>Column123</t>
  </si>
  <si>
    <t>Column124</t>
  </si>
  <si>
    <t>Column125</t>
  </si>
  <si>
    <t>Energy consumption per surface area (kWh / sqm)</t>
  </si>
  <si>
    <t>Thermal uses_53</t>
  </si>
  <si>
    <t>Space heating_54</t>
  </si>
  <si>
    <t>Cooling_55</t>
  </si>
  <si>
    <t>Water heating_56</t>
  </si>
  <si>
    <t>Cooking_57</t>
  </si>
  <si>
    <t>Specific electricity uses (appliances and lighting)_58</t>
  </si>
  <si>
    <t>Column133</t>
  </si>
  <si>
    <t>Thermal energy service per surface area (kWh useful / sqm)</t>
  </si>
  <si>
    <t>Space heating_59</t>
  </si>
  <si>
    <t>Cooling_60</t>
  </si>
  <si>
    <t>Water heating_61</t>
  </si>
  <si>
    <t>Cooking_62</t>
  </si>
  <si>
    <t>Column139</t>
  </si>
  <si>
    <t>Emissions per surface area (kg CO2 / sqm)</t>
  </si>
  <si>
    <t>Thermal uses_63</t>
  </si>
  <si>
    <t>Space heating_64</t>
  </si>
  <si>
    <t>Cooling_65</t>
  </si>
  <si>
    <t>Water heating_66</t>
  </si>
  <si>
    <t>Cooking_67</t>
  </si>
  <si>
    <t>Specific electricity uses (appliances and lighting)_68</t>
  </si>
  <si>
    <t>Column147</t>
  </si>
  <si>
    <t>Column148</t>
  </si>
  <si>
    <t>Column149</t>
  </si>
  <si>
    <t>Energy consumption per capita (kWh / capita)</t>
  </si>
  <si>
    <t>Thermal uses_69</t>
  </si>
  <si>
    <t>Space heating_70</t>
  </si>
  <si>
    <t>Cooling_71</t>
  </si>
  <si>
    <t>Water heating_72</t>
  </si>
  <si>
    <t>Cooking_73</t>
  </si>
  <si>
    <t>Specific electricity uses (appliances and lighting)_74</t>
  </si>
  <si>
    <t>Column157</t>
  </si>
  <si>
    <t>Thermal energy service per capita (kWh useful / capita)</t>
  </si>
  <si>
    <t>Space heating_75</t>
  </si>
  <si>
    <t>Cooling_76</t>
  </si>
  <si>
    <t>Water heating_77</t>
  </si>
  <si>
    <t>Cooking_78</t>
  </si>
  <si>
    <t>Column163</t>
  </si>
  <si>
    <t>Emissions per capita (kg CO2 / capita)</t>
  </si>
  <si>
    <t>Thermal uses_79</t>
  </si>
  <si>
    <t>Space heating_80</t>
  </si>
  <si>
    <t>Cooling_81</t>
  </si>
  <si>
    <t>Water heating_82</t>
  </si>
  <si>
    <t>Cooking_83</t>
  </si>
  <si>
    <t>Specific electricity uses (appliances and lighting)_84</t>
  </si>
  <si>
    <t>Macro.Meuro2015.AT.ConsumptionExpenditure</t>
  </si>
  <si>
    <t>Macro.number.AT.Population</t>
  </si>
  <si>
    <t>NUM.number.AT.Res.HH</t>
  </si>
  <si>
    <t>SurfaceArea.ksqm.AT.Res.HH</t>
  </si>
  <si>
    <t>NUM.number.AT.Res.HHnew</t>
  </si>
  <si>
    <t>SurfaceArea.ksqm.AT.Res.HHnew</t>
  </si>
  <si>
    <t>HDD.Celsius.AT.Actual</t>
  </si>
  <si>
    <t>HDD.Celsius.AT.Mean</t>
  </si>
  <si>
    <t>HDD.ratio.AT.Relative</t>
  </si>
  <si>
    <t>FEC.ktoe.AT.ES.Res</t>
  </si>
  <si>
    <t>FEC.ktoe.AT.ES.Res.Solids</t>
  </si>
  <si>
    <t>FEC.ktoe.AT.ES.Res.LPG</t>
  </si>
  <si>
    <t>FEC.ktoe.AT.ES.Res.Oil</t>
  </si>
  <si>
    <t>FEC.ktoe.AT.ES.Res.NG</t>
  </si>
  <si>
    <t>FEC.ktoe.AT.ES.Res.Biomass_Waste</t>
  </si>
  <si>
    <t>FEC.ktoe.AT.ES.Res.Biogas</t>
  </si>
  <si>
    <t>FEC.ktoe.AT.ES.Res.LiqBio</t>
  </si>
  <si>
    <t>FEC.ktoe.AT.ES.Res.Solar</t>
  </si>
  <si>
    <t>FEC.ktoe.AT.ES.Res.Geo</t>
  </si>
  <si>
    <t>FEC.ktoe.AT.ES.Res.Ambient</t>
  </si>
  <si>
    <t>FEC.ktoe.AT.ES.Res.Steam_Distr</t>
  </si>
  <si>
    <t>FEC.ktoe.AT.ES.Res.Elec</t>
  </si>
  <si>
    <t>FEC.ktoe.AT.Res.HH</t>
  </si>
  <si>
    <t>FEC.ktoe.AT.Res.HH.Thermal</t>
  </si>
  <si>
    <t>FEC.ktoe.AT.Res.HH.Thermal.SH</t>
  </si>
  <si>
    <t>FEC.ktoe.AT.Res.HH.Thermal.SC</t>
  </si>
  <si>
    <t>FEC.ktoe.AT.Res.HH.Thermal.WH</t>
  </si>
  <si>
    <t>FEC.ktoe.AT.Res.HH.Thermal.CO</t>
  </si>
  <si>
    <t>FEC.ktoe.AT.Res.HH.Appl</t>
  </si>
  <si>
    <t>EMI.ktCO2.AT.ES.Res</t>
  </si>
  <si>
    <t>EMI.ktCO2.AT.ES.Res.Solids</t>
  </si>
  <si>
    <t>EMI.ktCO2.AT.ES.Res.LPG</t>
  </si>
  <si>
    <t>EMI.ktCO2.AT.ES.Res.Oil</t>
  </si>
  <si>
    <t>EMI.ktCO2.AT.ES.Res.NG</t>
  </si>
  <si>
    <t>EMI.ktCO2.AT.ES.Res.Biomass_Waste</t>
  </si>
  <si>
    <t>EMI.ktCO2.AT.ES.Res.Biogas</t>
  </si>
  <si>
    <t>EMI.ktCO2.AT.ES.Res.LiqBio</t>
  </si>
  <si>
    <t>EMI.ktCO2.AT.ES.Res.Solar</t>
  </si>
  <si>
    <t>EMI.ktCO2.AT.ES.Res.Geo</t>
  </si>
  <si>
    <t>EMI.ktCO2.AT.ES.Res.Ambient</t>
  </si>
  <si>
    <t>EMI.ktCO2.AT.ES.Res.Steam_Distr</t>
  </si>
  <si>
    <t>EMI.ktCO2.AT.ES.Res.Elec</t>
  </si>
  <si>
    <t>EMI.ktCO2.AT.Res.HH</t>
  </si>
  <si>
    <t>EMI.ktCO2.AT.Res.HH.Thermal</t>
  </si>
  <si>
    <t>EMI.ktCO2.AT.Res.HH.Thermal.SH</t>
  </si>
  <si>
    <t>EMI.ktCO2.AT.Res.HH.Thermal.SC</t>
  </si>
  <si>
    <t>EMI.ktCO2.AT.Res.HH.Thermal.WH</t>
  </si>
  <si>
    <t>EMI.ktCO2.AT.Res.HH.Thermal.CO</t>
  </si>
  <si>
    <t>EMI.ktCO2.AT.Res.HH.Appl</t>
  </si>
  <si>
    <t>FEC_per_household.kWh.AT.Res.HH</t>
  </si>
  <si>
    <t>FEC_per_household.kWh.AT.Res.HH.Thermal</t>
  </si>
  <si>
    <t>FEC_per_household.kWh.AT.Res.HH.Thermal.SH</t>
  </si>
  <si>
    <t>FEC_per_household.kWh.AT.Res.HH.Thermal.SC</t>
  </si>
  <si>
    <t>FEC_per_household.kWh.AT.Res.HH.Thermal.WH</t>
  </si>
  <si>
    <t>FEC_per_household.kWh.AT.Res.HH.Thermal.CO</t>
  </si>
  <si>
    <t>FEC_per_household.kWh.AT.Res.HH.Appl</t>
  </si>
  <si>
    <t>TES_per_household.kWh.AT.Res.HH.Thermal</t>
  </si>
  <si>
    <t>TES_per_household.kWh.AT.Res.HH.Thermal.SH</t>
  </si>
  <si>
    <t>TES_per_household.kWh.AT.Res.HH.Thermal.SC</t>
  </si>
  <si>
    <t>TES_per_household.kWh.AT.Res.HH.Thermal.WH</t>
  </si>
  <si>
    <t>TES_per_household.kWh.AT.Res.HH.Thermal.CO</t>
  </si>
  <si>
    <t>EMI_per_household.kgCO2.AT.Res.HH</t>
  </si>
  <si>
    <t>EMI_per_household.kgCO2.AT.Res.HH.Thermal</t>
  </si>
  <si>
    <t>EMI_per_household.kgCO2.AT.Res.HH.Thermal.SH</t>
  </si>
  <si>
    <t>EMI_per_household.kgCO2.AT.Res.HH.Thermal.SC</t>
  </si>
  <si>
    <t>EMI_per_household.kgCO2.AT.Res.HH.Thermal.WH</t>
  </si>
  <si>
    <t>EMI_per_household.kgCO2.AT.Res.HH.Thermal.CO</t>
  </si>
  <si>
    <t>EMI_per_household.kgCO2.AT.Res.HH.Appl</t>
  </si>
  <si>
    <t>Eff.ratio.AT.Res.HH.Thermal</t>
  </si>
  <si>
    <t>Eff.ratio.AT.Res.HH.Thermal.SH</t>
  </si>
  <si>
    <t>Eff.ratio.AT.Res.HH.Thermal.SC</t>
  </si>
  <si>
    <t>Eff.ratio.AT.Res.HH.Thermal.WH</t>
  </si>
  <si>
    <t>Eff.ratio.AT.Res.HH.Thermal.CO</t>
  </si>
  <si>
    <t>FEC_per_sqm.kWh.AT.Res.HH</t>
  </si>
  <si>
    <t>FEC_per_sqm.kWh.AT.Res.HH.Thermal</t>
  </si>
  <si>
    <t>FEC_per_sqm.kWh.AT.Res.HH.Thermal.SH</t>
  </si>
  <si>
    <t>FEC_per_sqm.kWh.AT.Res.HH.Thermal.SC</t>
  </si>
  <si>
    <t>FEC_per_sqm.kWh.AT.Res.HH.Thermal.WH</t>
  </si>
  <si>
    <t>FEC_per_sqm.kWh.AT.Res.HH.Thermal.CO</t>
  </si>
  <si>
    <t>FEC_per_sqm.kWh.AT.Res.HH.Appl</t>
  </si>
  <si>
    <t>TES_per_sqm.kWh.AT.Res.HH.Thermal</t>
  </si>
  <si>
    <t>TES_per_sqm.kWh.AT.Res.HH.Thermal.SH</t>
  </si>
  <si>
    <t>TES_per_sqm.kWh.AT.Res.HH.Thermal.SC</t>
  </si>
  <si>
    <t>TES_per_sqm.kWh.AT.Res.HH.Thermal.WH</t>
  </si>
  <si>
    <t>TES_per_sqm.kWh.AT.Res.HH.Thermal.CO</t>
  </si>
  <si>
    <t>EMI_per_sqm.kgCO2.AT.Res.HH</t>
  </si>
  <si>
    <t>EMI_per_sqm.kgCO2.AT.Res.HH.Thermal</t>
  </si>
  <si>
    <t>EMI_per_sqm.kgCO2.AT.Res.HH.Thermal.SH</t>
  </si>
  <si>
    <t>EMI_per_sqm.kgCO2.AT.Res.HH.Thermal.SC</t>
  </si>
  <si>
    <t>EMI_per_sqm.kgCO2.AT.Res.HH.Thermal.WH</t>
  </si>
  <si>
    <t>EMI_per_sqm.kgCO2.AT.Res.HH.Thermal.CO</t>
  </si>
  <si>
    <t>EMI_per_sqm.kgCO2.AT.Res.HH.Appl</t>
  </si>
  <si>
    <t>FEC_per_capita.kWh.AT.Res.HH</t>
  </si>
  <si>
    <t>FEC_per_capita.kWh.AT.Res.HH.Thermal</t>
  </si>
  <si>
    <t>FEC_per_capita.kWh.AT.Res.HH.Thermal.SH</t>
  </si>
  <si>
    <t>FEC_per_capita.kWh.AT.Res.HH.Thermal.SC</t>
  </si>
  <si>
    <t>FEC_per_capita.kWh.AT.Res.HH.Thermal.WH</t>
  </si>
  <si>
    <t>FEC_per_capita.kWh.AT.Res.HH.Thermal.CO</t>
  </si>
  <si>
    <t>FEC_per_capita.kWh.AT.Res.HH.Appl</t>
  </si>
  <si>
    <t>TES_per_capita.kWh.AT.Res.HH.Thermal</t>
  </si>
  <si>
    <t>TES_per_capita.kWh.AT.Res.HH.Thermal.SH</t>
  </si>
  <si>
    <t>TES_per_capita.kWh.AT.Res.HH.Thermal.SC</t>
  </si>
  <si>
    <t>TES_per_capita.kWh.AT.Res.HH.Thermal.WH</t>
  </si>
  <si>
    <t>TES_per_capita.kWh.AT.Res.HH.Thermal.CO</t>
  </si>
  <si>
    <t>EMI_per_capita.kgCO2.AT.Res.HH</t>
  </si>
  <si>
    <t>EMI_per_capita.kgCO2.AT.Res.HH.Thermal</t>
  </si>
  <si>
    <t>EMI_per_capita.kgCO2.AT.Res.HH.Thermal.SH</t>
  </si>
  <si>
    <t>EMI_per_capita.kgCO2.AT.Res.HH.Thermal.SC</t>
  </si>
  <si>
    <t>EMI_per_capita.kgCO2.AT.Res.HH.Thermal.WH</t>
  </si>
  <si>
    <t>EMI_per_capita.kgCO2.AT.Res.HH.Thermal.CO</t>
  </si>
  <si>
    <t>EMI_per_capita.kgCO2.AT.Res.HH.Appl</t>
  </si>
  <si>
    <t>DE - Residential sector summary</t>
  </si>
  <si>
    <t>Macro.Meuro2015.DE.ConsumptionExpenditure</t>
  </si>
  <si>
    <t>Macro.number.DE.Population</t>
  </si>
  <si>
    <t>NUM.number.DE.Res.HH</t>
  </si>
  <si>
    <t>SurfaceArea.ksqm.DE.Res.HH</t>
  </si>
  <si>
    <t>NUM.number.DE.Res.HHnew</t>
  </si>
  <si>
    <t>SurfaceArea.ksqm.DE.Res.HHnew</t>
  </si>
  <si>
    <t>HDD.Celsius.DE.Actual</t>
  </si>
  <si>
    <t>HDD.Celsius.DE.Mean</t>
  </si>
  <si>
    <t>HDD.ratio.DE.Relative</t>
  </si>
  <si>
    <t>FEC.ktoe.DE.ES.Res</t>
  </si>
  <si>
    <t>FEC.ktoe.DE.ES.Res.Solids</t>
  </si>
  <si>
    <t>FEC.ktoe.DE.ES.Res.LPG</t>
  </si>
  <si>
    <t>FEC.ktoe.DE.ES.Res.Oil</t>
  </si>
  <si>
    <t>FEC.ktoe.DE.ES.Res.NG</t>
  </si>
  <si>
    <t>FEC.ktoe.DE.ES.Res.Biomass_Waste</t>
  </si>
  <si>
    <t>FEC.ktoe.DE.ES.Res.Biogas</t>
  </si>
  <si>
    <t>FEC.ktoe.DE.ES.Res.LiqBio</t>
  </si>
  <si>
    <t>FEC.ktoe.DE.ES.Res.Solar</t>
  </si>
  <si>
    <t>FEC.ktoe.DE.ES.Res.Geo</t>
  </si>
  <si>
    <t>FEC.ktoe.DE.ES.Res.Ambient</t>
  </si>
  <si>
    <t>FEC.ktoe.DE.ES.Res.Steam_Distr</t>
  </si>
  <si>
    <t>FEC.ktoe.DE.ES.Res.Elec</t>
  </si>
  <si>
    <t>FEC.ktoe.DE.Res.HH</t>
  </si>
  <si>
    <t>FEC.ktoe.DE.Res.HH.Thermal</t>
  </si>
  <si>
    <t>FEC.ktoe.DE.Res.HH.Thermal.SH</t>
  </si>
  <si>
    <t>FEC.ktoe.DE.Res.HH.Thermal.SC</t>
  </si>
  <si>
    <t>FEC.ktoe.DE.Res.HH.Thermal.WH</t>
  </si>
  <si>
    <t>FEC.ktoe.DE.Res.HH.Thermal.CO</t>
  </si>
  <si>
    <t>FEC.ktoe.DE.Res.HH.Appl</t>
  </si>
  <si>
    <t>EMI.ktCO2.DE.ES.Res</t>
  </si>
  <si>
    <t>EMI.ktCO2.DE.ES.Res.Solids</t>
  </si>
  <si>
    <t>EMI.ktCO2.DE.ES.Res.LPG</t>
  </si>
  <si>
    <t>EMI.ktCO2.DE.ES.Res.Oil</t>
  </si>
  <si>
    <t>EMI.ktCO2.DE.ES.Res.NG</t>
  </si>
  <si>
    <t>EMI.ktCO2.DE.ES.Res.Biomass_Waste</t>
  </si>
  <si>
    <t>EMI.ktCO2.DE.ES.Res.Biogas</t>
  </si>
  <si>
    <t>EMI.ktCO2.DE.ES.Res.LiqBio</t>
  </si>
  <si>
    <t>EMI.ktCO2.DE.ES.Res.Solar</t>
  </si>
  <si>
    <t>EMI.ktCO2.DE.ES.Res.Geo</t>
  </si>
  <si>
    <t>EMI.ktCO2.DE.ES.Res.Ambient</t>
  </si>
  <si>
    <t>EMI.ktCO2.DE.ES.Res.Steam_Distr</t>
  </si>
  <si>
    <t>EMI.ktCO2.DE.ES.Res.Elec</t>
  </si>
  <si>
    <t>EMI.ktCO2.DE.Res.HH</t>
  </si>
  <si>
    <t>EMI.ktCO2.DE.Res.HH.Thermal</t>
  </si>
  <si>
    <t>EMI.ktCO2.DE.Res.HH.Thermal.SH</t>
  </si>
  <si>
    <t>EMI.ktCO2.DE.Res.HH.Thermal.SC</t>
  </si>
  <si>
    <t>EMI.ktCO2.DE.Res.HH.Thermal.WH</t>
  </si>
  <si>
    <t>EMI.ktCO2.DE.Res.HH.Thermal.CO</t>
  </si>
  <si>
    <t>EMI.ktCO2.DE.Res.HH.Appl</t>
  </si>
  <si>
    <t>FEC_per_household.kWh.DE.Res.HH</t>
  </si>
  <si>
    <t>FEC_per_household.kWh.DE.Res.HH.Thermal</t>
  </si>
  <si>
    <t>FEC_per_household.kWh.DE.Res.HH.Thermal.SH</t>
  </si>
  <si>
    <t>FEC_per_household.kWh.DE.Res.HH.Thermal.SC</t>
  </si>
  <si>
    <t>FEC_per_household.kWh.DE.Res.HH.Thermal.WH</t>
  </si>
  <si>
    <t>FEC_per_household.kWh.DE.Res.HH.Thermal.CO</t>
  </si>
  <si>
    <t>FEC_per_household.kWh.DE.Res.HH.Appl</t>
  </si>
  <si>
    <t>TES_per_household.kWh.DE.Res.HH.Thermal</t>
  </si>
  <si>
    <t>TES_per_household.kWh.DE.Res.HH.Thermal.SH</t>
  </si>
  <si>
    <t>TES_per_household.kWh.DE.Res.HH.Thermal.SC</t>
  </si>
  <si>
    <t>TES_per_household.kWh.DE.Res.HH.Thermal.WH</t>
  </si>
  <si>
    <t>TES_per_household.kWh.DE.Res.HH.Thermal.CO</t>
  </si>
  <si>
    <t>EMI_per_household.kgCO2.DE.Res.HH</t>
  </si>
  <si>
    <t>EMI_per_household.kgCO2.DE.Res.HH.Thermal</t>
  </si>
  <si>
    <t>EMI_per_household.kgCO2.DE.Res.HH.Thermal.SH</t>
  </si>
  <si>
    <t>EMI_per_household.kgCO2.DE.Res.HH.Thermal.SC</t>
  </si>
  <si>
    <t>EMI_per_household.kgCO2.DE.Res.HH.Thermal.WH</t>
  </si>
  <si>
    <t>EMI_per_household.kgCO2.DE.Res.HH.Thermal.CO</t>
  </si>
  <si>
    <t>EMI_per_household.kgCO2.DE.Res.HH.Appl</t>
  </si>
  <si>
    <t>Eff.ratio.DE.Res.HH.Thermal</t>
  </si>
  <si>
    <t>Eff.ratio.DE.Res.HH.Thermal.SH</t>
  </si>
  <si>
    <t>Eff.ratio.DE.Res.HH.Thermal.SC</t>
  </si>
  <si>
    <t>Eff.ratio.DE.Res.HH.Thermal.WH</t>
  </si>
  <si>
    <t>Eff.ratio.DE.Res.HH.Thermal.CO</t>
  </si>
  <si>
    <t>FEC_per_sqm.kWh.DE.Res.HH</t>
  </si>
  <si>
    <t>FEC_per_sqm.kWh.DE.Res.HH.Thermal</t>
  </si>
  <si>
    <t>FEC_per_sqm.kWh.DE.Res.HH.Thermal.SH</t>
  </si>
  <si>
    <t>FEC_per_sqm.kWh.DE.Res.HH.Thermal.SC</t>
  </si>
  <si>
    <t>FEC_per_sqm.kWh.DE.Res.HH.Thermal.WH</t>
  </si>
  <si>
    <t>FEC_per_sqm.kWh.DE.Res.HH.Thermal.CO</t>
  </si>
  <si>
    <t>FEC_per_sqm.kWh.DE.Res.HH.Appl</t>
  </si>
  <si>
    <t>TES_per_sqm.kWh.DE.Res.HH.Thermal</t>
  </si>
  <si>
    <t>TES_per_sqm.kWh.DE.Res.HH.Thermal.SH</t>
  </si>
  <si>
    <t>TES_per_sqm.kWh.DE.Res.HH.Thermal.SC</t>
  </si>
  <si>
    <t>TES_per_sqm.kWh.DE.Res.HH.Thermal.WH</t>
  </si>
  <si>
    <t>TES_per_sqm.kWh.DE.Res.HH.Thermal.CO</t>
  </si>
  <si>
    <t>EMI_per_sqm.kgCO2.DE.Res.HH</t>
  </si>
  <si>
    <t>EMI_per_sqm.kgCO2.DE.Res.HH.Thermal</t>
  </si>
  <si>
    <t>EMI_per_sqm.kgCO2.DE.Res.HH.Thermal.SH</t>
  </si>
  <si>
    <t>EMI_per_sqm.kgCO2.DE.Res.HH.Thermal.SC</t>
  </si>
  <si>
    <t>EMI_per_sqm.kgCO2.DE.Res.HH.Thermal.WH</t>
  </si>
  <si>
    <t>EMI_per_sqm.kgCO2.DE.Res.HH.Thermal.CO</t>
  </si>
  <si>
    <t>EMI_per_sqm.kgCO2.DE.Res.HH.Appl</t>
  </si>
  <si>
    <t>FEC_per_capita.kWh.DE.Res.HH</t>
  </si>
  <si>
    <t>FEC_per_capita.kWh.DE.Res.HH.Thermal</t>
  </si>
  <si>
    <t>FEC_per_capita.kWh.DE.Res.HH.Thermal.SH</t>
  </si>
  <si>
    <t>FEC_per_capita.kWh.DE.Res.HH.Thermal.SC</t>
  </si>
  <si>
    <t>FEC_per_capita.kWh.DE.Res.HH.Thermal.WH</t>
  </si>
  <si>
    <t>FEC_per_capita.kWh.DE.Res.HH.Thermal.CO</t>
  </si>
  <si>
    <t>FEC_per_capita.kWh.DE.Res.HH.Appl</t>
  </si>
  <si>
    <t>TES_per_capita.kWh.DE.Res.HH.Thermal</t>
  </si>
  <si>
    <t>TES_per_capita.kWh.DE.Res.HH.Thermal.SH</t>
  </si>
  <si>
    <t>TES_per_capita.kWh.DE.Res.HH.Thermal.SC</t>
  </si>
  <si>
    <t>TES_per_capita.kWh.DE.Res.HH.Thermal.WH</t>
  </si>
  <si>
    <t>TES_per_capita.kWh.DE.Res.HH.Thermal.CO</t>
  </si>
  <si>
    <t>EMI_per_capita.kgCO2.DE.Res.HH</t>
  </si>
  <si>
    <t>EMI_per_capita.kgCO2.DE.Res.HH.Thermal</t>
  </si>
  <si>
    <t>EMI_per_capita.kgCO2.DE.Res.HH.Thermal.SH</t>
  </si>
  <si>
    <t>EMI_per_capita.kgCO2.DE.Res.HH.Thermal.SC</t>
  </si>
  <si>
    <t>EMI_per_capita.kgCO2.DE.Res.HH.Thermal.WH</t>
  </si>
  <si>
    <t>EMI_per_capita.kgCO2.DE.Res.HH.Thermal.CO</t>
  </si>
  <si>
    <t>EMI_per_capita.kgCO2.DE.Res.HH.Appl</t>
  </si>
  <si>
    <t>Column36</t>
  </si>
  <si>
    <t>Column37</t>
  </si>
  <si>
    <t>Column38</t>
  </si>
  <si>
    <t>Column39</t>
  </si>
  <si>
    <t>Column40</t>
  </si>
  <si>
    <t>Column41</t>
  </si>
  <si>
    <t>Column42</t>
  </si>
  <si>
    <t>Column44</t>
  </si>
  <si>
    <t>Column45</t>
  </si>
  <si>
    <t>Column46</t>
  </si>
  <si>
    <t>Column47</t>
  </si>
  <si>
    <t>Column48</t>
  </si>
  <si>
    <t>Column49</t>
  </si>
  <si>
    <t>Column50</t>
  </si>
  <si>
    <t>Column52</t>
  </si>
  <si>
    <t>Column53</t>
  </si>
  <si>
    <t>Column54</t>
  </si>
  <si>
    <t>Column55</t>
  </si>
  <si>
    <t>Column56</t>
  </si>
  <si>
    <t>Column57</t>
  </si>
  <si>
    <t>Column58</t>
  </si>
  <si>
    <t>Column60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</si>
  <si>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</si>
  <si>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</si>
  <si>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</si>
  <si>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</si>
  <si>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</si>
  <si>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</si>
  <si>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</si>
  <si>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</si>
  <si>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</si>
  <si>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</si>
  <si>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</si>
  <si>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</si>
  <si>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</si>
  <si>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</si>
  <si>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</si>
  <si>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Column78</t>
  </si>
  <si>
    <t>Column79</t>
  </si>
  <si>
    <t>Column80</t>
  </si>
  <si>
    <t>Column81</t>
  </si>
  <si>
    <t>Column82</t>
  </si>
  <si>
    <t>Column83</t>
  </si>
  <si>
    <t>Column84</t>
  </si>
  <si>
    <t>Column86</t>
  </si>
  <si>
    <t>Column87</t>
  </si>
  <si>
    <t>Column88</t>
  </si>
  <si>
    <t>Column89</t>
  </si>
  <si>
    <t>Column90</t>
  </si>
  <si>
    <t>Column91</t>
  </si>
  <si>
    <t>Column92</t>
  </si>
  <si>
    <t>Column94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</si>
  <si>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</si>
  <si>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</si>
  <si>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</si>
  <si>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</si>
  <si>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</si>
  <si>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</si>
  <si>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</si>
  <si>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Column104</t>
  </si>
  <si>
    <t>Column105</t>
  </si>
  <si>
    <t>BE - Residential sector summary</t>
  </si>
  <si>
    <t>Macro.Meuro2015.BE.ConsumptionExpenditure</t>
  </si>
  <si>
    <t>Macro.number.BE.Population</t>
  </si>
  <si>
    <t>NUM.number.BE.Res.HH</t>
  </si>
  <si>
    <t>SurfaceArea.ksqm.BE.Res.HH</t>
  </si>
  <si>
    <t>NUM.number.BE.Res.HHnew</t>
  </si>
  <si>
    <t>SurfaceArea.ksqm.BE.Res.HHnew</t>
  </si>
  <si>
    <t>HDD.Celsius.BE.Actual</t>
  </si>
  <si>
    <t>HDD.Celsius.BE.Mean</t>
  </si>
  <si>
    <t>HDD.ratio.BE.Relative</t>
  </si>
  <si>
    <t>FEC.ktoe.BE.ES.Res</t>
  </si>
  <si>
    <t>FEC.ktoe.BE.ES.Res.Solids</t>
  </si>
  <si>
    <t>FEC.ktoe.BE.ES.Res.LPG</t>
  </si>
  <si>
    <t>FEC.ktoe.BE.ES.Res.Oil</t>
  </si>
  <si>
    <t>FEC.ktoe.BE.ES.Res.NG</t>
  </si>
  <si>
    <t>FEC.ktoe.BE.ES.Res.Biomass_Waste</t>
  </si>
  <si>
    <t>FEC.ktoe.BE.ES.Res.Biogas</t>
  </si>
  <si>
    <t>FEC.ktoe.BE.ES.Res.LiqBio</t>
  </si>
  <si>
    <t>FEC.ktoe.BE.ES.Res.Solar</t>
  </si>
  <si>
    <t>FEC.ktoe.BE.ES.Res.Geo</t>
  </si>
  <si>
    <t>FEC.ktoe.BE.ES.Res.Ambient</t>
  </si>
  <si>
    <t>FEC.ktoe.BE.ES.Res.Steam_Distr</t>
  </si>
  <si>
    <t>FEC.ktoe.BE.ES.Res.Elec</t>
  </si>
  <si>
    <t>FEC.ktoe.BE.Res.HH</t>
  </si>
  <si>
    <t>FEC.ktoe.BE.Res.HH.Thermal</t>
  </si>
  <si>
    <t>FEC.ktoe.BE.Res.HH.Thermal.SH</t>
  </si>
  <si>
    <t>FEC.ktoe.BE.Res.HH.Thermal.SC</t>
  </si>
  <si>
    <t>FEC.ktoe.BE.Res.HH.Thermal.WH</t>
  </si>
  <si>
    <t>FEC.ktoe.BE.Res.HH.Thermal.CO</t>
  </si>
  <si>
    <t>FEC.ktoe.BE.Res.HH.Appl</t>
  </si>
  <si>
    <t>EMI.ktCO2.BE.ES.Res</t>
  </si>
  <si>
    <t>EMI.ktCO2.BE.ES.Res.Solids</t>
  </si>
  <si>
    <t>EMI.ktCO2.BE.ES.Res.LPG</t>
  </si>
  <si>
    <t>EMI.ktCO2.BE.ES.Res.Oil</t>
  </si>
  <si>
    <t>EMI.ktCO2.BE.ES.Res.NG</t>
  </si>
  <si>
    <t>EMI.ktCO2.BE.ES.Res.Biomass_Waste</t>
  </si>
  <si>
    <t>EMI.ktCO2.BE.ES.Res.Biogas</t>
  </si>
  <si>
    <t>EMI.ktCO2.BE.ES.Res.LiqBio</t>
  </si>
  <si>
    <t>EMI.ktCO2.BE.ES.Res.Solar</t>
  </si>
  <si>
    <t>EMI.ktCO2.BE.ES.Res.Geo</t>
  </si>
  <si>
    <t>EMI.ktCO2.BE.ES.Res.Ambient</t>
  </si>
  <si>
    <t>EMI.ktCO2.BE.ES.Res.Steam_Distr</t>
  </si>
  <si>
    <t>EMI.ktCO2.BE.ES.Res.Elec</t>
  </si>
  <si>
    <t>EMI.ktCO2.BE.Res.HH</t>
  </si>
  <si>
    <t>EMI.ktCO2.BE.Res.HH.Thermal</t>
  </si>
  <si>
    <t>EMI.ktCO2.BE.Res.HH.Thermal.SH</t>
  </si>
  <si>
    <t>EMI.ktCO2.BE.Res.HH.Thermal.SC</t>
  </si>
  <si>
    <t>EMI.ktCO2.BE.Res.HH.Thermal.WH</t>
  </si>
  <si>
    <t>EMI.ktCO2.BE.Res.HH.Thermal.CO</t>
  </si>
  <si>
    <t>EMI.ktCO2.BE.Res.HH.Appl</t>
  </si>
  <si>
    <t>FEC_per_household.kWh.BE.Res.HH</t>
  </si>
  <si>
    <t>FEC_per_household.kWh.BE.Res.HH.Thermal</t>
  </si>
  <si>
    <t>FEC_per_household.kWh.BE.Res.HH.Thermal.SH</t>
  </si>
  <si>
    <t>FEC_per_household.kWh.BE.Res.HH.Thermal.SC</t>
  </si>
  <si>
    <t>FEC_per_household.kWh.BE.Res.HH.Thermal.WH</t>
  </si>
  <si>
    <t>FEC_per_household.kWh.BE.Res.HH.Thermal.CO</t>
  </si>
  <si>
    <t>FEC_per_household.kWh.BE.Res.HH.Appl</t>
  </si>
  <si>
    <t>TES_per_household.kWh.BE.Res.HH.Thermal</t>
  </si>
  <si>
    <t>TES_per_household.kWh.BE.Res.HH.Thermal.SH</t>
  </si>
  <si>
    <t>TES_per_household.kWh.BE.Res.HH.Thermal.SC</t>
  </si>
  <si>
    <t>TES_per_household.kWh.BE.Res.HH.Thermal.WH</t>
  </si>
  <si>
    <t>TES_per_household.kWh.BE.Res.HH.Thermal.CO</t>
  </si>
  <si>
    <t>EMI_per_household.kgCO2.BE.Res.HH</t>
  </si>
  <si>
    <t>EMI_per_household.kgCO2.BE.Res.HH.Thermal</t>
  </si>
  <si>
    <t>EMI_per_household.kgCO2.BE.Res.HH.Thermal.SH</t>
  </si>
  <si>
    <t>EMI_per_household.kgCO2.BE.Res.HH.Thermal.SC</t>
  </si>
  <si>
    <t>EMI_per_household.kgCO2.BE.Res.HH.Thermal.WH</t>
  </si>
  <si>
    <t>EMI_per_household.kgCO2.BE.Res.HH.Thermal.CO</t>
  </si>
  <si>
    <t>EMI_per_household.kgCO2.BE.Res.HH.Appl</t>
  </si>
  <si>
    <t>Eff.ratio.BE.Res.HH.Thermal</t>
  </si>
  <si>
    <t>Eff.ratio.BE.Res.HH.Thermal.SH</t>
  </si>
  <si>
    <t>Eff.ratio.BE.Res.HH.Thermal.SC</t>
  </si>
  <si>
    <t>Eff.ratio.BE.Res.HH.Thermal.WH</t>
  </si>
  <si>
    <t>Eff.ratio.BE.Res.HH.Thermal.CO</t>
  </si>
  <si>
    <t>FEC_per_sqm.kWh.BE.Res.HH</t>
  </si>
  <si>
    <t>FEC_per_sqm.kWh.BE.Res.HH.Thermal</t>
  </si>
  <si>
    <t>FEC_per_sqm.kWh.BE.Res.HH.Thermal.SH</t>
  </si>
  <si>
    <t>FEC_per_sqm.kWh.BE.Res.HH.Thermal.SC</t>
  </si>
  <si>
    <t>FEC_per_sqm.kWh.BE.Res.HH.Thermal.WH</t>
  </si>
  <si>
    <t>FEC_per_sqm.kWh.BE.Res.HH.Thermal.CO</t>
  </si>
  <si>
    <t>FEC_per_sqm.kWh.BE.Res.HH.Appl</t>
  </si>
  <si>
    <t>TES_per_sqm.kWh.BE.Res.HH.Thermal</t>
  </si>
  <si>
    <t>TES_per_sqm.kWh.BE.Res.HH.Thermal.SH</t>
  </si>
  <si>
    <t>TES_per_sqm.kWh.BE.Res.HH.Thermal.SC</t>
  </si>
  <si>
    <t>TES_per_sqm.kWh.BE.Res.HH.Thermal.WH</t>
  </si>
  <si>
    <t>TES_per_sqm.kWh.BE.Res.HH.Thermal.CO</t>
  </si>
  <si>
    <t>EMI_per_sqm.kgCO2.BE.Res.HH</t>
  </si>
  <si>
    <t>EMI_per_sqm.kgCO2.BE.Res.HH.Thermal</t>
  </si>
  <si>
    <t>EMI_per_sqm.kgCO2.BE.Res.HH.Thermal.SH</t>
  </si>
  <si>
    <t>EMI_per_sqm.kgCO2.BE.Res.HH.Thermal.SC</t>
  </si>
  <si>
    <t>EMI_per_sqm.kgCO2.BE.Res.HH.Thermal.WH</t>
  </si>
  <si>
    <t>EMI_per_sqm.kgCO2.BE.Res.HH.Thermal.CO</t>
  </si>
  <si>
    <t>EMI_per_sqm.kgCO2.BE.Res.HH.Appl</t>
  </si>
  <si>
    <t>FEC_per_capita.kWh.BE.Res.HH</t>
  </si>
  <si>
    <t>FEC_per_capita.kWh.BE.Res.HH.Thermal</t>
  </si>
  <si>
    <t>FEC_per_capita.kWh.BE.Res.HH.Thermal.SH</t>
  </si>
  <si>
    <t>FEC_per_capita.kWh.BE.Res.HH.Thermal.SC</t>
  </si>
  <si>
    <t>FEC_per_capita.kWh.BE.Res.HH.Thermal.WH</t>
  </si>
  <si>
    <t>FEC_per_capita.kWh.BE.Res.HH.Thermal.CO</t>
  </si>
  <si>
    <t>FEC_per_capita.kWh.BE.Res.HH.Appl</t>
  </si>
  <si>
    <t>TES_per_capita.kWh.BE.Res.HH.Thermal</t>
  </si>
  <si>
    <t>TES_per_capita.kWh.BE.Res.HH.Thermal.SH</t>
  </si>
  <si>
    <t>TES_per_capita.kWh.BE.Res.HH.Thermal.SC</t>
  </si>
  <si>
    <t>TES_per_capita.kWh.BE.Res.HH.Thermal.WH</t>
  </si>
  <si>
    <t>TES_per_capita.kWh.BE.Res.HH.Thermal.CO</t>
  </si>
  <si>
    <t>EMI_per_capita.kgCO2.BE.Res.HH</t>
  </si>
  <si>
    <t>EMI_per_capita.kgCO2.BE.Res.HH.Thermal</t>
  </si>
  <si>
    <t>EMI_per_capita.kgCO2.BE.Res.HH.Thermal.SH</t>
  </si>
  <si>
    <t>EMI_per_capita.kgCO2.BE.Res.HH.Thermal.SC</t>
  </si>
  <si>
    <t>EMI_per_capita.kgCO2.BE.Res.HH.Thermal.WH</t>
  </si>
  <si>
    <t>EMI_per_capita.kgCO2.BE.Res.HH.Thermal.CO</t>
  </si>
  <si>
    <t>EMI_per_capita.kgCO2.BE.Res.HH.Appl</t>
  </si>
  <si>
    <t>IE - Residential sector summary</t>
  </si>
  <si>
    <t>Macro.Meuro2015.IE.ConsumptionExpenditure</t>
  </si>
  <si>
    <t>Macro.number.IE.Population</t>
  </si>
  <si>
    <t>NUM.number.IE.Res.HH</t>
  </si>
  <si>
    <t>SurfaceArea.ksqm.IE.Res.HH</t>
  </si>
  <si>
    <t>NUM.number.IE.Res.HHnew</t>
  </si>
  <si>
    <t>SurfaceArea.ksqm.IE.Res.HHnew</t>
  </si>
  <si>
    <t>HDD.Celsius.IE.Actual</t>
  </si>
  <si>
    <t>HDD.Celsius.IE.Mean</t>
  </si>
  <si>
    <t>HDD.ratio.IE.Relative</t>
  </si>
  <si>
    <t>FEC.ktoe.IE.ES.Res</t>
  </si>
  <si>
    <t>FEC.ktoe.IE.ES.Res.Solids</t>
  </si>
  <si>
    <t>FEC.ktoe.IE.ES.Res.LPG</t>
  </si>
  <si>
    <t>FEC.ktoe.IE.ES.Res.Oil</t>
  </si>
  <si>
    <t>FEC.ktoe.IE.ES.Res.NG</t>
  </si>
  <si>
    <t>FEC.ktoe.IE.ES.Res.Biomass_Waste</t>
  </si>
  <si>
    <t>FEC.ktoe.IE.ES.Res.Biogas</t>
  </si>
  <si>
    <t>FEC.ktoe.IE.ES.Res.LiqBio</t>
  </si>
  <si>
    <t>FEC.ktoe.IE.ES.Res.Solar</t>
  </si>
  <si>
    <t>FEC.ktoe.IE.ES.Res.Geo</t>
  </si>
  <si>
    <t>FEC.ktoe.IE.ES.Res.Ambient</t>
  </si>
  <si>
    <t>FEC.ktoe.IE.ES.Res.Steam_Distr</t>
  </si>
  <si>
    <t>FEC.ktoe.IE.ES.Res.Elec</t>
  </si>
  <si>
    <t>FEC.ktoe.IE.Res.HH</t>
  </si>
  <si>
    <t>FEC.ktoe.IE.Res.HH.Thermal</t>
  </si>
  <si>
    <t>FEC.ktoe.IE.Res.HH.Thermal.SH</t>
  </si>
  <si>
    <t>FEC.ktoe.IE.Res.HH.Thermal.SC</t>
  </si>
  <si>
    <t>FEC.ktoe.IE.Res.HH.Thermal.WH</t>
  </si>
  <si>
    <t>FEC.ktoe.IE.Res.HH.Thermal.CO</t>
  </si>
  <si>
    <t>FEC.ktoe.IE.Res.HH.Appl</t>
  </si>
  <si>
    <t>EMI.ktCO2.IE.ES.Res</t>
  </si>
  <si>
    <t>EMI.ktCO2.IE.ES.Res.Solids</t>
  </si>
  <si>
    <t>EMI.ktCO2.IE.ES.Res.LPG</t>
  </si>
  <si>
    <t>EMI.ktCO2.IE.ES.Res.Oil</t>
  </si>
  <si>
    <t>EMI.ktCO2.IE.ES.Res.NG</t>
  </si>
  <si>
    <t>EMI.ktCO2.IE.ES.Res.Biomass_Waste</t>
  </si>
  <si>
    <t>EMI.ktCO2.IE.ES.Res.Biogas</t>
  </si>
  <si>
    <t>EMI.ktCO2.IE.ES.Res.LiqBio</t>
  </si>
  <si>
    <t>EMI.ktCO2.IE.ES.Res.Solar</t>
  </si>
  <si>
    <t>EMI.ktCO2.IE.ES.Res.Geo</t>
  </si>
  <si>
    <t>EMI.ktCO2.IE.ES.Res.Ambient</t>
  </si>
  <si>
    <t>EMI.ktCO2.IE.ES.Res.Steam_Distr</t>
  </si>
  <si>
    <t>EMI.ktCO2.IE.ES.Res.Elec</t>
  </si>
  <si>
    <t>EMI.ktCO2.IE.Res.HH</t>
  </si>
  <si>
    <t>EMI.ktCO2.IE.Res.HH.Thermal</t>
  </si>
  <si>
    <t>EMI.ktCO2.IE.Res.HH.Thermal.SH</t>
  </si>
  <si>
    <t>EMI.ktCO2.IE.Res.HH.Thermal.SC</t>
  </si>
  <si>
    <t>EMI.ktCO2.IE.Res.HH.Thermal.WH</t>
  </si>
  <si>
    <t>EMI.ktCO2.IE.Res.HH.Thermal.CO</t>
  </si>
  <si>
    <t>EMI.ktCO2.IE.Res.HH.Appl</t>
  </si>
  <si>
    <t>FEC_per_household.kWh.IE.Res.HH</t>
  </si>
  <si>
    <t>FEC_per_household.kWh.IE.Res.HH.Thermal</t>
  </si>
  <si>
    <t>FEC_per_household.kWh.IE.Res.HH.Thermal.SH</t>
  </si>
  <si>
    <t>FEC_per_household.kWh.IE.Res.HH.Thermal.SC</t>
  </si>
  <si>
    <t>FEC_per_household.kWh.IE.Res.HH.Thermal.WH</t>
  </si>
  <si>
    <t>FEC_per_household.kWh.IE.Res.HH.Thermal.CO</t>
  </si>
  <si>
    <t>FEC_per_household.kWh.IE.Res.HH.Appl</t>
  </si>
  <si>
    <t>TES_per_household.kWh.IE.Res.HH.Thermal</t>
  </si>
  <si>
    <t>TES_per_household.kWh.IE.Res.HH.Thermal.SH</t>
  </si>
  <si>
    <t>TES_per_household.kWh.IE.Res.HH.Thermal.SC</t>
  </si>
  <si>
    <t>TES_per_household.kWh.IE.Res.HH.Thermal.WH</t>
  </si>
  <si>
    <t>TES_per_household.kWh.IE.Res.HH.Thermal.CO</t>
  </si>
  <si>
    <t>EMI_per_household.kgCO2.IE.Res.HH</t>
  </si>
  <si>
    <t>EMI_per_household.kgCO2.IE.Res.HH.Thermal</t>
  </si>
  <si>
    <t>EMI_per_household.kgCO2.IE.Res.HH.Thermal.SH</t>
  </si>
  <si>
    <t>EMI_per_household.kgCO2.IE.Res.HH.Thermal.SC</t>
  </si>
  <si>
    <t>EMI_per_household.kgCO2.IE.Res.HH.Thermal.WH</t>
  </si>
  <si>
    <t>EMI_per_household.kgCO2.IE.Res.HH.Thermal.CO</t>
  </si>
  <si>
    <t>EMI_per_household.kgCO2.IE.Res.HH.Appl</t>
  </si>
  <si>
    <t>Eff.ratio.IE.Res.HH.Thermal</t>
  </si>
  <si>
    <t>Eff.ratio.IE.Res.HH.Thermal.SH</t>
  </si>
  <si>
    <t>Eff.ratio.IE.Res.HH.Thermal.SC</t>
  </si>
  <si>
    <t>Eff.ratio.IE.Res.HH.Thermal.WH</t>
  </si>
  <si>
    <t>Eff.ratio.IE.Res.HH.Thermal.CO</t>
  </si>
  <si>
    <t>FEC_per_sqm.kWh.IE.Res.HH</t>
  </si>
  <si>
    <t>FEC_per_sqm.kWh.IE.Res.HH.Thermal</t>
  </si>
  <si>
    <t>FEC_per_sqm.kWh.IE.Res.HH.Thermal.SH</t>
  </si>
  <si>
    <t>FEC_per_sqm.kWh.IE.Res.HH.Thermal.SC</t>
  </si>
  <si>
    <t>FEC_per_sqm.kWh.IE.Res.HH.Thermal.WH</t>
  </si>
  <si>
    <t>FEC_per_sqm.kWh.IE.Res.HH.Thermal.CO</t>
  </si>
  <si>
    <t>FEC_per_sqm.kWh.IE.Res.HH.Appl</t>
  </si>
  <si>
    <t>TES_per_sqm.kWh.IE.Res.HH.Thermal</t>
  </si>
  <si>
    <t>TES_per_sqm.kWh.IE.Res.HH.Thermal.SH</t>
  </si>
  <si>
    <t>TES_per_sqm.kWh.IE.Res.HH.Thermal.SC</t>
  </si>
  <si>
    <t>TES_per_sqm.kWh.IE.Res.HH.Thermal.WH</t>
  </si>
  <si>
    <t>TES_per_sqm.kWh.IE.Res.HH.Thermal.CO</t>
  </si>
  <si>
    <t>EMI_per_sqm.kgCO2.IE.Res.HH</t>
  </si>
  <si>
    <t>EMI_per_sqm.kgCO2.IE.Res.HH.Thermal</t>
  </si>
  <si>
    <t>EMI_per_sqm.kgCO2.IE.Res.HH.Thermal.SH</t>
  </si>
  <si>
    <t>EMI_per_sqm.kgCO2.IE.Res.HH.Thermal.SC</t>
  </si>
  <si>
    <t>EMI_per_sqm.kgCO2.IE.Res.HH.Thermal.WH</t>
  </si>
  <si>
    <t>EMI_per_sqm.kgCO2.IE.Res.HH.Thermal.CO</t>
  </si>
  <si>
    <t>EMI_per_sqm.kgCO2.IE.Res.HH.Appl</t>
  </si>
  <si>
    <t>FEC_per_capita.kWh.IE.Res.HH</t>
  </si>
  <si>
    <t>FEC_per_capita.kWh.IE.Res.HH.Thermal</t>
  </si>
  <si>
    <t>FEC_per_capita.kWh.IE.Res.HH.Thermal.SH</t>
  </si>
  <si>
    <t>FEC_per_capita.kWh.IE.Res.HH.Thermal.SC</t>
  </si>
  <si>
    <t>FEC_per_capita.kWh.IE.Res.HH.Thermal.WH</t>
  </si>
  <si>
    <t>FEC_per_capita.kWh.IE.Res.HH.Thermal.CO</t>
  </si>
  <si>
    <t>FEC_per_capita.kWh.IE.Res.HH.Appl</t>
  </si>
  <si>
    <t>TES_per_capita.kWh.IE.Res.HH.Thermal</t>
  </si>
  <si>
    <t>TES_per_capita.kWh.IE.Res.HH.Thermal.SH</t>
  </si>
  <si>
    <t>TES_per_capita.kWh.IE.Res.HH.Thermal.SC</t>
  </si>
  <si>
    <t>TES_per_capita.kWh.IE.Res.HH.Thermal.WH</t>
  </si>
  <si>
    <t>TES_per_capita.kWh.IE.Res.HH.Thermal.CO</t>
  </si>
  <si>
    <t>EMI_per_capita.kgCO2.IE.Res.HH</t>
  </si>
  <si>
    <t>EMI_per_capita.kgCO2.IE.Res.HH.Thermal</t>
  </si>
  <si>
    <t>EMI_per_capita.kgCO2.IE.Res.HH.Thermal.SH</t>
  </si>
  <si>
    <t>EMI_per_capita.kgCO2.IE.Res.HH.Thermal.SC</t>
  </si>
  <si>
    <t>EMI_per_capita.kgCO2.IE.Res.HH.Thermal.WH</t>
  </si>
  <si>
    <t>EMI_per_capita.kgCO2.IE.Res.HH.Thermal.CO</t>
  </si>
  <si>
    <t>EMI_per_capita.kgCO2.IE.Res.HH.Appl</t>
  </si>
  <si>
    <t># new renovated houses</t>
  </si>
  <si>
    <t>houses</t>
  </si>
  <si>
    <t>European Commission Joint Research Centre Data Catalogue</t>
  </si>
  <si>
    <t>https://data.jrc.ec.europa.eu/dataset/82322924-506a-4c9a-8532-2bdd30d69bf5#dataaccess</t>
  </si>
  <si>
    <t>Column106</t>
  </si>
  <si>
    <t>Column107</t>
  </si>
  <si>
    <t>Column108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</si>
  <si>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</si>
  <si>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</si>
  <si>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</si>
  <si>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</si>
  <si>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</si>
  <si>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</si>
  <si>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</si>
  <si>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Column118</t>
  </si>
  <si>
    <t>Column119</t>
  </si>
  <si>
    <t>Column120</t>
  </si>
  <si>
    <t>Column121</t>
  </si>
  <si>
    <t>Column122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</si>
  <si>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</si>
  <si>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</si>
  <si>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</si>
  <si>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</si>
  <si>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</si>
  <si>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</si>
  <si>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</si>
  <si>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Column134</t>
  </si>
  <si>
    <t>Column135</t>
  </si>
  <si>
    <t>Column136</t>
  </si>
  <si>
    <t>Column137</t>
  </si>
  <si>
    <t>Column138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</si>
  <si>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</si>
  <si>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</si>
  <si>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</si>
  <si>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</si>
  <si>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</si>
  <si>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</si>
  <si>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</si>
  <si>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</si>
  <si>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</si>
  <si>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</si>
  <si>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</si>
  <si>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</si>
  <si>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</si>
  <si>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</si>
  <si>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Column158</t>
  </si>
  <si>
    <t>Column159</t>
  </si>
  <si>
    <t>Column160</t>
  </si>
  <si>
    <t>Downloaded from: https://www.eea.europa.eu/en/analysis/publications/sustainability-of-europes-mobility-systems/passenger-transport-activity/eu-27-passenger-transport-activity-gpkm-for-different-transport-modes-according-to-the-ff55-mix-scenario</t>
  </si>
  <si>
    <t/>
  </si>
  <si>
    <t xml:space="preserve">Publisher </t>
  </si>
  <si>
    <t>European Environment Agency</t>
  </si>
  <si>
    <t>EEA</t>
  </si>
  <si>
    <t xml:space="preserve">Sources </t>
  </si>
  <si>
    <t>https://energy.ec.europa.eu/publications/excel-files-mix-scenario_en</t>
  </si>
  <si>
    <t>EC, 2021d, ‘Excel files for MIX scenario - FF55 MIX energy-transport-ghg’</t>
  </si>
  <si>
    <t xml:space="preserve">Geographical coverage </t>
  </si>
  <si>
    <t>Cyprus, Portugal, Spain, Malta, Denmark, United Kingdom, Sweden, Netherlands, Austria, Belgium, Germany, Luxembourg, Ireland, France, Slovakia, Czechia, Italy, Slovenia, Greece, Estonia, Latvia, Lithuania, Finland, Hungary, Bulgaria, Poland, Romania</t>
  </si>
  <si>
    <t>Scenario_EU-27_x1</t>
  </si>
  <si>
    <t>Scenario_EU-27_Domestic_and_intra-EU_aviation</t>
  </si>
  <si>
    <t>Scenario_EU-27_Domestic_navigation_</t>
  </si>
  <si>
    <t>Scenario_EU-27_Rail_</t>
  </si>
  <si>
    <t>Scenario_EU-27_Powered_two-wheelers_</t>
  </si>
  <si>
    <t>Scenario_EU-27_Buses_and_coaches_</t>
  </si>
  <si>
    <t>Scenario_EU-27_Cars__</t>
  </si>
  <si>
    <t>Scenario_BE_Domestic_and_intra-EU_aviation</t>
  </si>
  <si>
    <t>Scenario_BE_Domestic_navigation_</t>
  </si>
  <si>
    <t>Scenario_BE_Rail_</t>
  </si>
  <si>
    <t>Scenario_BE_Powered_two-wheelers_</t>
  </si>
  <si>
    <t>Scenario_BE_Buses_and_coaches_</t>
  </si>
  <si>
    <t>Scenario_BE_Cars__</t>
  </si>
  <si>
    <t>Scenario_BG_Domestic_and_intra-EU_aviation</t>
  </si>
  <si>
    <t>Scenario_BG_Domestic_navigation_</t>
  </si>
  <si>
    <t>Scenario_BG_Rail_</t>
  </si>
  <si>
    <t>Scenario_BG_Powered_two-wheelers_</t>
  </si>
  <si>
    <t>Scenario_BG_Buses_and_coaches_</t>
  </si>
  <si>
    <t>Scenario_BG_Cars__</t>
  </si>
  <si>
    <t>Scenario_CZ_Domestic_and_intra-EU_aviation</t>
  </si>
  <si>
    <t>Scenario_CZ_Domestic_navigation_</t>
  </si>
  <si>
    <t>Scenario_CZ_Rail_</t>
  </si>
  <si>
    <t>Scenario_CZ_Powered_two-wheelers_</t>
  </si>
  <si>
    <t>Scenario_CZ_Buses_and_coaches_</t>
  </si>
  <si>
    <t>Scenario_CZ_Cars__</t>
  </si>
  <si>
    <t>Scenario_DK_Domestic_and_intra-EU_aviation</t>
  </si>
  <si>
    <t>Scenario_DK_Domestic_navigation_</t>
  </si>
  <si>
    <t>Scenario_DK_Rail_</t>
  </si>
  <si>
    <t>Scenario_DK_Powered_two-wheelers_</t>
  </si>
  <si>
    <t>Scenario_DK_Buses_and_coaches_</t>
  </si>
  <si>
    <t>Scenario_DK_Cars__</t>
  </si>
  <si>
    <t>Scenario_DE_Domestic_and_intra-EU_aviation</t>
  </si>
  <si>
    <t>Scenario_DE_Domestic_navigation_</t>
  </si>
  <si>
    <t>Scenario_DE_Rail_</t>
  </si>
  <si>
    <t>Scenario_DE_Powered_two-wheelers_</t>
  </si>
  <si>
    <t>Scenario_DE_Buses_and_coaches_</t>
  </si>
  <si>
    <t>Scenario_DE_Cars__</t>
  </si>
  <si>
    <t>Scenario_EE_Domestic_and_intra-EU_aviation</t>
  </si>
  <si>
    <t>Scenario_EE_Domestic_navigation_</t>
  </si>
  <si>
    <t>Scenario_EE_Rail_</t>
  </si>
  <si>
    <t>Scenario_EE_Powered_two-wheelers_</t>
  </si>
  <si>
    <t>Scenario_EE_Buses_and_coaches_</t>
  </si>
  <si>
    <t>Scenario_EE_Cars__</t>
  </si>
  <si>
    <t>Scenario_IE_Domestic_and_intra-EU_aviation</t>
  </si>
  <si>
    <t>Scenario_IE_Domestic_navigation_</t>
  </si>
  <si>
    <t>Scenario_IE_Rail_</t>
  </si>
  <si>
    <t>Scenario_IE_Powered_two-wheelers_</t>
  </si>
  <si>
    <t>Scenario_IE_Buses_and_coaches_</t>
  </si>
  <si>
    <t>Scenario_IE_Cars__</t>
  </si>
  <si>
    <t>Scenario_EL_Domestic_and_intra-EU_aviation</t>
  </si>
  <si>
    <t>Scenario_EL_Domestic_navigation_</t>
  </si>
  <si>
    <t>Scenario_EL_Rail_</t>
  </si>
  <si>
    <t>Scenario_EL_Powered_two-wheelers_</t>
  </si>
  <si>
    <t>Scenario_EL_Buses_and_coaches_</t>
  </si>
  <si>
    <t>Scenario_EL_Cars__</t>
  </si>
  <si>
    <t>Scenario_ES_Domestic_and_intra-EU_aviation</t>
  </si>
  <si>
    <t>Scenario_ES_Domestic_navigation_</t>
  </si>
  <si>
    <t>Scenario_ES_Rail_</t>
  </si>
  <si>
    <t>Scenario_ES_Powered_two-wheelers_</t>
  </si>
  <si>
    <t>Scenario_ES_Buses_and_coaches_</t>
  </si>
  <si>
    <t>Scenario_ES_Cars__</t>
  </si>
  <si>
    <t>Scenario_FR_Domestic_and_intra-EU_aviation</t>
  </si>
  <si>
    <t>Scenario_FR_Domestic_navigation_</t>
  </si>
  <si>
    <t>Scenario_FR_Rail_</t>
  </si>
  <si>
    <t>Scenario_FR_Powered_two-wheelers_</t>
  </si>
  <si>
    <t>Scenario_FR_Buses_and_coaches_</t>
  </si>
  <si>
    <t>Scenario_FR_Cars__</t>
  </si>
  <si>
    <t>Scenario_HR_Domestic_and_intra-EU_aviation</t>
  </si>
  <si>
    <t>Scenario_HR_Domestic_navigation_</t>
  </si>
  <si>
    <t>Scenario_HR_Rail_</t>
  </si>
  <si>
    <t>Scenario_HR_Powered_two-wheelers_</t>
  </si>
  <si>
    <t>Scenario_HR_Buses_and_coaches_</t>
  </si>
  <si>
    <t>Scenario_HR_Cars__</t>
  </si>
  <si>
    <t>Scenario_IT_Domestic_and_intra-EU_aviation</t>
  </si>
  <si>
    <t>Scenario_IT_Domestic_navigation_</t>
  </si>
  <si>
    <t>Scenario_IT_Rail_</t>
  </si>
  <si>
    <t>Scenario_IT_Powered_two-wheelers_</t>
  </si>
  <si>
    <t>Scenario_IT_Buses_and_coaches_</t>
  </si>
  <si>
    <t>Scenario_IT_Cars__</t>
  </si>
  <si>
    <t>Scenario_CY_Domestic_and_intra-EU_aviation</t>
  </si>
  <si>
    <t>Scenario_CY_Powered_two-wheelers_</t>
  </si>
  <si>
    <t>Scenario_CY_Buses_and_coaches_</t>
  </si>
  <si>
    <t>Scenario_CY_Cars__</t>
  </si>
  <si>
    <t>Scenario_LV_Domestic_and_intra-EU_aviation</t>
  </si>
  <si>
    <t>Scenario_LV_Rail_</t>
  </si>
  <si>
    <t>Scenario_LV_Powered_two-wheelers_</t>
  </si>
  <si>
    <t>Scenario_LV_Buses_and_coaches_</t>
  </si>
  <si>
    <t>Scenario_LV_Cars__</t>
  </si>
  <si>
    <t>Scenario_LT_Domestic_and_intra-EU_aviation</t>
  </si>
  <si>
    <t>Scenario_LT_Domestic_navigation_</t>
  </si>
  <si>
    <t>Scenario_LT_Rail_</t>
  </si>
  <si>
    <t>Scenario_LT_Powered_two-wheelers_</t>
  </si>
  <si>
    <t>Scenario_LT_Buses_and_coaches_</t>
  </si>
  <si>
    <t>Scenario_LT_Cars__</t>
  </si>
  <si>
    <t>Scenario_LU_Domestic_and_intra-EU_aviation</t>
  </si>
  <si>
    <t>Scenario_LU_Rail_</t>
  </si>
  <si>
    <t>Scenario_LU_Powered_two-wheelers_</t>
  </si>
  <si>
    <t>Scenario_LU_Buses_and_coaches_</t>
  </si>
  <si>
    <t>Scenario_LU_Cars__</t>
  </si>
  <si>
    <t>Scenario_HU_Domestic_and_intra-EU_aviation</t>
  </si>
  <si>
    <t>Scenario_HU_Rail_</t>
  </si>
  <si>
    <t>Scenario_HU_Powered_two-wheelers_</t>
  </si>
  <si>
    <t>Scenario_HU_Buses_and_coaches_</t>
  </si>
  <si>
    <t>Scenario_HU_Cars__</t>
  </si>
  <si>
    <t>Scenario_MT_Domestic_and_intra-EU_aviation</t>
  </si>
  <si>
    <t>Scenario_MT_Powered_two-wheelers_</t>
  </si>
  <si>
    <t>Scenario_MT_Buses_and_coaches_</t>
  </si>
  <si>
    <t>Scenario_MT_Cars__</t>
  </si>
  <si>
    <t>Scenario_NL_Domestic_and_intra-EU_aviation</t>
  </si>
  <si>
    <t>Scenario_NL_Domestic_navigation_</t>
  </si>
  <si>
    <t>Scenario_NL_Rail_</t>
  </si>
  <si>
    <t>Scenario_NL_Powered_two-wheelers_</t>
  </si>
  <si>
    <t>Scenario_NL_Buses_and_coaches_</t>
  </si>
  <si>
    <t>Scenario_NL_Cars__</t>
  </si>
  <si>
    <t>Scenario_AT_Domestic_and_intra-EU_aviation</t>
  </si>
  <si>
    <t>Scenario_AT_Domestic_navigation_</t>
  </si>
  <si>
    <t>Scenario_AT_Rail_</t>
  </si>
  <si>
    <t>Scenario_AT_Powered_two-wheelers_</t>
  </si>
  <si>
    <t>Scenario_AT_Buses_and_coaches_</t>
  </si>
  <si>
    <t>Scenario_AT_Cars__</t>
  </si>
  <si>
    <t>Scenario_PL_Domestic_and_intra-EU_aviation</t>
  </si>
  <si>
    <t>Scenario_PL_Domestic_navigation_</t>
  </si>
  <si>
    <t>Scenario_PL_Rail_</t>
  </si>
  <si>
    <t>Scenario_PL_Powered_two-wheelers_</t>
  </si>
  <si>
    <t>Scenario_PL_Buses_and_coaches_</t>
  </si>
  <si>
    <t>Scenario_PL_Cars__</t>
  </si>
  <si>
    <t>Scenario_PT_Domestic_and_intra-EU_aviation</t>
  </si>
  <si>
    <t>Scenario_PT_Domestic_navigation_</t>
  </si>
  <si>
    <t>Scenario_PT_Rail_</t>
  </si>
  <si>
    <t>Scenario_PT_Powered_two-wheelers_</t>
  </si>
  <si>
    <t>Scenario_PT_Buses_and_coaches_</t>
  </si>
  <si>
    <t>Scenario_PT_Cars__</t>
  </si>
  <si>
    <t>Scenario_RO_Domestic_and_intra-EU_aviation</t>
  </si>
  <si>
    <t>Scenario_RO_Domestic_navigation_</t>
  </si>
  <si>
    <t>Scenario_RO_Rail_</t>
  </si>
  <si>
    <t>Scenario_RO_Powered_two-wheelers_</t>
  </si>
  <si>
    <t>Scenario_RO_Buses_and_coaches_</t>
  </si>
  <si>
    <t>Scenario_RO_Cars__</t>
  </si>
  <si>
    <t>Scenario_SI_Domestic_and_intra-EU_aviation</t>
  </si>
  <si>
    <t>Scenario_SI_Rail_</t>
  </si>
  <si>
    <t>Scenario_SI_Powered_two-wheelers_</t>
  </si>
  <si>
    <t>Scenario_SI_Buses_and_coaches_</t>
  </si>
  <si>
    <t>Scenario_SI_Cars__</t>
  </si>
  <si>
    <t>Scenario_SK_Domestic_and_intra-EU_aviation</t>
  </si>
  <si>
    <t>Scenario_SK_Rail_</t>
  </si>
  <si>
    <t>Scenario_SK_Powered_two-wheelers_</t>
  </si>
  <si>
    <t>Scenario_SK_Buses_and_coaches_</t>
  </si>
  <si>
    <t>Scenario_SK_Cars__</t>
  </si>
  <si>
    <t>Scenario_FI_Domestic_and_intra-EU_aviation</t>
  </si>
  <si>
    <t>Scenario_FI_Domestic_navigation_</t>
  </si>
  <si>
    <t>Scenario_FI_Rail_</t>
  </si>
  <si>
    <t>Scenario_FI_Powered_two-wheelers_</t>
  </si>
  <si>
    <t>Scenario_FI_Buses_and_coaches_</t>
  </si>
  <si>
    <t>Scenario_FI_Cars__</t>
  </si>
  <si>
    <t>Scenario_SE_Domestic_and_intra-EU_aviation</t>
  </si>
  <si>
    <t>Scenario_SE_Domestic_navigation_</t>
  </si>
  <si>
    <t>Scenario_SE_Rail_</t>
  </si>
  <si>
    <t>Scenario_SE_Powered_two-wheelers_</t>
  </si>
  <si>
    <t>Scenario_SE_Buses_and_coaches_</t>
  </si>
  <si>
    <t>Scenario_SE_Cars__</t>
  </si>
  <si>
    <t>2005</t>
  </si>
  <si>
    <t>372.7858992472852</t>
  </si>
  <si>
    <t>32.267954693360714</t>
  </si>
  <si>
    <t>417.2232059259342</t>
  </si>
  <si>
    <t>115.14315895057229</t>
  </si>
  <si>
    <t>498.20252417552103</t>
  </si>
  <si>
    <t>3841.202448424538</t>
  </si>
  <si>
    <t>7.334669746070221</t>
  </si>
  <si>
    <t>0.31036525987373126</t>
  </si>
  <si>
    <t>9.439999999580914</t>
  </si>
  <si>
    <t>1.2061707550892904</t>
  </si>
  <si>
    <t>17.51504805873601</t>
  </si>
  <si>
    <t>102.80426445720657</t>
  </si>
  <si>
    <t>2.6867978866624043</t>
  </si>
  <si>
    <t>0.017054319009891183</t>
  </si>
  <si>
    <t>2.823000400005723</t>
  </si>
  <si>
    <t>0.7300005997425607</t>
  </si>
  <si>
    <t>13.687999999648689</t>
  </si>
  <si>
    <t>35.100000394388935</t>
  </si>
  <si>
    <t>7.901735783151914</t>
  </si>
  <si>
    <t>0</t>
  </si>
  <si>
    <t>14.601200399989139</t>
  </si>
  <si>
    <t>3.1500005999995206</t>
  </si>
  <si>
    <t>15.607899999997127</t>
  </si>
  <si>
    <t>68.6400004000203</t>
  </si>
  <si>
    <t>8.230279364858626</t>
  </si>
  <si>
    <t>3.162622907706997</t>
  </si>
  <si>
    <t>6.136000402903621</t>
  </si>
  <si>
    <t>0.530000600004417</t>
  </si>
  <si>
    <t>7.169000004636504</t>
  </si>
  <si>
    <t>49.75800042521359</t>
  </si>
  <si>
    <t>57.33419735428041</t>
  </si>
  <si>
    <t>2.1390798828915596</t>
  </si>
  <si>
    <t>92.28499999525916</t>
  </si>
  <si>
    <t>18.79500063505142</t>
  </si>
  <si>
    <t>67.06199999873272</t>
  </si>
  <si>
    <t>856.8750005669788</t>
  </si>
  <si>
    <t>0.6054875415023772</t>
  </si>
  <si>
    <t>0.3786122992229439</t>
  </si>
  <si>
    <t>0.32330039674928507</t>
  </si>
  <si>
    <t>0.11000219817238241</t>
  </si>
  <si>
    <t>2.7159999675913387</t>
  </si>
  <si>
    <t>9.929001154406441</t>
  </si>
  <si>
    <t>8.12194894150643</t>
  </si>
  <si>
    <t>1.04240242544689</t>
  </si>
  <si>
    <t>1.890999999840106</t>
  </si>
  <si>
    <t>0.13000059999048896</t>
  </si>
  <si>
    <t>7.915199999319714</t>
  </si>
  <si>
    <t>44.3790005979474</t>
  </si>
  <si>
    <t>23.03355036175256</t>
  </si>
  <si>
    <t>7.46030379911707</t>
  </si>
  <si>
    <t>3.3540000002436727</t>
  </si>
  <si>
    <t>4.700000601058661</t>
  </si>
  <si>
    <t>21.70000000045052</t>
  </si>
  <si>
    <t>85.00000060775538</t>
  </si>
  <si>
    <t>96.3759805132985</t>
  </si>
  <si>
    <t>1.8016814335940823</t>
  </si>
  <si>
    <t>27.62399997915012</t>
  </si>
  <si>
    <t>8.600000598831526</t>
  </si>
  <si>
    <t>53.17599997245606</t>
  </si>
  <si>
    <t>337.7970004477496</t>
  </si>
  <si>
    <t>57.06918435126796</t>
  </si>
  <si>
    <t>3.3064960064113365</t>
  </si>
  <si>
    <t>95.92033045742691</t>
  </si>
  <si>
    <t>12.618933029226813</t>
  </si>
  <si>
    <t>50.10470892826654</t>
  </si>
  <si>
    <t>704.6155541266967</t>
  </si>
  <si>
    <t>0.8811855101807338</t>
  </si>
  <si>
    <t>4.000000004251529e-7</t>
  </si>
  <si>
    <t>1.7601664009869833</t>
  </si>
  <si>
    <t>0.14800139949415755</t>
  </si>
  <si>
    <t>3.403468986171076</t>
  </si>
  <si>
    <t>24.000000726744556</t>
  </si>
  <si>
    <t>36.62557812609449</t>
  </si>
  <si>
    <t>4.9834166267071325</t>
  </si>
  <si>
    <t>56.123000000078534</t>
  </si>
  <si>
    <t>49.52100063068344</t>
  </si>
  <si>
    <t>100.95399999774675</t>
  </si>
  <si>
    <t>677.0140004846444</t>
  </si>
  <si>
    <t>2.867629441929434</t>
  </si>
  <si>
    <t>0.1350008000026191</t>
  </si>
  <si>
    <t>1.2599999986434272</t>
  </si>
  <si>
    <t>4.800000600065487</t>
  </si>
  <si>
    <t>0.654071948426312</t>
  </si>
  <si>
    <t>1.1617003993274675</t>
  </si>
  <si>
    <t>0.3300005997612335</t>
  </si>
  <si>
    <t>2.8909999997028573</t>
  </si>
  <si>
    <t>12.111500598493969</t>
  </si>
  <si>
    <t>0.6266148402989704</t>
  </si>
  <si>
    <t>0.06779417980060119</t>
  </si>
  <si>
    <t>0.2800012000009759</t>
  </si>
  <si>
    <t>0.3400021999975373</t>
  </si>
  <si>
    <t>3.691000000054629</t>
  </si>
  <si>
    <t>34.79300059871458</t>
  </si>
  <si>
    <t>0.5789759587490495</t>
  </si>
  <si>
    <t>0.26700120000126304</t>
  </si>
  <si>
    <t>0.150000800000825</t>
  </si>
  <si>
    <t>0.8000000000018809</t>
  </si>
  <si>
    <t>6.300000800037398</t>
  </si>
  <si>
    <t>2.8545191897262283</t>
  </si>
  <si>
    <t>12.204000400000721</t>
  </si>
  <si>
    <t>1.1000003999998145</t>
  </si>
  <si>
    <t>17.844999999999178</t>
  </si>
  <si>
    <t>49.40300039996766</t>
  </si>
  <si>
    <t>1.2115506418871431</t>
  </si>
  <si>
    <t>0.05000080000818583</t>
  </si>
  <si>
    <t>0.4899999981389671</t>
  </si>
  <si>
    <t>2.0000006005021116</t>
  </si>
  <si>
    <t>12.537254688854759</t>
  </si>
  <si>
    <t>0.7500633152809575</t>
  </si>
  <si>
    <t>15.899406410093045</t>
  </si>
  <si>
    <t>2.700000601154671</t>
  </si>
  <si>
    <t>4.775028044045083</t>
  </si>
  <si>
    <t>148.80000039109697</t>
  </si>
  <si>
    <t>6.011271421153518</t>
  </si>
  <si>
    <t>0.036243219902651</t>
  </si>
  <si>
    <t>15.122253026692238</t>
  </si>
  <si>
    <t>1.833880227445236</t>
  </si>
  <si>
    <t>9.658124698942634</t>
  </si>
  <si>
    <t>70.5570004218626</t>
  </si>
  <si>
    <t>3.0903190648935746</t>
  </si>
  <si>
    <t>0.20812534343699068</t>
  </si>
  <si>
    <t>22.557000443979728</t>
  </si>
  <si>
    <t>1.29800060356116</t>
  </si>
  <si>
    <t>49.20000003001622</t>
  </si>
  <si>
    <t>152.30000051912316</t>
  </si>
  <si>
    <t>12.122919717654312</t>
  </si>
  <si>
    <t>0.31373654863094613</t>
  </si>
  <si>
    <t>4.656715883007572</t>
  </si>
  <si>
    <t>2.000000568181055</t>
  </si>
  <si>
    <t>6.3762630465726495</t>
  </si>
  <si>
    <t>85.00000041584175</t>
  </si>
  <si>
    <t>2.692465143617606</t>
  </si>
  <si>
    <t>0.01586238902343719</t>
  </si>
  <si>
    <t>14.581908400006851</t>
  </si>
  <si>
    <t>2.350000799996887</t>
  </si>
  <si>
    <t>11.811000000005397</t>
  </si>
  <si>
    <t>61.00000040000471</t>
  </si>
  <si>
    <t>0.2886740566672655</t>
  </si>
  <si>
    <t>0.7160022000277325</t>
  </si>
  <si>
    <t>0.2300008000179384</t>
  </si>
  <si>
    <t>3.0620000002236343</t>
  </si>
  <si>
    <t>22.509000801367197</t>
  </si>
  <si>
    <t>0.9183279376886472</t>
  </si>
  <si>
    <t>2.5682179314202283</t>
  </si>
  <si>
    <t>0.5700009989923701</t>
  </si>
  <si>
    <t>8.537782444697779</t>
  </si>
  <si>
    <t>25.824000570251677</t>
  </si>
  <si>
    <t>7.915123959999033</t>
  </si>
  <si>
    <t>0.1412900000296127</t>
  </si>
  <si>
    <t>4.004000000559068</t>
  </si>
  <si>
    <t>0.9000006000368549</t>
  </si>
  <si>
    <t>7.540000000086642</t>
  </si>
  <si>
    <t>61.91000060585705</t>
  </si>
  <si>
    <t>12.215585755112732</t>
  </si>
  <si>
    <t>6.1328043372738845</t>
  </si>
  <si>
    <t>10.923999998603128</t>
  </si>
  <si>
    <t>0.9171559040712132</t>
  </si>
  <si>
    <t>9.254000000637138</t>
  </si>
  <si>
    <t>107.98311631159912</t>
  </si>
  <si>
    <t>2006</t>
  </si>
  <si>
    <t>null</t>
  </si>
  <si>
    <t>2007</t>
  </si>
  <si>
    <t>2008</t>
  </si>
  <si>
    <t>2009</t>
  </si>
  <si>
    <t>2010</t>
  </si>
  <si>
    <t>398.4087817082652</t>
  </si>
  <si>
    <t>31.32039841153487</t>
  </si>
  <si>
    <t>444.22344026802347</t>
  </si>
  <si>
    <t>114.66863858633572</t>
  </si>
  <si>
    <t>483.5178151183824</t>
  </si>
  <si>
    <t>3980.9477402554776</t>
  </si>
  <si>
    <t>8.907141840677824</t>
  </si>
  <si>
    <t>0.3008757616309063</t>
  </si>
  <si>
    <t>11.634000000000004</t>
  </si>
  <si>
    <t>1.2651077980312928</t>
  </si>
  <si>
    <t>17.379999999999985</t>
  </si>
  <si>
    <t>109.3877602190548</t>
  </si>
  <si>
    <t>2.894039668955549</t>
  </si>
  <si>
    <t>0.016532877556941716</t>
  </si>
  <si>
    <t>2.9990004</t>
  </si>
  <si>
    <t>1.0400005999999997</t>
  </si>
  <si>
    <t>10.613000000000003</t>
  </si>
  <si>
    <t>46.90000039999999</t>
  </si>
  <si>
    <t>7.144064840743311</t>
  </si>
  <si>
    <t>15.556000399999995</t>
  </si>
  <si>
    <t>3.5200005999999995</t>
  </si>
  <si>
    <t>16.955599999999983</t>
  </si>
  <si>
    <t>63.570000399999984</t>
  </si>
  <si>
    <t>9.22831493068931</t>
  </si>
  <si>
    <t>3.0659248987329693</t>
  </si>
  <si>
    <t>6.577000399999999</t>
  </si>
  <si>
    <t>0.5440006</t>
  </si>
  <si>
    <t>6.820999999999996</t>
  </si>
  <si>
    <t>51.69100040000001</t>
  </si>
  <si>
    <t>56.55147769109874</t>
  </si>
  <si>
    <t>2.0736769688309433</t>
  </si>
  <si>
    <t>100.241</t>
  </si>
  <si>
    <t>17.700000600000006</t>
  </si>
  <si>
    <t>61.76700000000001</t>
  </si>
  <si>
    <t>887.0000003999994</t>
  </si>
  <si>
    <t>0.48032152907636433</t>
  </si>
  <si>
    <t>0.36703613284753883</t>
  </si>
  <si>
    <t>0.4520995999999999</t>
  </si>
  <si>
    <t>0.19900220250568812</t>
  </si>
  <si>
    <t>2.060999999999998</t>
  </si>
  <si>
    <t>10.100001399999993</t>
  </si>
  <si>
    <t>8.338965738027968</t>
  </si>
  <si>
    <t>1.0105307062006406</t>
  </si>
  <si>
    <t>1.8090000000000002</t>
  </si>
  <si>
    <t>0.12300059999999999</t>
  </si>
  <si>
    <t>8.459200000000001</t>
  </si>
  <si>
    <t>48.0825006</t>
  </si>
  <si>
    <t>17.76803686192057</t>
  </si>
  <si>
    <t>7.23220311080188</t>
  </si>
  <si>
    <t>3.0757464982806515</t>
  </si>
  <si>
    <t>5.7700006</t>
  </si>
  <si>
    <t>21.099999999999994</t>
  </si>
  <si>
    <t>99.60000060000006</t>
  </si>
  <si>
    <t>102.1807493748563</t>
  </si>
  <si>
    <t>1.7465945640094833</t>
  </si>
  <si>
    <t>30.044899999999995</t>
  </si>
  <si>
    <t>10.140000600000004</t>
  </si>
  <si>
    <t>50.90200000000002</t>
  </si>
  <si>
    <t>341.6290003999999</t>
  </si>
  <si>
    <t>61.21052175963105</t>
  </si>
  <si>
    <t>3.205399046270325</t>
  </si>
  <si>
    <t>107.43220290291087</t>
  </si>
  <si>
    <t>13.91802422496</t>
  </si>
  <si>
    <t>54.040974622693454</t>
  </si>
  <si>
    <t>695.8712974248097</t>
  </si>
  <si>
    <t>1.5103436139544488</t>
  </si>
  <si>
    <t>0.035135074224866315</t>
  </si>
  <si>
    <t>2.2603573999999993</t>
  </si>
  <si>
    <t>0.1540014000000001</t>
  </si>
  <si>
    <t>3.2484179999999974</t>
  </si>
  <si>
    <t>25.700000799999998</t>
  </si>
  <si>
    <t>44.71491368630151</t>
  </si>
  <si>
    <t>4.8310473916636</t>
  </si>
  <si>
    <t>54.255</t>
  </si>
  <si>
    <t>41.48000059999998</t>
  </si>
  <si>
    <t>102.21899999999998</t>
  </si>
  <si>
    <t>698.3900004000001</t>
  </si>
  <si>
    <t>2.888705966712468</t>
  </si>
  <si>
    <t>0.13000080000000008</t>
  </si>
  <si>
    <t>1.2900000000000005</t>
  </si>
  <si>
    <t>5.900000599999998</t>
  </si>
  <si>
    <t>1.5110643369980057</t>
  </si>
  <si>
    <t>0.8640004</t>
  </si>
  <si>
    <t>0.43000060000000007</t>
  </si>
  <si>
    <t>2.3109999999999986</t>
  </si>
  <si>
    <t>12.312340600000004</t>
  </si>
  <si>
    <t>0.8680506028721593</t>
  </si>
  <si>
    <t>0.0657213554784777</t>
  </si>
  <si>
    <t>0.24400120000000006</t>
  </si>
  <si>
    <t>0.63</t>
  </si>
  <si>
    <t>2.693599999999999</t>
  </si>
  <si>
    <t>32.56900059999999</t>
  </si>
  <si>
    <t>0.5676801468664983</t>
  </si>
  <si>
    <t>0.34700119999999984</t>
  </si>
  <si>
    <t>0.16000080000000005</t>
  </si>
  <si>
    <t>0.9399999999999997</t>
  </si>
  <si>
    <t>6.5000008</t>
  </si>
  <si>
    <t>2.9343948023316884</t>
  </si>
  <si>
    <t>10.170000400000003</t>
  </si>
  <si>
    <t>1.2500004000000002</t>
  </si>
  <si>
    <t>16.460999999999977</t>
  </si>
  <si>
    <t>52.59500040000001</t>
  </si>
  <si>
    <t>1.4909993561751684</t>
  </si>
  <si>
    <t>0.060000800000000014</t>
  </si>
  <si>
    <t>0.5</t>
  </si>
  <si>
    <t>2.200000600000001</t>
  </si>
  <si>
    <t>12.946477269447175</t>
  </si>
  <si>
    <t>0.7271299380692456</t>
  </si>
  <si>
    <t>17.753925061229808</t>
  </si>
  <si>
    <t>3.2100005999999994</t>
  </si>
  <si>
    <t>4.84607493877019</t>
  </si>
  <si>
    <t>144.2000004</t>
  </si>
  <si>
    <t>6.518136537433558</t>
  </si>
  <si>
    <t>17.18181580782605</t>
  </si>
  <si>
    <t>2.1358448599999993</t>
  </si>
  <si>
    <t>9.951612714295885</t>
  </si>
  <si>
    <t>73.46700039999998</t>
  </si>
  <si>
    <t>6.34171167284209</t>
  </si>
  <si>
    <t>0.20176185766058</t>
  </si>
  <si>
    <t>22.261000400000004</t>
  </si>
  <si>
    <t>3.1530005999999986</t>
  </si>
  <si>
    <t>41.70000000000001</t>
  </si>
  <si>
    <t>188.8100005999999</t>
  </si>
  <si>
    <t>13.49401700148777</t>
  </si>
  <si>
    <t>0.30414397945768823</t>
  </si>
  <si>
    <t>5.244233000000001</t>
  </si>
  <si>
    <t>1.8000006000000004</t>
  </si>
  <si>
    <t>6.077555342622833</t>
  </si>
  <si>
    <t>83.70000040000004</t>
  </si>
  <si>
    <t>6.211370597235634</t>
  </si>
  <si>
    <t>0.015377392443670672</t>
  </si>
  <si>
    <t>12.575710497776036</t>
  </si>
  <si>
    <t>2.840000799999999</t>
  </si>
  <si>
    <t>15.812000000000006</t>
  </si>
  <si>
    <t>75.50000039999996</t>
  </si>
  <si>
    <t>0.2770602403183726</t>
  </si>
  <si>
    <t>0.7290012000000002</t>
  </si>
  <si>
    <t>0.3300007999999998</t>
  </si>
  <si>
    <t>3.183</t>
  </si>
  <si>
    <t>25.636000799999994</t>
  </si>
  <si>
    <t>0.5916190623812795</t>
  </si>
  <si>
    <t>2.5924435</t>
  </si>
  <si>
    <t>0.5600009999999996</t>
  </si>
  <si>
    <t>5.2707795000000015</t>
  </si>
  <si>
    <t>26.87900059999999</t>
  </si>
  <si>
    <t>7.743094874815016</t>
  </si>
  <si>
    <t>0.1408800000000002</t>
  </si>
  <si>
    <t>4.488999999999998</t>
  </si>
  <si>
    <t>1.1610006000000004</t>
  </si>
  <si>
    <t>7.540000000000002</t>
  </si>
  <si>
    <t>64.74500059999997</t>
  </si>
  <si>
    <t>13.095507704415382</t>
  </si>
  <si>
    <t>5.945292281430247</t>
  </si>
  <si>
    <t>13.434999999999999</t>
  </si>
  <si>
    <t>0.9656449008387554</t>
  </si>
  <si>
    <t>9.373999999999995</t>
  </si>
  <si>
    <t>108.01282901161349</t>
  </si>
  <si>
    <t>2011</t>
  </si>
  <si>
    <t>2012</t>
  </si>
  <si>
    <t>2013</t>
  </si>
  <si>
    <t>2014</t>
  </si>
  <si>
    <t>2015</t>
  </si>
  <si>
    <t>450.35981431855737</t>
  </si>
  <si>
    <t>33.57268477439011</t>
  </si>
  <si>
    <t>470.5816893440679</t>
  </si>
  <si>
    <t>120.30175168479715</t>
  </si>
  <si>
    <t>486.8433851146974</t>
  </si>
  <si>
    <t>4056.6178971713343</t>
  </si>
  <si>
    <t>12.598975604215639</t>
  </si>
  <si>
    <t>0.31754597023881276</t>
  </si>
  <si>
    <t>11.575308747385588</t>
  </si>
  <si>
    <t>1.287201</t>
  </si>
  <si>
    <t>14.380799999999995</t>
  </si>
  <si>
    <t>107.00196859554904</t>
  </si>
  <si>
    <t>3.2502922615789016</t>
  </si>
  <si>
    <t>0.0542546961064026</t>
  </si>
  <si>
    <t>2.2894784</t>
  </si>
  <si>
    <t>1.317664531821413</t>
  </si>
  <si>
    <t>12.508000000000008</t>
  </si>
  <si>
    <t>56.84608973803698</t>
  </si>
  <si>
    <t>7.234921946375448</t>
  </si>
  <si>
    <t>17.958000399999992</t>
  </si>
  <si>
    <t>3.86625582778687</t>
  </si>
  <si>
    <t>16.262900000000013</t>
  </si>
  <si>
    <t>69.70500040000002</t>
  </si>
  <si>
    <t>11.050058140006577</t>
  </si>
  <si>
    <t>3.1952660538934827</t>
  </si>
  <si>
    <t>6.808000399999997</t>
  </si>
  <si>
    <t>0.5430005999999998</t>
  </si>
  <si>
    <t>6.854999999999997</t>
  </si>
  <si>
    <t>56.844000400000006</t>
  </si>
  <si>
    <t>65.1371628320872</t>
  </si>
  <si>
    <t>2.212164242057685</t>
  </si>
  <si>
    <t>108.40899999999998</t>
  </si>
  <si>
    <t>18.800000599999994</t>
  </si>
  <si>
    <t>65.1</t>
  </si>
  <si>
    <t>927.0000004000003</t>
  </si>
  <si>
    <t>0.8167145163448785</t>
  </si>
  <si>
    <t>0.40967286791079843</t>
  </si>
  <si>
    <t>0.4549313999999999</t>
  </si>
  <si>
    <t>0.44813226075605905</t>
  </si>
  <si>
    <t>3.146414499999997</t>
  </si>
  <si>
    <t>12.331949886981235</t>
  </si>
  <si>
    <t>10.3087410751781</t>
  </si>
  <si>
    <t>1.0531616293909556</t>
  </si>
  <si>
    <t>2.097667682</t>
  </si>
  <si>
    <t>0.10200060000000004</t>
  </si>
  <si>
    <t>8.513599999999999</t>
  </si>
  <si>
    <t>51.913500599999985</t>
  </si>
  <si>
    <t>22.08123072422334</t>
  </si>
  <si>
    <t>7.5373056608001345</t>
  </si>
  <si>
    <t>2.9369048608075286</t>
  </si>
  <si>
    <t>6.174165802996984</t>
  </si>
  <si>
    <t>21.148271968974473</t>
  </si>
  <si>
    <t>98.27578511557843</t>
  </si>
  <si>
    <t>92.06467960551134</t>
  </si>
  <si>
    <t>2.015689020447241</t>
  </si>
  <si>
    <t>33.343900000000005</t>
  </si>
  <si>
    <t>11.281148128539423</t>
  </si>
  <si>
    <t>46.38900000000002</t>
  </si>
  <si>
    <t>317.55300040000003</t>
  </si>
  <si>
    <t>72.92901695073317</t>
  </si>
  <si>
    <t>3.5201392490823595</t>
  </si>
  <si>
    <t>110.85491182656186</t>
  </si>
  <si>
    <t>13.931942248584962</t>
  </si>
  <si>
    <t>57.6863413999923</t>
  </si>
  <si>
    <t>722.9000003999998</t>
  </si>
  <si>
    <t>2.275046422719677</t>
  </si>
  <si>
    <t>0.041678314569269626</t>
  </si>
  <si>
    <t>1.5389663999999998</t>
  </si>
  <si>
    <t>0.21500139999999993</t>
  </si>
  <si>
    <t>3.376999999999995</t>
  </si>
  <si>
    <t>26.39300079999999</t>
  </si>
  <si>
    <t>51.50353481426862</t>
  </si>
  <si>
    <t>5.034853183035459</t>
  </si>
  <si>
    <t>59.039</t>
  </si>
  <si>
    <t>41.3260006</t>
  </si>
  <si>
    <t>102.50899999999994</t>
  </si>
  <si>
    <t>676.3500003999997</t>
  </si>
  <si>
    <t>2.481080899857317</t>
  </si>
  <si>
    <t>0.12164336421688814</t>
  </si>
  <si>
    <t>1.426717257084445</t>
  </si>
  <si>
    <t>6.198134173005251</t>
  </si>
  <si>
    <t>1.7531375542923335</t>
  </si>
  <si>
    <t>0.7209773999999999</t>
  </si>
  <si>
    <t>0.5606384493613551</t>
  </si>
  <si>
    <t>2.2319999999999993</t>
  </si>
  <si>
    <t>13.542600600000002</t>
  </si>
  <si>
    <t>1.5591258138980362</t>
  </si>
  <si>
    <t>0.0741274891420644</t>
  </si>
  <si>
    <t>0.2620012</t>
  </si>
  <si>
    <t>0.8634470320598581</t>
  </si>
  <si>
    <t>2.745543</t>
  </si>
  <si>
    <t>24.865000600000016</t>
  </si>
  <si>
    <t>0.869961888416036</t>
  </si>
  <si>
    <t>0.41800119999999985</t>
  </si>
  <si>
    <t>0.10420805025339128</t>
  </si>
  <si>
    <t>1.0928294004495047</t>
  </si>
  <si>
    <t>7.321359060666724</t>
  </si>
  <si>
    <t>3.5800138154020167</t>
  </si>
  <si>
    <t>10.555669800000004</t>
  </si>
  <si>
    <t>1.3874957747370755</t>
  </si>
  <si>
    <t>17.813176500000008</t>
  </si>
  <si>
    <t>54.60300039999998</t>
  </si>
  <si>
    <t>2.1143345320754205</t>
  </si>
  <si>
    <t>0.1263508</t>
  </si>
  <si>
    <t>0.539906461587028</t>
  </si>
  <si>
    <t>2.504232339613567</t>
  </si>
  <si>
    <t>17.760183640732773</t>
  </si>
  <si>
    <t>0.8153360366794269</t>
  </si>
  <si>
    <t>18.43944568886166</t>
  </si>
  <si>
    <t>3.050207504191418</t>
  </si>
  <si>
    <t>4.883554311138337</t>
  </si>
  <si>
    <t>139.50000039999998</t>
  </si>
  <si>
    <t>7.577114541146648</t>
  </si>
  <si>
    <t>0.03661730592883682</t>
  </si>
  <si>
    <t>19.393042988322062</t>
  </si>
  <si>
    <t>2.36587070004004</t>
  </si>
  <si>
    <t>10.295414860155592</t>
  </si>
  <si>
    <t>78.34700040000003</t>
  </si>
  <si>
    <t>9.559661421773361</t>
  </si>
  <si>
    <t>0.22653441060804602</t>
  </si>
  <si>
    <t>21.58739901310765</t>
  </si>
  <si>
    <t>3.7030006</t>
  </si>
  <si>
    <t>37.58000000000002</t>
  </si>
  <si>
    <t>200.5700006000001</t>
  </si>
  <si>
    <t>18.17604814150861</t>
  </si>
  <si>
    <t>0.6631251098650528</t>
  </si>
  <si>
    <t>4.965652000000001</t>
  </si>
  <si>
    <t>1.8435584967149894</t>
  </si>
  <si>
    <t>6.575000000000002</t>
  </si>
  <si>
    <t>84.46785791462881</t>
  </si>
  <si>
    <t>6.60301446804406</t>
  </si>
  <si>
    <t>0.0320891828348396</t>
  </si>
  <si>
    <t>12.7730004</t>
  </si>
  <si>
    <t>3.6510759402395454</t>
  </si>
  <si>
    <t>17.47100000000001</t>
  </si>
  <si>
    <t>89.86636248053341</t>
  </si>
  <si>
    <t>0.28595489937537505</t>
  </si>
  <si>
    <t>0.6280012</t>
  </si>
  <si>
    <t>0.3529018385540428</t>
  </si>
  <si>
    <t>3.5760825660756344</t>
  </si>
  <si>
    <t>25.99653357579791</t>
  </si>
  <si>
    <t>0.6189235630913645</t>
  </si>
  <si>
    <t>3.6618005500000024</t>
  </si>
  <si>
    <t>0.8085959870859505</t>
  </si>
  <si>
    <t>5.367630450000003</t>
  </si>
  <si>
    <t>27.531000600000006</t>
  </si>
  <si>
    <t>9.301559236710773</t>
  </si>
  <si>
    <t>0.13701999999999998</t>
  </si>
  <si>
    <t>4.62982778702163</t>
  </si>
  <si>
    <t>1.1610006</t>
  </si>
  <si>
    <t>7.540000000000005</t>
  </si>
  <si>
    <t>66.29500060000001</t>
  </si>
  <si>
    <t>16.86932500899038</t>
  </si>
  <si>
    <t>6.196104351799243</t>
  </si>
  <si>
    <t>15.240799999999997</t>
  </si>
  <si>
    <t>0.9092429468568924</t>
  </si>
  <si>
    <t>9.828202439240146</t>
  </si>
  <si>
    <t>111.89551629094301</t>
  </si>
  <si>
    <t>2016</t>
  </si>
  <si>
    <t>2017</t>
  </si>
  <si>
    <t>2018</t>
  </si>
  <si>
    <t>2019</t>
  </si>
  <si>
    <t>2020</t>
  </si>
  <si>
    <t>243.73775770891592</t>
  </si>
  <si>
    <t>18.54548219903256</t>
  </si>
  <si>
    <t>274.5262394321215</t>
  </si>
  <si>
    <t>100.36651818561846</t>
  </si>
  <si>
    <t>312.68533826577846</t>
  </si>
  <si>
    <t>3547.7571998140293</t>
  </si>
  <si>
    <t>5.857703925573869</t>
  </si>
  <si>
    <t>0.220958947293336</t>
  </si>
  <si>
    <t>5.564434114995458</t>
  </si>
  <si>
    <t>1.1214284584087155</t>
  </si>
  <si>
    <t>8.45582676928749</t>
  </si>
  <si>
    <t>88.48267573235374</t>
  </si>
  <si>
    <t>2.0280901969048286</t>
  </si>
  <si>
    <t>0.029442922098822003</t>
  </si>
  <si>
    <t>1.7002019092207057</t>
  </si>
  <si>
    <t>1.324544836782311</t>
  </si>
  <si>
    <t>8.774796024745148</t>
  </si>
  <si>
    <t>52.10306554110958</t>
  </si>
  <si>
    <t>3.740228916559147</t>
  </si>
  <si>
    <t>14.812618231695655</t>
  </si>
  <si>
    <t>3.8044680354219476</t>
  </si>
  <si>
    <t>14.13476161293061</t>
  </si>
  <si>
    <t>68.37399266010158</t>
  </si>
  <si>
    <t>5.959550827005331</t>
  </si>
  <si>
    <t>1.7780753260242304</t>
  </si>
  <si>
    <t>5.267916195836662</t>
  </si>
  <si>
    <t>0.4932050555024884</t>
  </si>
  <si>
    <t>6.961060324183774</t>
  </si>
  <si>
    <t>59.94546338425647</t>
  </si>
  <si>
    <t>34.57992399432344</t>
  </si>
  <si>
    <t>1.2120203065768178</t>
  </si>
  <si>
    <t>78.78694882843934</t>
  </si>
  <si>
    <t>17.679074025519686</t>
  </si>
  <si>
    <t>51.47021362552581</t>
  </si>
  <si>
    <t>874.6790493271151</t>
  </si>
  <si>
    <t>0.46162346067634374</t>
  </si>
  <si>
    <t>0.22932725973695103</t>
  </si>
  <si>
    <t>0.3722298241754872</t>
  </si>
  <si>
    <t>0.500373213667887</t>
  </si>
  <si>
    <t>2.658003247488763</t>
  </si>
  <si>
    <t>12.613475393467013</t>
  </si>
  <si>
    <t>5.937017849640049</t>
  </si>
  <si>
    <t>0.5838041363999388</t>
  </si>
  <si>
    <t>1.055519053994952</t>
  </si>
  <si>
    <t>0.09289770796130295</t>
  </si>
  <si>
    <t>5.121269511628614</t>
  </si>
  <si>
    <t>45.53543497838943</t>
  </si>
  <si>
    <t>12.133191519123809</t>
  </si>
  <si>
    <t>3.832834938551967</t>
  </si>
  <si>
    <t>1.7905554279525782</t>
  </si>
  <si>
    <t>5.695700793182848</t>
  </si>
  <si>
    <t>15.612534521212071</t>
  </si>
  <si>
    <t>97.00725648851235</t>
  </si>
  <si>
    <t>52.41182734183532</t>
  </si>
  <si>
    <t>1.1567800543487026</t>
  </si>
  <si>
    <t>14.779301123846464</t>
  </si>
  <si>
    <t>8.767076994502736</t>
  </si>
  <si>
    <t>17.728890730395545</t>
  </si>
  <si>
    <t>234.41336991992827</t>
  </si>
  <si>
    <t>36.27104784796808</t>
  </si>
  <si>
    <t>1.953255021050573</t>
  </si>
  <si>
    <t>44.23819068631395</t>
  </si>
  <si>
    <t>11.020812421978194</t>
  </si>
  <si>
    <t>27.119178326557886</t>
  </si>
  <si>
    <t>565.0011918651651</t>
  </si>
  <si>
    <t>1.4740967129277325</t>
  </si>
  <si>
    <t>0.02380215044301475</t>
  </si>
  <si>
    <t>0.808006978491383</t>
  </si>
  <si>
    <t>0.20481224826061312</t>
  </si>
  <si>
    <t>2.8953981463568725</t>
  </si>
  <si>
    <t>23.236324340582538</t>
  </si>
  <si>
    <t>27.729380338091733</t>
  </si>
  <si>
    <t>2.967045355483269</t>
  </si>
  <si>
    <t>27.975224575437522</t>
  </si>
  <si>
    <t>29.026442735831658</t>
  </si>
  <si>
    <t>55.93699260171691</t>
  </si>
  <si>
    <t>544.4007718615384</t>
  </si>
  <si>
    <t>1.5063653320055899</t>
  </si>
  <si>
    <t>0.10477251355897352</t>
  </si>
  <si>
    <t>0.9980442577704438</t>
  </si>
  <si>
    <t>5.538702669809153</t>
  </si>
  <si>
    <t>1.0188085307451316</t>
  </si>
  <si>
    <t>0.5615839779796021</t>
  </si>
  <si>
    <t>0.5850462065446841</t>
  </si>
  <si>
    <t>1.86082633438362</t>
  </si>
  <si>
    <t>14.855628198769383</t>
  </si>
  <si>
    <t>0.9118609859630572</t>
  </si>
  <si>
    <t>0.0407559756887381</t>
  </si>
  <si>
    <t>0.23778959033576008</t>
  </si>
  <si>
    <t>0.9104693973523125</t>
  </si>
  <si>
    <t>2.3137034533051013</t>
  </si>
  <si>
    <t>33.09879213477792</t>
  </si>
  <si>
    <t>0.5336738395380541</t>
  </si>
  <si>
    <t>0.18831350068029962</t>
  </si>
  <si>
    <t>0.0934606838752423</t>
  </si>
  <si>
    <t>0.6430840246253795</t>
  </si>
  <si>
    <t>6.293936539787338</t>
  </si>
  <si>
    <t>2.1932798757851697</t>
  </si>
  <si>
    <t>6.963869757320352</t>
  </si>
  <si>
    <t>1.3002377003579655</t>
  </si>
  <si>
    <t>13.5922174986839</t>
  </si>
  <si>
    <t>55.879300145548136</t>
  </si>
  <si>
    <t>1.1068911139793234</t>
  </si>
  <si>
    <t>0.08384616620084183</t>
  </si>
  <si>
    <t>0.36409176039569463</t>
  </si>
  <si>
    <t>2.2222159735007225</t>
  </si>
  <si>
    <t>9.472625917259647</t>
  </si>
  <si>
    <t>0.44982758042021337</t>
  </si>
  <si>
    <t>12.828111611563935</t>
  </si>
  <si>
    <t>2.92559481428622</t>
  </si>
  <si>
    <t>3.725423855048948</t>
  </si>
  <si>
    <t>132.86876172935794</t>
  </si>
  <si>
    <t>4.068012605389143</t>
  </si>
  <si>
    <t>0.020095129138320806</t>
  </si>
  <si>
    <t>11.408593517912093</t>
  </si>
  <si>
    <t>2.1557151834891575</t>
  </si>
  <si>
    <t>7.3283937139272</t>
  </si>
  <si>
    <t>70.04118856583032</t>
  </si>
  <si>
    <t>5.358432795385826</t>
  </si>
  <si>
    <t>0.12466303499729035</t>
  </si>
  <si>
    <t>16.10812618172192</t>
  </si>
  <si>
    <t>3.776015717259032</t>
  </si>
  <si>
    <t>26.449847908587806</t>
  </si>
  <si>
    <t>181.0019874251461</t>
  </si>
  <si>
    <t>10.20138218509323</t>
  </si>
  <si>
    <t>0.3998704882474802</t>
  </si>
  <si>
    <t>2.3372563464363645</t>
  </si>
  <si>
    <t>1.7174164584740712</t>
  </si>
  <si>
    <t>3.9910157807943607</t>
  </si>
  <si>
    <t>70.68727824605486</t>
  </si>
  <si>
    <t>3.9046893599087533</t>
  </si>
  <si>
    <t>0.01783014551720802</t>
  </si>
  <si>
    <t>7.016515157115733</t>
  </si>
  <si>
    <t>3.406185225910395</t>
  </si>
  <si>
    <t>10.992334985364206</t>
  </si>
  <si>
    <t>79.04848550803365</t>
  </si>
  <si>
    <t>0.15867680167736567</t>
  </si>
  <si>
    <t>0.378655484101663</t>
  </si>
  <si>
    <t>0.4425817110461337</t>
  </si>
  <si>
    <t>2.687647385135776</t>
  </si>
  <si>
    <t>23.7495169851259</t>
  </si>
  <si>
    <t>0.37284475297237873</t>
  </si>
  <si>
    <t>2.5282682237915997</t>
  </si>
  <si>
    <t>1.066906656684987</t>
  </si>
  <si>
    <t>4.522234361476855</t>
  </si>
  <si>
    <t>25.720882630767285</t>
  </si>
  <si>
    <t>5.3691001082936</t>
  </si>
  <si>
    <t>0.07702487306656361</t>
  </si>
  <si>
    <t>3.3598439473674473</t>
  </si>
  <si>
    <t>1.1278096459463571</t>
  </si>
  <si>
    <t>6.960455873286019</t>
  </si>
  <si>
    <t>64.35783059411706</t>
  </si>
  <si>
    <t>8.97743057429</t>
  </si>
  <si>
    <t>3.428068553949119</t>
  </si>
  <si>
    <t>13.45816518539459</t>
  </si>
  <si>
    <t>0.9396235776117047</t>
  </si>
  <si>
    <t>9.387091630963528</t>
  </si>
  <si>
    <t>116.60062097488385</t>
  </si>
  <si>
    <t>2021</t>
  </si>
  <si>
    <t>2022</t>
  </si>
  <si>
    <t>2023</t>
  </si>
  <si>
    <t>2024</t>
  </si>
  <si>
    <t>2025</t>
  </si>
  <si>
    <t>570.5547180423551</t>
  </si>
  <si>
    <t>35.93240667332514</t>
  </si>
  <si>
    <t>531.7391208148977</t>
  </si>
  <si>
    <t>122.9683877548704</t>
  </si>
  <si>
    <t>472.7589874002123</t>
  </si>
  <si>
    <t>4353.778321858893</t>
  </si>
  <si>
    <t>13.457611766236745</t>
  </si>
  <si>
    <t>0.44608084990935987</t>
  </si>
  <si>
    <t>12.177426097921932</t>
  </si>
  <si>
    <t>1.3403394211073736</t>
  </si>
  <si>
    <t>13.411220250765153</t>
  </si>
  <si>
    <t>100.88832523578562</t>
  </si>
  <si>
    <t>5.007393578801849</t>
  </si>
  <si>
    <t>0.05546261817212046</t>
  </si>
  <si>
    <t>2.7506273086809623</t>
  </si>
  <si>
    <t>1.4688598809044593</t>
  </si>
  <si>
    <t>11.337750221013419</t>
  </si>
  <si>
    <t>58.60093761129116</t>
  </si>
  <si>
    <t>8.061606794076468</t>
  </si>
  <si>
    <t>23.102740813016556</t>
  </si>
  <si>
    <t>4.394259616763485</t>
  </si>
  <si>
    <t>18.88007890953088</t>
  </si>
  <si>
    <t>79.99843667237622</t>
  </si>
  <si>
    <t>14.01630112078194</t>
  </si>
  <si>
    <t>3.6567555119001964</t>
  </si>
  <si>
    <t>7.344830751405071</t>
  </si>
  <si>
    <t>0.5191900345233798</t>
  </si>
  <si>
    <t>7.871499711582504</t>
  </si>
  <si>
    <t>65.97875401468573</t>
  </si>
  <si>
    <t>76.970131558817</t>
  </si>
  <si>
    <t>2.3243615510516316</t>
  </si>
  <si>
    <t>121.12303329620651</t>
  </si>
  <si>
    <t>19.02290463776122</t>
  </si>
  <si>
    <t>64.16630494068359</t>
  </si>
  <si>
    <t>929.7630465440488</t>
  </si>
  <si>
    <t>1.0338991508252924</t>
  </si>
  <si>
    <t>0.4718528033538516</t>
  </si>
  <si>
    <t>0.6164311819846988</t>
  </si>
  <si>
    <t>0.5502112899339453</t>
  </si>
  <si>
    <t>3.201091505086767</t>
  </si>
  <si>
    <t>13.936472621145635</t>
  </si>
  <si>
    <t>12.586233647321182</t>
  </si>
  <si>
    <t>1.0405596920085949</t>
  </si>
  <si>
    <t>2.4575767152626296</t>
  </si>
  <si>
    <t>0.12181441527134669</t>
  </si>
  <si>
    <t>9.81445274384059</t>
  </si>
  <si>
    <t>56.21969591314096</t>
  </si>
  <si>
    <t>29.7973844945747</t>
  </si>
  <si>
    <t>6.945569327875282</t>
  </si>
  <si>
    <t>3.109264297730224</t>
  </si>
  <si>
    <t>6.317719617567295</t>
  </si>
  <si>
    <t>20.93975339168774</t>
  </si>
  <si>
    <t>111.22176328266544</t>
  </si>
  <si>
    <t>130.2017625804674</t>
  </si>
  <si>
    <t>2.4620018135941995</t>
  </si>
  <si>
    <t>38.8890804321576</t>
  </si>
  <si>
    <t>12.283221932709228</t>
  </si>
  <si>
    <t>43.19432604082131</t>
  </si>
  <si>
    <t>339.70801430226993</t>
  </si>
  <si>
    <t>82.06241652632916</t>
  </si>
  <si>
    <t>3.7154094539070037</t>
  </si>
  <si>
    <t>122.49431458149094</t>
  </si>
  <si>
    <t>13.800359638214013</t>
  </si>
  <si>
    <t>51.21439001100039</t>
  </si>
  <si>
    <t>749.7988243492579</t>
  </si>
  <si>
    <t>3.9145597590694594</t>
  </si>
  <si>
    <t>0.04774777310147459</t>
  </si>
  <si>
    <t>1.2961942311177772</t>
  </si>
  <si>
    <t>0.2415013977451957</t>
  </si>
  <si>
    <t>3.9262691030280505</t>
  </si>
  <si>
    <t>28.581683886069392</t>
  </si>
  <si>
    <t>68.1402226957311</t>
  </si>
  <si>
    <t>6.037357777164936</t>
  </si>
  <si>
    <t>60.08055232976155</t>
  </si>
  <si>
    <t>38.200368091228285</t>
  </si>
  <si>
    <t>92.66072761735408</t>
  </si>
  <si>
    <t>765.3689091375259</t>
  </si>
  <si>
    <t>4.239610760439014</t>
  </si>
  <si>
    <t>0.12395529706768896</t>
  </si>
  <si>
    <t>1.4542219737253197</t>
  </si>
  <si>
    <t>7.048571177799719</t>
  </si>
  <si>
    <t>2.114741535753722</t>
  </si>
  <si>
    <t>0.8151708097560031</t>
  </si>
  <si>
    <t>0.6201148074681475</t>
  </si>
  <si>
    <t>2.1900375634777083</t>
  </si>
  <si>
    <t>15.784441074564914</t>
  </si>
  <si>
    <t>2.0270874972010815</t>
  </si>
  <si>
    <t>0.08187027504634727</t>
  </si>
  <si>
    <t>0.5881940063811036</t>
  </si>
  <si>
    <t>1.0696608307770334</t>
  </si>
  <si>
    <t>2.863373968639749</t>
  </si>
  <si>
    <t>35.62090116676521</t>
  </si>
  <si>
    <t>1.172163166343344</t>
  </si>
  <si>
    <t>0.47622120400961615</t>
  </si>
  <si>
    <t>0.1214136632092985</t>
  </si>
  <si>
    <t>1.1146500678877553</t>
  </si>
  <si>
    <t>7.177054347053969</t>
  </si>
  <si>
    <t>5.431623943185505</t>
  </si>
  <si>
    <t>11.538954829775685</t>
  </si>
  <si>
    <t>1.5010443622602798</t>
  </si>
  <si>
    <t>17.97942522144638</t>
  </si>
  <si>
    <t>67.06075506592548</t>
  </si>
  <si>
    <t>3.0712401615596105</t>
  </si>
  <si>
    <t>0.1031508793746406</t>
  </si>
  <si>
    <t>0.5897382224358896</t>
  </si>
  <si>
    <t>2.9935052743820854</t>
  </si>
  <si>
    <t>21.757834429623024</t>
  </si>
  <si>
    <t>0.8814762088086339</t>
  </si>
  <si>
    <t>20.376899121226426</t>
  </si>
  <si>
    <t>3.210694778258079</t>
  </si>
  <si>
    <t>4.787602075324761</t>
  </si>
  <si>
    <t>147.8085992009669</t>
  </si>
  <si>
    <t>9.769351727699972</t>
  </si>
  <si>
    <t>0.036351692635671944</t>
  </si>
  <si>
    <t>21.483634943710065</t>
  </si>
  <si>
    <t>2.5070651827169077</t>
  </si>
  <si>
    <t>10.653426314440694</t>
  </si>
  <si>
    <t>84.9334779620711</t>
  </si>
  <si>
    <t>12.983449324083463</t>
  </si>
  <si>
    <t>0.25556840038976664</t>
  </si>
  <si>
    <t>31.784352311863906</t>
  </si>
  <si>
    <t>4.728545697308484</t>
  </si>
  <si>
    <t>36.306489701816716</t>
  </si>
  <si>
    <t>223.54780152881835</t>
  </si>
  <si>
    <t>21.415011835767288</t>
  </si>
  <si>
    <t>0.7778710109502205</t>
  </si>
  <si>
    <t>6.193969474138485</t>
  </si>
  <si>
    <t>2.204342743483461</t>
  </si>
  <si>
    <t>7.341622807125093</t>
  </si>
  <si>
    <t>92.6396263613346</t>
  </si>
  <si>
    <t>9.51044892204988</t>
  </si>
  <si>
    <t>0.03918492349504193</t>
  </si>
  <si>
    <t>14.775743291531294</t>
  </si>
  <si>
    <t>4.621296489217151</t>
  </si>
  <si>
    <t>18.397236494850222</t>
  </si>
  <si>
    <t>115.88765458609302</t>
  </si>
  <si>
    <t>0.39694400201987934</t>
  </si>
  <si>
    <t>0.8307944239113951</t>
  </si>
  <si>
    <t>0.45410921649177877</t>
  </si>
  <si>
    <t>3.955912100632789</t>
  </si>
  <si>
    <t>28.78943068889282</t>
  </si>
  <si>
    <t>0.9394922704440333</t>
  </si>
  <si>
    <t>4.413142282763189</t>
  </si>
  <si>
    <t>1.2588765840887608</t>
  </si>
  <si>
    <t>6.107730933343417</t>
  </si>
  <si>
    <t>31.385610125255447</t>
  </si>
  <si>
    <t>12.30600896742566</t>
  </si>
  <si>
    <t>0.1602251304417705</t>
  </si>
  <si>
    <t>4.959689903545078</t>
  </si>
  <si>
    <t>1.1911788944161226</t>
  </si>
  <si>
    <t>8.173441815832835</t>
  </si>
  <si>
    <t>68.61020922413655</t>
  </si>
  <si>
    <t>18.170185825727515</t>
  </si>
  <si>
    <t>6.496699859519032</t>
  </si>
  <si>
    <t>18.060282175548863</t>
  </si>
  <si>
    <t>0.9921883550033448</t>
  </si>
  <si>
    <t>10.226213692838545</t>
  </si>
  <si>
    <t>124.42582050457014</t>
  </si>
  <si>
    <t>2026</t>
  </si>
  <si>
    <t>2027</t>
  </si>
  <si>
    <t>2028</t>
  </si>
  <si>
    <t>2029</t>
  </si>
  <si>
    <t>2030</t>
  </si>
  <si>
    <t>612.0572795429508</t>
  </si>
  <si>
    <t>39.35822926307967</t>
  </si>
  <si>
    <t>632.5275450357583</t>
  </si>
  <si>
    <t>128.63309898559388</t>
  </si>
  <si>
    <t>541.7535115280357</t>
  </si>
  <si>
    <t>4533.030539822705</t>
  </si>
  <si>
    <t>14.486416900787217</t>
  </si>
  <si>
    <t>0.4992332184851702</t>
  </si>
  <si>
    <t>14.04169812624466</t>
  </si>
  <si>
    <t>1.5423702160320512</t>
  </si>
  <si>
    <t>14.597438879541524</t>
  </si>
  <si>
    <t>103.11941457531803</t>
  </si>
  <si>
    <t>5.376718466857913</t>
  </si>
  <si>
    <t>0.06436955193015655</t>
  </si>
  <si>
    <t>3.078883480550152</t>
  </si>
  <si>
    <t>1.5015150224056018</t>
  </si>
  <si>
    <t>12.26675074704135</t>
  </si>
  <si>
    <t>61.40275422143577</t>
  </si>
  <si>
    <t>8.552934689820523</t>
  </si>
  <si>
    <t>25.92554361668216</t>
  </si>
  <si>
    <t>4.808684191631418</t>
  </si>
  <si>
    <t>23.572676517283046</t>
  </si>
  <si>
    <t>87.47665156539851</t>
  </si>
  <si>
    <t>16.647566940156608</t>
  </si>
  <si>
    <t>4.0858130579320715</t>
  </si>
  <si>
    <t>8.639106896715102</t>
  </si>
  <si>
    <t>0.5348185060354445</t>
  </si>
  <si>
    <t>9.006699686245467</t>
  </si>
  <si>
    <t>70.08072136754764</t>
  </si>
  <si>
    <t>82.03853597980942</t>
  </si>
  <si>
    <t>2.467743701241791</t>
  </si>
  <si>
    <t>137.39563876143495</t>
  </si>
  <si>
    <t>19.129440889623968</t>
  </si>
  <si>
    <t>74.1732412093436</t>
  </si>
  <si>
    <t>974.8843867149659</t>
  </si>
  <si>
    <t>1.200120208946997</t>
  </si>
  <si>
    <t>0.5214934291069443</t>
  </si>
  <si>
    <t>0.7939315533430604</t>
  </si>
  <si>
    <t>0.5871469877575133</t>
  </si>
  <si>
    <t>3.949414754947037</t>
  </si>
  <si>
    <t>14.9983336312815</t>
  </si>
  <si>
    <t>13.109821683093399</t>
  </si>
  <si>
    <t>1.162025554397543</t>
  </si>
  <si>
    <t>2.7931079542221067</t>
  </si>
  <si>
    <t>0.13148196698720196</t>
  </si>
  <si>
    <t>11.43943035193279</t>
  </si>
  <si>
    <t>60.99210687007419</t>
  </si>
  <si>
    <t>31.14854608128507</t>
  </si>
  <si>
    <t>7.118107869353285</t>
  </si>
  <si>
    <t>3.4730427587896338</t>
  </si>
  <si>
    <t>6.504202526402733</t>
  </si>
  <si>
    <t>24.16730578968324</t>
  </si>
  <si>
    <t>115.50615689652538</t>
  </si>
  <si>
    <t>137.27701396192288</t>
  </si>
  <si>
    <t>2.8771766314681564</t>
  </si>
  <si>
    <t>50.795850744714514</t>
  </si>
  <si>
    <t>12.693517945129603</t>
  </si>
  <si>
    <t>49.24167222887067</t>
  </si>
  <si>
    <t>354.93288581728046</t>
  </si>
  <si>
    <t>86.37728165363822</t>
  </si>
  <si>
    <t>4.087894574386029</t>
  </si>
  <si>
    <t>147.36148560903374</t>
  </si>
  <si>
    <t>13.790841088002558</t>
  </si>
  <si>
    <t>57.49217229417017</t>
  </si>
  <si>
    <t>762.8135788921962</t>
  </si>
  <si>
    <t>4.175462785906367</t>
  </si>
  <si>
    <t>0.05604515600390708</t>
  </si>
  <si>
    <t>1.4542609858509152</t>
  </si>
  <si>
    <t>0.2564471233448451</t>
  </si>
  <si>
    <t>4.499796268737066</t>
  </si>
  <si>
    <t>31.35304043434744</t>
  </si>
  <si>
    <t>72.57104747169919</t>
  </si>
  <si>
    <t>6.725842970069075</t>
  </si>
  <si>
    <t>71.11325346812279</t>
  </si>
  <si>
    <t>40.310501769882876</t>
  </si>
  <si>
    <t>102.64178876957313</t>
  </si>
  <si>
    <t>748.593353499853</t>
  </si>
  <si>
    <t>4.9337612277595895</t>
  </si>
  <si>
    <t>0.12723398652256201</t>
  </si>
  <si>
    <t>1.6308060898731134</t>
  </si>
  <si>
    <t>7.961690179817142</t>
  </si>
  <si>
    <t>2.2804312699077243</t>
  </si>
  <si>
    <t>1.0346274467577057</t>
  </si>
  <si>
    <t>0.6432521640849355</t>
  </si>
  <si>
    <t>2.5050252262411563</t>
  </si>
  <si>
    <t>16.070521289595508</t>
  </si>
  <si>
    <t>2.195046049065719</t>
  </si>
  <si>
    <t>0.09234196882080924</t>
  </si>
  <si>
    <t>1.046205564169505</t>
  </si>
  <si>
    <t>1.1928004804751278</t>
  </si>
  <si>
    <t>3.4725331363629803</t>
  </si>
  <si>
    <t>35.464643445918</t>
  </si>
  <si>
    <t>1.2802595575324722</t>
  </si>
  <si>
    <t>0.5852508237565232</t>
  </si>
  <si>
    <t>0.12813643788706805</t>
  </si>
  <si>
    <t>1.437018418640716</t>
  </si>
  <si>
    <t>7.565750589474944</t>
  </si>
  <si>
    <t>5.801432436867725</t>
  </si>
  <si>
    <t>14.142207512563939</t>
  </si>
  <si>
    <t>1.6182830940968056</t>
  </si>
  <si>
    <t>21.696944064297494</t>
  </si>
  <si>
    <t>74.08566571470169</t>
  </si>
  <si>
    <t>3.9642232744277206</t>
  </si>
  <si>
    <t>0.11098484723679392</t>
  </si>
  <si>
    <t>0.7406759968890995</t>
  </si>
  <si>
    <t>3.4439372777143</t>
  </si>
  <si>
    <t>24.53394880162844</t>
  </si>
  <si>
    <t>0.9851944460848427</t>
  </si>
  <si>
    <t>23.859448054243945</t>
  </si>
  <si>
    <t>3.333288838693241</t>
  </si>
  <si>
    <t>5.386360102993557</t>
  </si>
  <si>
    <t>157.2913623200478</t>
  </si>
  <si>
    <t>10.069070281150077</t>
  </si>
  <si>
    <t>0.039781634166585485</t>
  </si>
  <si>
    <t>23.43073213443622</t>
  </si>
  <si>
    <t>2.561560374633954</t>
  </si>
  <si>
    <t>11.032209821993117</t>
  </si>
  <si>
    <t>88.56557335274474</t>
  </si>
  <si>
    <t>16.14484738824981</t>
  </si>
  <si>
    <t>0.29714157912629335</t>
  </si>
  <si>
    <t>42.99393909154883</t>
  </si>
  <si>
    <t>5.328364674361831</t>
  </si>
  <si>
    <t>42.75431026021984</t>
  </si>
  <si>
    <t>257.52826742302534</t>
  </si>
  <si>
    <t>22.721535826001407</t>
  </si>
  <si>
    <t>0.8513969870965309</t>
  </si>
  <si>
    <t>7.220309267901248</t>
  </si>
  <si>
    <t>2.288124004668186</t>
  </si>
  <si>
    <t>8.514941183815472</t>
  </si>
  <si>
    <t>94.34828723236666</t>
  </si>
  <si>
    <t>10.177211267392872</t>
  </si>
  <si>
    <t>0.049361921005382184</t>
  </si>
  <si>
    <t>17.208733177396034</t>
  </si>
  <si>
    <t>5.418980791992182</t>
  </si>
  <si>
    <t>21.874806345334456</t>
  </si>
  <si>
    <t>138.48065381351782</t>
  </si>
  <si>
    <t>0.42611295577265945</t>
  </si>
  <si>
    <t>1.1570206426748122</t>
  </si>
  <si>
    <t>0.4561269856418565</t>
  </si>
  <si>
    <t>5.2394784903083</t>
  </si>
  <si>
    <t>30.077457583021097</t>
  </si>
  <si>
    <t>1.0266874853010437</t>
  </si>
  <si>
    <t>5.619213257700847</t>
  </si>
  <si>
    <t>1.3691635445426873</t>
  </si>
  <si>
    <t>7.234466879769467</t>
  </si>
  <si>
    <t>36.18965371854679</t>
  </si>
  <si>
    <t>12.937002541139233</t>
  </si>
  <si>
    <t>0.18485139154687816</t>
  </si>
  <si>
    <t>5.7564878239485395</t>
  </si>
  <si>
    <t>1.2227964227743329</t>
  </si>
  <si>
    <t>9.445541084834291</t>
  </si>
  <si>
    <t>69.01497418274215</t>
  </si>
  <si>
    <t>20.60424235683042</t>
  </si>
  <si>
    <t>7.192413620858224</t>
  </si>
  <si>
    <t>21.607566282956302</t>
  </si>
  <si>
    <t>1.0430341047464826</t>
  </si>
  <si>
    <t>11.740006929093665</t>
  </si>
  <si>
    <t>130.7887172132473</t>
  </si>
  <si>
    <t>Column1142</t>
  </si>
  <si>
    <t>total Gpkm NL</t>
  </si>
  <si>
    <t>Column1143</t>
  </si>
  <si>
    <t>https://www.eea.europa.eu/en/analysis/publications/sustainability-of-europes-mobility-systems/passenger-transport-activity/eu-27-passenger-transport-activity-gpkm-for-different-transport-modes-according-to-the-ff55-mix-scenario?activeTab=570bee2d-1316-48cf-adde-4b640f92119b</t>
  </si>
  <si>
    <t>total pkm road +rail</t>
  </si>
  <si>
    <t>germany</t>
  </si>
  <si>
    <t xml:space="preserve">billion pkm </t>
  </si>
  <si>
    <t>total pkm NL (millions)</t>
  </si>
  <si>
    <t>pkm- road &amp; rail (millions)</t>
  </si>
  <si>
    <t>Firms reporting</t>
  </si>
  <si>
    <t>N america</t>
  </si>
  <si>
    <t>LAC</t>
  </si>
  <si>
    <t>Total firms</t>
  </si>
  <si>
    <t># of firms</t>
  </si>
  <si>
    <t>Sweden</t>
  </si>
  <si>
    <t>energy community</t>
  </si>
  <si>
    <t>The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</si>
</sst>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0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rgb="FF696969"/>
      <name val="Open Sans"/>
      <charset val="1"/>
    </font>
    <font>
      <sz val="10"/>
      <color rgb="FF000000"/>
      <name val="Aptos"/>
      <family val="2"/>
      <charset val="1"/>
    </font>
    <font>
      <sz val="12"/>
      <color rgb="FF000000"/>
      <name val="Aptos"/>
      <family val="2"/>
      <charset val="1"/>
    </font>
    <font>
      <sz val="12"/>
      <color rgb="FF000000"/>
      <name val="Roboto Condensed"/>
      <family val="2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</font>
    <font>
      <sz val="13"/>
      <color rgb="FF000000"/>
      <name val="Aptos"/>
    </font>
    <font>
      <sz val="8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2"/>
    <xf numFmtId="0" fontId="6" fillId="0" borderId="0" xfId="0" applyFont="1"/>
    <xf numFmtId="0" fontId="0" fillId="2" borderId="0" xfId="0" applyFill="1"/>
    <xf numFmtId="164" fontId="0" fillId="0" borderId="1" xfId="1" applyNumberFormat="1" applyFont="1" applyBorder="1"/>
    <xf numFmtId="3" fontId="0" fillId="0" borderId="0" xfId="0" applyNumberFormat="1"/>
    <xf numFmtId="4" fontId="0" fillId="0" borderId="0" xfId="0" applyNumberFormat="1"/>
    <xf numFmtId="3" fontId="4" fillId="0" borderId="0" xfId="0" applyNumberFormat="1" applyFont="1"/>
    <xf numFmtId="3" fontId="7" fillId="0" borderId="0" xfId="0" applyNumberFormat="1" applyFont="1"/>
    <xf numFmtId="165" fontId="0" fillId="0" borderId="0" xfId="0" applyNumberFormat="1"/>
    <xf numFmtId="164" fontId="0" fillId="0" borderId="3" xfId="1" applyNumberFormat="1" applyFont="1" applyBorder="1"/>
    <xf numFmtId="164" fontId="0" fillId="0" borderId="4" xfId="1" applyNumberFormat="1" applyFont="1" applyBorder="1"/>
    <xf numFmtId="0" fontId="11" fillId="0" borderId="0" xfId="0" applyFont="1"/>
    <xf numFmtId="0" fontId="12" fillId="0" borderId="0" xfId="0" applyFont="1"/>
    <xf numFmtId="9" fontId="0" fillId="0" borderId="0" xfId="0" applyNumberFormat="1"/>
    <xf numFmtId="0" fontId="0" fillId="3" borderId="6" xfId="0" applyFill="1" applyBorder="1"/>
    <xf numFmtId="0" fontId="0" fillId="0" borderId="6" xfId="0" applyBorder="1"/>
    <xf numFmtId="0" fontId="13" fillId="0" borderId="0" xfId="0" applyFont="1"/>
    <xf numFmtId="1" fontId="4" fillId="0" borderId="0" xfId="0" applyNumberFormat="1" applyFont="1"/>
    <xf numFmtId="43" fontId="0" fillId="0" borderId="0" xfId="1" applyFont="1"/>
    <xf numFmtId="1" fontId="0" fillId="0" borderId="0" xfId="0" applyNumberFormat="1"/>
    <xf numFmtId="43" fontId="0" fillId="0" borderId="3" xfId="1" applyFont="1" applyBorder="1"/>
    <xf numFmtId="43" fontId="2" fillId="0" borderId="0" xfId="1" applyFont="1" applyAlignment="1">
      <alignment vertical="center"/>
    </xf>
    <xf numFmtId="164" fontId="3" fillId="0" borderId="0" xfId="1" applyNumberFormat="1" applyFont="1"/>
    <xf numFmtId="164" fontId="5" fillId="0" borderId="0" xfId="1" applyNumberFormat="1" applyFont="1"/>
    <xf numFmtId="164" fontId="2" fillId="0" borderId="0" xfId="1" applyNumberFormat="1" applyFont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3" fillId="0" borderId="2" xfId="1" applyNumberFormat="1" applyFont="1" applyBorder="1"/>
    <xf numFmtId="164" fontId="0" fillId="0" borderId="2" xfId="1" applyNumberFormat="1" applyFont="1" applyBorder="1"/>
    <xf numFmtId="164" fontId="5" fillId="0" borderId="1" xfId="1" applyNumberFormat="1" applyFont="1" applyBorder="1"/>
    <xf numFmtId="164" fontId="5" fillId="0" borderId="2" xfId="1" applyNumberFormat="1" applyFont="1" applyBorder="1"/>
    <xf numFmtId="164" fontId="4" fillId="0" borderId="2" xfId="1" applyNumberFormat="1" applyFont="1" applyBorder="1"/>
    <xf numFmtId="164" fontId="4" fillId="0" borderId="0" xfId="1" applyNumberFormat="1" applyFont="1"/>
    <xf numFmtId="164" fontId="9" fillId="0" borderId="4" xfId="1" applyNumberFormat="1" applyFont="1" applyBorder="1"/>
    <xf numFmtId="164" fontId="8" fillId="0" borderId="7" xfId="1" applyNumberFormat="1" applyFont="1" applyBorder="1"/>
    <xf numFmtId="164" fontId="10" fillId="0" borderId="0" xfId="1" applyNumberFormat="1" applyFont="1"/>
    <xf numFmtId="164" fontId="9" fillId="0" borderId="0" xfId="1" applyNumberFormat="1" applyFont="1"/>
    <xf numFmtId="164" fontId="6" fillId="0" borderId="0" xfId="1" applyNumberFormat="1" applyFont="1"/>
    <xf numFmtId="164" fontId="6" fillId="0" borderId="1" xfId="1" applyNumberFormat="1" applyFont="1" applyBorder="1"/>
    <xf numFmtId="43" fontId="0" fillId="0" borderId="4" xfId="1" applyFont="1" applyBorder="1"/>
    <xf numFmtId="164" fontId="3" fillId="0" borderId="1" xfId="1" applyNumberFormat="1" applyFont="1" applyBorder="1"/>
    <xf numFmtId="43" fontId="3" fillId="0" borderId="0" xfId="1" applyFont="1"/>
    <xf numFmtId="43" fontId="3" fillId="0" borderId="1" xfId="1" applyFont="1" applyBorder="1"/>
    <xf numFmtId="43" fontId="0" fillId="0" borderId="1" xfId="1" applyFont="1" applyBorder="1"/>
    <xf numFmtId="164" fontId="0" fillId="0" borderId="5" xfId="1" applyNumberFormat="1" applyFont="1" applyBorder="1"/>
    <xf numFmtId="164" fontId="5" fillId="0" borderId="4" xfId="1" applyNumberFormat="1" applyFont="1" applyBorder="1"/>
    <xf numFmtId="164" fontId="13" fillId="0" borderId="0" xfId="1" applyNumberFormat="1" applyFont="1"/>
    <xf numFmtId="164" fontId="3" fillId="0" borderId="5" xfId="1" applyNumberFormat="1" applyFont="1" applyBorder="1"/>
    <xf numFmtId="43" fontId="2" fillId="0" borderId="3" xfId="1" applyFont="1" applyBorder="1" applyAlignment="1">
      <alignment vertical="center"/>
    </xf>
    <xf numFmtId="43" fontId="2" fillId="0" borderId="4" xfId="1" applyFont="1" applyBorder="1" applyAlignment="1">
      <alignment vertical="center"/>
    </xf>
    <xf numFmtId="164" fontId="11" fillId="0" borderId="3" xfId="1" applyNumberFormat="1" applyFont="1" applyBorder="1"/>
    <xf numFmtId="164" fontId="11" fillId="0" borderId="0" xfId="1" applyNumberFormat="1" applyFont="1"/>
    <xf numFmtId="0" fontId="15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18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812C22B-50DC-664B-B302-3C3B72A634DC}" autoFormatId="16" applyNumberFormats="0" applyBorderFormats="0" applyFontFormats="0" applyPatternFormats="0" applyAlignmentFormats="0" applyWidthHeightFormats="0">
  <queryTableRefresh nextId="163">
    <queryTableFields count="16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61" dataBound="0" tableColumnId="162"/>
      <queryTableField id="162" dataBound="0" tableColumnId="163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9C3CC8EA-708A-4F45-8383-9C9C98A78716}" autoFormatId="16" applyNumberFormats="0" applyBorderFormats="0" applyFontFormats="0" applyPatternFormats="0" applyAlignmentFormats="0" applyWidthHeightFormats="0">
  <queryTableRefresh nextId="171">
    <queryTableFields count="170">
      <queryTableField id="1" name="IE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4A44020-E2B2-544E-9819-3A0F216A8617}" autoFormatId="16" applyNumberFormats="0" applyBorderFormats="0" applyFontFormats="0" applyPatternFormats="0" applyAlignmentFormats="0" applyWidthHeightFormats="0">
  <queryTableRefresh nextId="171">
    <queryTableFields count="170">
      <queryTableField id="1" name="BE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293FED69-DC15-4F4C-A2B4-3399F68BF268}" autoFormatId="16" applyNumberFormats="0" applyBorderFormats="0" applyFontFormats="0" applyPatternFormats="0" applyAlignmentFormats="0" applyWidthHeightFormats="0">
  <queryTableRefresh nextId="171">
    <queryTableFields count="170">
      <queryTableField id="1" name="DE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D156ED41-B5C2-8544-AC05-848B3204078C}" autoFormatId="16" applyNumberFormats="0" applyBorderFormats="0" applyFontFormats="0" applyPatternFormats="0" applyAlignmentFormats="0" applyWidthHeightFormats="0">
  <queryTableRefresh nextId="171">
    <queryTableFields count="170">
      <queryTableField id="1" name="AT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4BCBF08-666F-C64D-A27F-61EF12C3E06F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opulation (historical)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B2EBA02-2060-AC42-832F-845D36E552F1}" autoFormatId="16" applyNumberFormats="0" applyBorderFormats="0" applyFontFormats="0" applyPatternFormats="0" applyAlignmentFormats="0" applyWidthHeightFormats="0">
  <queryTableRefresh nextId="9">
    <queryTableFields count="5">
      <queryTableField id="1" name="Entity" tableColumnId="1"/>
      <queryTableField id="2" name="Code" tableColumnId="2"/>
      <queryTableField id="3" name="Year" tableColumnId="3"/>
      <queryTableField id="4" name="Passenger kilometers by rail" tableColumnId="4"/>
      <queryTableField id="5" name="Passenger kilometers by road" tableColumnId="5"/>
    </queryTableFields>
    <queryTableDeletedFields count="2">
      <deletedField name="Passenger kilometers by road_2"/>
      <deletedField name="Passenger kilometers by rail_1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CCA8292-18FB-B24F-B15E-474A6296D9B5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Entity" tableColumnId="1"/>
      <queryTableField id="2" name="Code" tableColumnId="2"/>
      <queryTableField id="3" name="Year" tableColumnId="3"/>
      <queryTableField id="4" name="Population (historical)" tableColumnId="4"/>
      <queryTableField id="5" dataBound="0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24CA5787-87AB-B34F-905F-D8F97A92317F}" autoFormatId="16" applyNumberFormats="0" applyBorderFormats="0" applyFontFormats="0" applyPatternFormats="0" applyAlignmentFormats="0" applyWidthHeightFormats="0">
  <queryTableRefresh nextId="36">
    <queryTableFields count="3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E84DA19A-F7B5-F049-BBA0-F66FFB1E9015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68153BCA-3213-9F41-A36B-E7DE46B52E00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792FA737-C665-174E-A736-7B3A194A9331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2F295F1-DFAB-D746-BBDB-22B16037EC00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2BC4A1B-D6D9-8F42-A035-226D2E5619B5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opulation - Sex: all - Age: all - Variant: estimates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E7ED906-F074-3245-8A48-817E68408B6C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opulation (historical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02636EE-92F8-B046-A43A-7A461DC8653D}" name="eu_27_passenger_transport_activity__gpkm__for_different_transport_modes_accordin" displayName="eu_27_passenger_transport_activity__gpkm__for_different_transport_modes_accordin" ref="A1:FF38" tableType="queryTable" totalsRowShown="0">
  <autoFilter ref="A1:FF38" xr:uid="{D02636EE-92F8-B046-A43A-7A461DC8653D}"/>
  <tableColumns count="162">
    <tableColumn id="1" xr3:uid="{E5091184-BE59-0749-B633-9F98AA43F66B}" uniqueName="1" name="Column1" queryTableFieldId="1" dataDxfId="186"/>
    <tableColumn id="2" xr3:uid="{EA816D46-E4C1-3F4B-A7CD-DAF9B7C7FACC}" uniqueName="2" name="Column2" queryTableFieldId="2" dataDxfId="185"/>
    <tableColumn id="3" xr3:uid="{6ACE69F5-3D6E-9547-922E-EBE92C11488D}" uniqueName="3" name="Column3" queryTableFieldId="3" dataDxfId="184"/>
    <tableColumn id="4" xr3:uid="{A37B6D82-B977-D84E-8E81-853CD611423F}" uniqueName="4" name="Column4" queryTableFieldId="4" dataDxfId="183"/>
    <tableColumn id="5" xr3:uid="{5BDC6E18-4F73-A841-8FFF-0668C087622C}" uniqueName="5" name="Column5" queryTableFieldId="5" dataDxfId="182"/>
    <tableColumn id="6" xr3:uid="{BE1105CD-2504-D34B-A99F-8D25E61F167F}" uniqueName="6" name="Column6" queryTableFieldId="6" dataDxfId="181"/>
    <tableColumn id="7" xr3:uid="{53C50238-D907-054A-AC75-3B387BDA2534}" uniqueName="7" name="Column7" queryTableFieldId="7" dataDxfId="180"/>
    <tableColumn id="8" xr3:uid="{D930DA41-A22D-A646-A8CD-B205A8C66A70}" uniqueName="8" name="Column8" queryTableFieldId="8" dataDxfId="179"/>
    <tableColumn id="9" xr3:uid="{007C74E3-B2A6-B64B-9EF1-88708E8881AE}" uniqueName="9" name="Column9" queryTableFieldId="9" dataDxfId="178"/>
    <tableColumn id="10" xr3:uid="{73203234-E4A3-6C44-97BB-ED44C2617F8A}" uniqueName="10" name="Column10" queryTableFieldId="10" dataDxfId="177"/>
    <tableColumn id="11" xr3:uid="{68755AF3-0BFD-8D48-B6C5-51389D11117F}" uniqueName="11" name="Column11" queryTableFieldId="11" dataDxfId="176"/>
    <tableColumn id="12" xr3:uid="{70B57017-3926-FE49-9E24-B74A13CA4652}" uniqueName="12" name="Column12" queryTableFieldId="12" dataDxfId="175"/>
    <tableColumn id="13" xr3:uid="{FC6570F9-E038-FF43-BD70-E4983A49D0E8}" uniqueName="13" name="Column13" queryTableFieldId="13" dataDxfId="174"/>
    <tableColumn id="14" xr3:uid="{3EC22A2D-D516-E148-88AC-1E95F4608522}" uniqueName="14" name="Column14" queryTableFieldId="14" dataDxfId="173"/>
    <tableColumn id="15" xr3:uid="{2E2A050D-1740-7447-ACE0-B333D9DB96D2}" uniqueName="15" name="Column15" queryTableFieldId="15" dataDxfId="172"/>
    <tableColumn id="16" xr3:uid="{15C33DDF-251E-9E47-9EFE-E276C54B8A1E}" uniqueName="16" name="Column16" queryTableFieldId="16" dataDxfId="171"/>
    <tableColumn id="17" xr3:uid="{7EE77B35-A02E-7E48-BE3D-1BE3C1FF384D}" uniqueName="17" name="Column17" queryTableFieldId="17" dataDxfId="170"/>
    <tableColumn id="18" xr3:uid="{AF906117-95CB-8F4E-834E-1FDCD9D0D16F}" uniqueName="18" name="Column18" queryTableFieldId="18" dataDxfId="169"/>
    <tableColumn id="19" xr3:uid="{34E70F4A-650A-694A-90F4-DE89DC5607CA}" uniqueName="19" name="Column19" queryTableFieldId="19" dataDxfId="168"/>
    <tableColumn id="20" xr3:uid="{0A08AC75-14E9-5246-B74A-984F7BC98FB8}" uniqueName="20" name="Column20" queryTableFieldId="20" dataDxfId="167"/>
    <tableColumn id="21" xr3:uid="{CB09CD09-58AE-B14C-B16D-BCC4A644A79C}" uniqueName="21" name="Column21" queryTableFieldId="21" dataDxfId="166"/>
    <tableColumn id="22" xr3:uid="{F248A7D2-D8CB-7A4C-8DF5-09C435FA300A}" uniqueName="22" name="Column22" queryTableFieldId="22" dataDxfId="165"/>
    <tableColumn id="23" xr3:uid="{27BB1C06-66BD-B343-BE9E-82EF5D9E5071}" uniqueName="23" name="Column23" queryTableFieldId="23" dataDxfId="164"/>
    <tableColumn id="24" xr3:uid="{E74C41EC-2C1A-AC4D-99E6-E3E291DB05C1}" uniqueName="24" name="Column24" queryTableFieldId="24" dataDxfId="163"/>
    <tableColumn id="25" xr3:uid="{7B6F944E-FB19-9146-B000-0C955473917A}" uniqueName="25" name="Column25" queryTableFieldId="25" dataDxfId="162"/>
    <tableColumn id="26" xr3:uid="{6E15D0EE-C709-1148-A923-D5DFE9507CB5}" uniqueName="26" name="Column26" queryTableFieldId="26" dataDxfId="161"/>
    <tableColumn id="27" xr3:uid="{A0749410-00AE-0E42-A007-0DFBEFA9E431}" uniqueName="27" name="Column27" queryTableFieldId="27" dataDxfId="160"/>
    <tableColumn id="28" xr3:uid="{278F24A2-A0E2-7D4C-88BF-CF4A7062D5D3}" uniqueName="28" name="Column28" queryTableFieldId="28" dataDxfId="159"/>
    <tableColumn id="29" xr3:uid="{E91ABC85-1829-1345-9EA6-BE444F33910E}" uniqueName="29" name="Column29" queryTableFieldId="29" dataDxfId="158"/>
    <tableColumn id="30" xr3:uid="{672BDA73-6D64-6140-A136-85E2B2CB5755}" uniqueName="30" name="Column30" queryTableFieldId="30" dataDxfId="157"/>
    <tableColumn id="31" xr3:uid="{7B7D73BF-C579-2241-8BD5-39F7AF895F28}" uniqueName="31" name="Column31" queryTableFieldId="31" dataDxfId="156"/>
    <tableColumn id="32" xr3:uid="{1BD5C3F2-9488-BF4C-8F19-241EF2EE6589}" uniqueName="32" name="Column32" queryTableFieldId="32" dataDxfId="155"/>
    <tableColumn id="33" xr3:uid="{763E6D79-B876-3248-A167-B63A8CD64F57}" uniqueName="33" name="Column33" queryTableFieldId="33" dataDxfId="154"/>
    <tableColumn id="34" xr3:uid="{D1CD5145-7132-2340-89C0-FB6076AD82FF}" uniqueName="34" name="Column34" queryTableFieldId="34" dataDxfId="153"/>
    <tableColumn id="35" xr3:uid="{B5C8E596-1667-3C42-BCEB-6C125B682713}" uniqueName="35" name="Column35" queryTableFieldId="35" dataDxfId="152"/>
    <tableColumn id="36" xr3:uid="{0743B035-910D-C445-A728-590129CB2E27}" uniqueName="36" name="Column36" queryTableFieldId="36" dataDxfId="151"/>
    <tableColumn id="37" xr3:uid="{CB1EFB48-1C17-EB44-9281-EC4BF3E50B74}" uniqueName="37" name="Column37" queryTableFieldId="37" dataDxfId="150"/>
    <tableColumn id="38" xr3:uid="{5EB091F6-46A6-284A-A59A-70DD949814AC}" uniqueName="38" name="Column38" queryTableFieldId="38" dataDxfId="149"/>
    <tableColumn id="39" xr3:uid="{E9877D46-B438-7C4F-A0B7-02707562B7BD}" uniqueName="39" name="Column39" queryTableFieldId="39" dataDxfId="148"/>
    <tableColumn id="40" xr3:uid="{7F47C155-AA64-BA48-9658-0AEF6D5DBA86}" uniqueName="40" name="Column40" queryTableFieldId="40" dataDxfId="147"/>
    <tableColumn id="41" xr3:uid="{E3EF8873-4840-1C4F-B87D-09DC1860BE4F}" uniqueName="41" name="Column41" queryTableFieldId="41" dataDxfId="146"/>
    <tableColumn id="42" xr3:uid="{952EFB26-CBE0-3D47-B5E6-964A7E43D29D}" uniqueName="42" name="Column42" queryTableFieldId="42" dataDxfId="145"/>
    <tableColumn id="43" xr3:uid="{F1E42FAD-4A8B-C04A-BC8E-53B662992DF2}" uniqueName="43" name="Column43" queryTableFieldId="43" dataDxfId="144"/>
    <tableColumn id="44" xr3:uid="{82533D16-6447-2449-B37F-9EC281F2FF35}" uniqueName="44" name="Column44" queryTableFieldId="44" dataDxfId="143"/>
    <tableColumn id="45" xr3:uid="{4E9CA929-D5B6-E842-BA04-C6E57804499C}" uniqueName="45" name="Column45" queryTableFieldId="45" dataDxfId="142"/>
    <tableColumn id="46" xr3:uid="{DA7F97A7-B32F-D840-A0DF-C3A1B7849DF6}" uniqueName="46" name="Column46" queryTableFieldId="46" dataDxfId="141"/>
    <tableColumn id="47" xr3:uid="{49770D1C-87D9-CE47-B93A-69F796225D48}" uniqueName="47" name="Column47" queryTableFieldId="47" dataDxfId="140"/>
    <tableColumn id="48" xr3:uid="{44BD01A2-4AC6-794A-BF22-DADCA872E69B}" uniqueName="48" name="Column48" queryTableFieldId="48" dataDxfId="139"/>
    <tableColumn id="49" xr3:uid="{BF4A71A1-FF54-114D-9C3A-DE8B6F5F26F6}" uniqueName="49" name="Column49" queryTableFieldId="49" dataDxfId="138"/>
    <tableColumn id="50" xr3:uid="{2F923448-8994-1C46-9343-B506D26A4645}" uniqueName="50" name="Column50" queryTableFieldId="50" dataDxfId="137"/>
    <tableColumn id="51" xr3:uid="{81E2FE82-9B73-D542-89DD-0AB921F2FF53}" uniqueName="51" name="Column51" queryTableFieldId="51" dataDxfId="136"/>
    <tableColumn id="52" xr3:uid="{D36F5A6C-AC0F-514F-96D2-C66A3341477E}" uniqueName="52" name="Column52" queryTableFieldId="52" dataDxfId="135"/>
    <tableColumn id="53" xr3:uid="{FCF8B221-B543-D54E-8765-DC03318EE200}" uniqueName="53" name="Column53" queryTableFieldId="53" dataDxfId="134"/>
    <tableColumn id="54" xr3:uid="{00B7440E-3783-2B47-B27D-0B3F8B7B3943}" uniqueName="54" name="Column54" queryTableFieldId="54" dataDxfId="133"/>
    <tableColumn id="55" xr3:uid="{B8A4EC3A-BCE3-DD46-A412-2002291A1034}" uniqueName="55" name="Column55" queryTableFieldId="55" dataDxfId="132"/>
    <tableColumn id="56" xr3:uid="{B86C8B42-5042-8C47-AD81-DE7256058932}" uniqueName="56" name="Column56" queryTableFieldId="56" dataDxfId="131"/>
    <tableColumn id="57" xr3:uid="{706A6F7D-D310-2649-A204-E61C1E29CE43}" uniqueName="57" name="Column57" queryTableFieldId="57" dataDxfId="130"/>
    <tableColumn id="58" xr3:uid="{F6146E86-C318-CC40-9FD4-6A450FB03595}" uniqueName="58" name="Column58" queryTableFieldId="58" dataDxfId="129"/>
    <tableColumn id="59" xr3:uid="{12551E99-22C2-F64D-98AC-F2E2BE5AFD67}" uniqueName="59" name="Column59" queryTableFieldId="59" dataDxfId="128"/>
    <tableColumn id="60" xr3:uid="{5EC09123-8F31-974B-B2CE-3CC1EA83F905}" uniqueName="60" name="Column60" queryTableFieldId="60" dataDxfId="127"/>
    <tableColumn id="61" xr3:uid="{6F0824B2-8A0B-6642-B8F0-EC6EF05ADF13}" uniqueName="61" name="Column61" queryTableFieldId="61" dataDxfId="126"/>
    <tableColumn id="62" xr3:uid="{1020FF59-D055-FC48-B681-AEEF93C7AB1B}" uniqueName="62" name="Column62" queryTableFieldId="62" dataDxfId="125"/>
    <tableColumn id="63" xr3:uid="{933E69FC-4058-A34C-B6E7-89C31A3EBC0B}" uniqueName="63" name="Column63" queryTableFieldId="63" dataDxfId="124"/>
    <tableColumn id="64" xr3:uid="{C3AA226B-60BA-D148-8CBA-D3F4E8C5C46C}" uniqueName="64" name="Column64" queryTableFieldId="64" dataDxfId="123"/>
    <tableColumn id="65" xr3:uid="{9397693D-6AA9-4745-95F3-BFAD2D0AD2BA}" uniqueName="65" name="Column65" queryTableFieldId="65" dataDxfId="122"/>
    <tableColumn id="66" xr3:uid="{E8FBA2D0-F7D1-614A-8C83-2CAD91CFECDB}" uniqueName="66" name="Column66" queryTableFieldId="66" dataDxfId="121"/>
    <tableColumn id="67" xr3:uid="{BF77E800-6C83-A24B-8769-55439E5A3901}" uniqueName="67" name="Column67" queryTableFieldId="67" dataDxfId="120"/>
    <tableColumn id="68" xr3:uid="{FD772D41-2797-3447-903F-97ADB8BA4F25}" uniqueName="68" name="Column68" queryTableFieldId="68" dataDxfId="119"/>
    <tableColumn id="69" xr3:uid="{00EFA834-8767-A049-8097-41CEF742A9A0}" uniqueName="69" name="Column69" queryTableFieldId="69" dataDxfId="118"/>
    <tableColumn id="70" xr3:uid="{1F63EBA2-5E85-8746-8947-8FD30B521CE0}" uniqueName="70" name="Column70" queryTableFieldId="70" dataDxfId="117"/>
    <tableColumn id="71" xr3:uid="{267B0EA4-48D1-8344-A36E-31767600935B}" uniqueName="71" name="Column71" queryTableFieldId="71" dataDxfId="116"/>
    <tableColumn id="72" xr3:uid="{5D65252A-471F-0B42-8BCA-F27ADD3CF2ED}" uniqueName="72" name="Column72" queryTableFieldId="72" dataDxfId="115"/>
    <tableColumn id="73" xr3:uid="{957CDEFF-9769-814E-ACB9-A7C55968A1FE}" uniqueName="73" name="Column73" queryTableFieldId="73" dataDxfId="114"/>
    <tableColumn id="74" xr3:uid="{FFBD90FE-D5E2-EC4F-8326-0CE9D74A00A5}" uniqueName="74" name="Column74" queryTableFieldId="74" dataDxfId="113"/>
    <tableColumn id="75" xr3:uid="{B7D90CBA-8536-0E46-B0A1-1EFF6C12437F}" uniqueName="75" name="Column75" queryTableFieldId="75" dataDxfId="112"/>
    <tableColumn id="76" xr3:uid="{DF363693-69F7-0548-8E41-226AF46F34FA}" uniqueName="76" name="Column76" queryTableFieldId="76" dataDxfId="111"/>
    <tableColumn id="77" xr3:uid="{F9D0EA5F-1AA9-DF4C-B43B-2D7BFA260C69}" uniqueName="77" name="Column77" queryTableFieldId="77" dataDxfId="110"/>
    <tableColumn id="78" xr3:uid="{B1760827-890E-874D-9D55-9977AD975299}" uniqueName="78" name="Column78" queryTableFieldId="78" dataDxfId="109"/>
    <tableColumn id="79" xr3:uid="{83FCA0E4-1161-A242-AA6B-22C6DFBB5276}" uniqueName="79" name="Column79" queryTableFieldId="79" dataDxfId="108"/>
    <tableColumn id="80" xr3:uid="{153E986C-6CB9-1745-83D5-27ACB40C6EF1}" uniqueName="80" name="Column80" queryTableFieldId="80" dataDxfId="107"/>
    <tableColumn id="81" xr3:uid="{E89ECB11-E27D-5F40-A138-0B22EDCE220F}" uniqueName="81" name="Column81" queryTableFieldId="81" dataDxfId="106"/>
    <tableColumn id="82" xr3:uid="{51AEA13B-568D-1F45-93E6-D436A189EAFC}" uniqueName="82" name="Column82" queryTableFieldId="82" dataDxfId="105"/>
    <tableColumn id="83" xr3:uid="{0E07868E-21D9-1D46-A602-774BBEFEB160}" uniqueName="83" name="Column83" queryTableFieldId="83" dataDxfId="104"/>
    <tableColumn id="84" xr3:uid="{CF9CC5ED-F3A6-524D-A8F0-5C9213161BF6}" uniqueName="84" name="Column84" queryTableFieldId="84" dataDxfId="103"/>
    <tableColumn id="85" xr3:uid="{2A7B439F-2905-C74A-A26A-BD040C6B5D31}" uniqueName="85" name="Column85" queryTableFieldId="85" dataDxfId="102"/>
    <tableColumn id="86" xr3:uid="{D92AB175-5A0E-5745-8637-A10F1DB8874E}" uniqueName="86" name="Column86" queryTableFieldId="86" dataDxfId="101"/>
    <tableColumn id="87" xr3:uid="{C7489512-53B8-1F49-BD3C-174AEE565F42}" uniqueName="87" name="Column87" queryTableFieldId="87" dataDxfId="100"/>
    <tableColumn id="88" xr3:uid="{5C278A70-4ECD-4845-A7EC-0CE173F27C1C}" uniqueName="88" name="Column88" queryTableFieldId="88" dataDxfId="99"/>
    <tableColumn id="89" xr3:uid="{DE6D7979-79FC-AD45-82ED-4531E9D38F51}" uniqueName="89" name="Column89" queryTableFieldId="89" dataDxfId="98"/>
    <tableColumn id="90" xr3:uid="{518B2FC7-A5AA-114A-AA06-6A32AC39CBFC}" uniqueName="90" name="Column90" queryTableFieldId="90" dataDxfId="97"/>
    <tableColumn id="91" xr3:uid="{AE5EA78C-19C4-C447-9EC1-056CE2DB1621}" uniqueName="91" name="Column91" queryTableFieldId="91" dataDxfId="96"/>
    <tableColumn id="92" xr3:uid="{973EAC9E-7EC9-D241-820E-796C25049554}" uniqueName="92" name="Column92" queryTableFieldId="92" dataDxfId="95"/>
    <tableColumn id="93" xr3:uid="{8885FA84-2738-8443-927F-895DCE064D0B}" uniqueName="93" name="Column93" queryTableFieldId="93" dataDxfId="94"/>
    <tableColumn id="94" xr3:uid="{92613580-2D11-124B-AA5A-051000BC4B54}" uniqueName="94" name="Column94" queryTableFieldId="94" dataDxfId="93"/>
    <tableColumn id="95" xr3:uid="{8253336D-8BF8-F74F-B7F7-69FD9979DB97}" uniqueName="95" name="Column95" queryTableFieldId="95" dataDxfId="92"/>
    <tableColumn id="96" xr3:uid="{A06E004A-1B65-BC4B-9509-08C8354B54CA}" uniqueName="96" name="Column96" queryTableFieldId="96" dataDxfId="91"/>
    <tableColumn id="97" xr3:uid="{63AC11D9-8A55-424F-84E8-0FFE5BDBEBC6}" uniqueName="97" name="Column97" queryTableFieldId="97" dataDxfId="90"/>
    <tableColumn id="98" xr3:uid="{8E74325D-0B14-7344-AF60-88F3F185BC36}" uniqueName="98" name="Column98" queryTableFieldId="98" dataDxfId="89"/>
    <tableColumn id="99" xr3:uid="{A93C4BD7-0EEE-9B40-AA27-CDBB8C8BDBAC}" uniqueName="99" name="Column99" queryTableFieldId="99" dataDxfId="88"/>
    <tableColumn id="100" xr3:uid="{84AF92EC-BEAC-674C-9D35-0497EB63EE92}" uniqueName="100" name="Column100" queryTableFieldId="100" dataDxfId="87"/>
    <tableColumn id="101" xr3:uid="{8C8C89D7-2BFF-9F44-905A-34ED26B85EFA}" uniqueName="101" name="Column101" queryTableFieldId="101" dataDxfId="86"/>
    <tableColumn id="102" xr3:uid="{93FB0595-3D2A-3748-816D-84CDBDCBAB1C}" uniqueName="102" name="Column102" queryTableFieldId="102" dataDxfId="85"/>
    <tableColumn id="103" xr3:uid="{A4791B16-BF62-AD42-A68A-6FE1F2F97F4B}" uniqueName="103" name="Column103" queryTableFieldId="103" dataDxfId="84"/>
    <tableColumn id="104" xr3:uid="{59BAB5DA-E6AA-894D-83F9-FDEF710A264E}" uniqueName="104" name="Column104" queryTableFieldId="104" dataDxfId="83"/>
    <tableColumn id="105" xr3:uid="{EBABB930-43FE-1B46-ACDF-2EEE89FB275D}" uniqueName="105" name="Column105" queryTableFieldId="105" dataDxfId="82"/>
    <tableColumn id="106" xr3:uid="{859BF8DF-828A-0D4C-B47D-BCB9C497C4C2}" uniqueName="106" name="Column106" queryTableFieldId="106" dataDxfId="81"/>
    <tableColumn id="107" xr3:uid="{3217E1A4-8229-FE42-B895-12AEC7E0AFC9}" uniqueName="107" name="Column107" queryTableFieldId="107" dataDxfId="80"/>
    <tableColumn id="108" xr3:uid="{BC85112E-3ABC-2E46-8D95-F7D0E7841ADB}" uniqueName="108" name="Column108" queryTableFieldId="108" dataDxfId="79"/>
    <tableColumn id="109" xr3:uid="{BCEAEC90-88C4-0D46-A300-3444C76EF481}" uniqueName="109" name="Column109" queryTableFieldId="109" dataDxfId="78"/>
    <tableColumn id="110" xr3:uid="{087670EA-4086-714F-A3BE-9E26BE04F0EB}" uniqueName="110" name="Column110" queryTableFieldId="110" dataDxfId="77"/>
    <tableColumn id="111" xr3:uid="{D6DAF7A4-B3D8-924F-9C6F-E9D83515199E}" uniqueName="111" name="Column111" queryTableFieldId="111" dataDxfId="76"/>
    <tableColumn id="112" xr3:uid="{D2752FA6-BB1F-6747-8BC3-FEA75087A12B}" uniqueName="112" name="Column112" queryTableFieldId="112" dataDxfId="75"/>
    <tableColumn id="113" xr3:uid="{CC35C63A-2B3C-4F4E-BD6C-651CD791311B}" uniqueName="113" name="Column113" queryTableFieldId="113" dataDxfId="74"/>
    <tableColumn id="114" xr3:uid="{F03EE6E6-B473-B448-AC28-730055D21FF8}" uniqueName="114" name="Column114" queryTableFieldId="114" dataDxfId="73"/>
    <tableColumn id="162" xr3:uid="{56E58519-1C3C-5145-A873-67465BE8A141}" uniqueName="162" name="Column1142" queryTableFieldId="161" dataDxfId="72"/>
    <tableColumn id="163" xr3:uid="{C8427246-A230-9F47-9732-A62062511D3F}" uniqueName="163" name="Column1143" queryTableFieldId="162" dataDxfId="71"/>
    <tableColumn id="115" xr3:uid="{55BD4608-B1AD-434C-BF00-7983CC785BF0}" uniqueName="115" name="Column115" queryTableFieldId="115" dataDxfId="70"/>
    <tableColumn id="116" xr3:uid="{21A5D87B-F5E3-5B49-8240-CCCF6866D16A}" uniqueName="116" name="Column116" queryTableFieldId="116" dataDxfId="69"/>
    <tableColumn id="117" xr3:uid="{A23BE618-F0F3-A644-ADA5-B7F934F68084}" uniqueName="117" name="Column117" queryTableFieldId="117" dataDxfId="68"/>
    <tableColumn id="118" xr3:uid="{7ADC19B2-A12A-874B-8A4C-96B1E39F2474}" uniqueName="118" name="Column118" queryTableFieldId="118" dataDxfId="67"/>
    <tableColumn id="119" xr3:uid="{88356AE9-AEA8-F74B-91E7-C118D6BB183E}" uniqueName="119" name="Column119" queryTableFieldId="119" dataDxfId="66"/>
    <tableColumn id="120" xr3:uid="{44FA92C1-C00A-7F44-9B9D-5453764FAB82}" uniqueName="120" name="Column120" queryTableFieldId="120" dataDxfId="65"/>
    <tableColumn id="121" xr3:uid="{7F963B45-D884-904A-8EB0-CBC851293860}" uniqueName="121" name="Column121" queryTableFieldId="121" dataDxfId="64"/>
    <tableColumn id="122" xr3:uid="{7EFD06BA-4815-BA4E-B149-35A53F12209C}" uniqueName="122" name="Column122" queryTableFieldId="122" dataDxfId="63"/>
    <tableColumn id="123" xr3:uid="{5B301A25-EF61-624A-A533-75DF45D3F92C}" uniqueName="123" name="Column123" queryTableFieldId="123" dataDxfId="62"/>
    <tableColumn id="124" xr3:uid="{57F5EDA1-CA6D-F147-BC13-6138E5ADD424}" uniqueName="124" name="Column124" queryTableFieldId="124" dataDxfId="61"/>
    <tableColumn id="125" xr3:uid="{47523CD8-3B98-D444-AB8C-627F81268A43}" uniqueName="125" name="Column125" queryTableFieldId="125" dataDxfId="60"/>
    <tableColumn id="126" xr3:uid="{1EF076BD-E194-1044-92D2-D8D1088A6046}" uniqueName="126" name="Column126" queryTableFieldId="126" dataDxfId="59"/>
    <tableColumn id="127" xr3:uid="{1B81F97C-CAAD-A84B-A450-00A6B4C38D5C}" uniqueName="127" name="Column127" queryTableFieldId="127" dataDxfId="58"/>
    <tableColumn id="128" xr3:uid="{A37B8300-9673-3A41-81BE-60E156310F97}" uniqueName="128" name="Column128" queryTableFieldId="128" dataDxfId="57"/>
    <tableColumn id="129" xr3:uid="{68439E90-F0C0-7644-83B3-219792F5019F}" uniqueName="129" name="Column129" queryTableFieldId="129" dataDxfId="56"/>
    <tableColumn id="130" xr3:uid="{DBEFC5A2-3472-F145-BB8D-52D5094D8A63}" uniqueName="130" name="Column130" queryTableFieldId="130" dataDxfId="55"/>
    <tableColumn id="131" xr3:uid="{00D3F5A0-3355-F64A-B1FA-5CBE007A8463}" uniqueName="131" name="Column131" queryTableFieldId="131" dataDxfId="54"/>
    <tableColumn id="132" xr3:uid="{CEF1C7B5-9F6D-7D48-B2DD-6CFB2F1BECEF}" uniqueName="132" name="Column132" queryTableFieldId="132" dataDxfId="53"/>
    <tableColumn id="133" xr3:uid="{3DBDF739-5CE1-B14B-A24B-40289503B33F}" uniqueName="133" name="Column133" queryTableFieldId="133" dataDxfId="52"/>
    <tableColumn id="134" xr3:uid="{6D75F0CA-AC3F-0246-BE4A-7C90D3857E7B}" uniqueName="134" name="Column134" queryTableFieldId="134" dataDxfId="51"/>
    <tableColumn id="135" xr3:uid="{7E2A67AC-1439-B743-82AA-DC052B0B4781}" uniqueName="135" name="Column135" queryTableFieldId="135" dataDxfId="50"/>
    <tableColumn id="136" xr3:uid="{94A8F3BF-D695-E442-9903-77CA056C4D0C}" uniqueName="136" name="Column136" queryTableFieldId="136" dataDxfId="49"/>
    <tableColumn id="137" xr3:uid="{186453C9-7EA5-A04E-AA31-B0D75000BC46}" uniqueName="137" name="Column137" queryTableFieldId="137" dataDxfId="48"/>
    <tableColumn id="138" xr3:uid="{A817989F-17A2-3B44-9EA4-C457B75D8543}" uniqueName="138" name="Column138" queryTableFieldId="138" dataDxfId="47"/>
    <tableColumn id="139" xr3:uid="{8B19C264-E48F-6A45-9476-1EBBC9FF9EF7}" uniqueName="139" name="Column139" queryTableFieldId="139" dataDxfId="46"/>
    <tableColumn id="140" xr3:uid="{678009A3-AD20-A04A-BFFA-CEE21B1C9BA1}" uniqueName="140" name="Column140" queryTableFieldId="140" dataDxfId="45"/>
    <tableColumn id="141" xr3:uid="{2283B11A-6687-9648-B704-32AA01F797FC}" uniqueName="141" name="Column141" queryTableFieldId="141" dataDxfId="44"/>
    <tableColumn id="142" xr3:uid="{77D6E5C5-B354-6B4A-8C9C-29F80CB9827E}" uniqueName="142" name="Column142" queryTableFieldId="142" dataDxfId="43"/>
    <tableColumn id="143" xr3:uid="{4CD83AE2-9D6B-0C4D-B87E-39CCC170B627}" uniqueName="143" name="Column143" queryTableFieldId="143" dataDxfId="42"/>
    <tableColumn id="144" xr3:uid="{BD0612AC-7859-1F4F-BE97-B67E307B9B53}" uniqueName="144" name="Column144" queryTableFieldId="144" dataDxfId="41"/>
    <tableColumn id="145" xr3:uid="{42F2276A-EA0E-6242-BF60-DFA6784D5A39}" uniqueName="145" name="Column145" queryTableFieldId="145" dataDxfId="40"/>
    <tableColumn id="146" xr3:uid="{C65ACF9B-2350-554B-B254-2101044F2AB0}" uniqueName="146" name="Column146" queryTableFieldId="146" dataDxfId="39"/>
    <tableColumn id="147" xr3:uid="{92284973-0DD3-C94F-BFDF-06FE41AD8BA6}" uniqueName="147" name="Column147" queryTableFieldId="147" dataDxfId="38"/>
    <tableColumn id="148" xr3:uid="{639CE2CC-9613-FC46-8250-CBE7F5224D86}" uniqueName="148" name="Column148" queryTableFieldId="148" dataDxfId="37"/>
    <tableColumn id="149" xr3:uid="{BD17D491-1D4F-184D-BCA8-989B3FEC9580}" uniqueName="149" name="Column149" queryTableFieldId="149" dataDxfId="36"/>
    <tableColumn id="150" xr3:uid="{EA08E5C8-62D8-D444-81F9-EE5C3BACD8A3}" uniqueName="150" name="Column150" queryTableFieldId="150" dataDxfId="35"/>
    <tableColumn id="151" xr3:uid="{FEF817AD-9B04-F840-91DA-ED225498D6E5}" uniqueName="151" name="Column151" queryTableFieldId="151" dataDxfId="34"/>
    <tableColumn id="152" xr3:uid="{FE735A97-0D40-A24F-B21E-EA565D792087}" uniqueName="152" name="Column152" queryTableFieldId="152" dataDxfId="33"/>
    <tableColumn id="153" xr3:uid="{FA82AFB6-240D-634F-AAD1-FC0822FD7677}" uniqueName="153" name="Column153" queryTableFieldId="153" dataDxfId="32"/>
    <tableColumn id="154" xr3:uid="{8FD6C731-F9C9-F147-A2DB-157A96838235}" uniqueName="154" name="Column154" queryTableFieldId="154" dataDxfId="31"/>
    <tableColumn id="155" xr3:uid="{FCCE3B08-8739-514F-B7F1-37F89F428156}" uniqueName="155" name="Column155" queryTableFieldId="155" dataDxfId="30"/>
    <tableColumn id="156" xr3:uid="{7BE61716-74B3-C54D-88EF-3B9DFD7423C1}" uniqueName="156" name="Column156" queryTableFieldId="156" dataDxfId="29"/>
    <tableColumn id="157" xr3:uid="{59CAE5DA-142A-F045-B039-A8B68B1BD56A}" uniqueName="157" name="Column157" queryTableFieldId="157" dataDxfId="28"/>
    <tableColumn id="158" xr3:uid="{E9CB371E-577B-104D-9CE4-9C171242C5E1}" uniqueName="158" name="Column158" queryTableFieldId="158" dataDxfId="27"/>
    <tableColumn id="159" xr3:uid="{C6A31DFA-DF27-FE40-A0F9-BC7EB9F30868}" uniqueName="159" name="Column159" queryTableFieldId="159" dataDxfId="26"/>
    <tableColumn id="160" xr3:uid="{68B51AAA-D5F3-5B42-8F7A-983003F7CE49}" uniqueName="160" name="Column160" queryTableFieldId="160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B3FC86-64E7-7446-B1F0-8A365AE0983E}" name="RES_summary__5" displayName="RES_summary__5" ref="A1:FN108" tableType="queryTable" totalsRowShown="0">
  <autoFilter ref="A1:FN108" xr:uid="{A5B3FC86-64E7-7446-B1F0-8A365AE0983E}"/>
  <tableColumns count="170">
    <tableColumn id="1" xr3:uid="{530942FC-95F8-D847-86C6-2137F70C83D3}" uniqueName="1" name="IE - Residential sector summary" queryTableFieldId="1"/>
    <tableColumn id="2" xr3:uid="{A3F3ABF9-5888-0842-9059-BF39770E9C3F}" uniqueName="2" name="Column2" queryTableFieldId="2"/>
    <tableColumn id="3" xr3:uid="{94D97554-7C40-CA4B-960E-43E93574C9C6}" uniqueName="3" name="Household consumption expenditure (M€ at 2015 prices)" queryTableFieldId="3"/>
    <tableColumn id="4" xr3:uid="{927EC1C6-0AA2-8E4E-A934-823F4212F4EB}" uniqueName="4" name="Population (inhabitants)" queryTableFieldId="4"/>
    <tableColumn id="5" xr3:uid="{90B12670-2316-A048-A757-F42DAAF14B9A}" uniqueName="5" name="Column5" queryTableFieldId="5"/>
    <tableColumn id="6" xr3:uid="{70450D07-1760-FB46-9677-CEE395BDA5D3}" uniqueName="6" name="Number of households" queryTableFieldId="6"/>
    <tableColumn id="7" xr3:uid="{3315F5A2-53BF-A445-A209-9B25DBF85DEE}" uniqueName="7" name="Total households useful surface area (in thousand sqm)" queryTableFieldId="7"/>
    <tableColumn id="8" xr3:uid="{0241F044-C394-7C48-9DAE-5DBB73F865E8}" uniqueName="8" name="Number of new and renovated households" queryTableFieldId="8"/>
    <tableColumn id="9" xr3:uid="{211F86AB-131F-6944-819E-697582F0302F}" uniqueName="9" name="New and renovated households useful surface area (in thousand sqm)" queryTableFieldId="9"/>
    <tableColumn id="10" xr3:uid="{442AA7CB-1963-AD43-BB94-955BBAE9E735}" uniqueName="10" name="Column10" queryTableFieldId="10"/>
    <tableColumn id="11" xr3:uid="{929141EC-A773-2D41-80F7-CD5C855202D4}" uniqueName="11" name="Actual heating degree-days" queryTableFieldId="11"/>
    <tableColumn id="12" xr3:uid="{13194793-4515-D844-A985-CA7B304571EE}" uniqueName="12" name="Mean heating degree-days over period 2000 - 2020" queryTableFieldId="12"/>
    <tableColumn id="13" xr3:uid="{169A465F-7B97-9542-A565-7C6DABBAC153}" uniqueName="13" name="Relative heating degree-days" queryTableFieldId="13"/>
    <tableColumn id="14" xr3:uid="{0EB002C6-FE53-3646-BF0B-50EEBD767E85}" uniqueName="14" name="Column14" queryTableFieldId="14"/>
    <tableColumn id="15" xr3:uid="{7C769316-21E2-0F49-83BE-685A8005CAEF}" uniqueName="15" name="Indicators" queryTableFieldId="15"/>
    <tableColumn id="16" xr3:uid="{41F66A7C-6506-244E-AD5F-B90A40BC710E}" uniqueName="16" name="Column16" queryTableFieldId="16"/>
    <tableColumn id="17" xr3:uid="{C54B20E7-CE43-EC4A-B1C9-2AD7368F5AF1}" uniqueName="17" name="Households size (inhabitants/household)" queryTableFieldId="17"/>
    <tableColumn id="18" xr3:uid="{AEC83956-1616-AE42-BDB4-AB483E38EB19}" uniqueName="18" name="Households useful surface area (in sqm/capita)" queryTableFieldId="18"/>
    <tableColumn id="19" xr3:uid="{3CE5CB04-FA1A-AB4A-B94F-0E4F94DDECEB}" uniqueName="19" name="Households useful surface area (in sqm/household)" queryTableFieldId="19"/>
    <tableColumn id="20" xr3:uid="{ECC7114F-0F88-8047-A784-1ACE346B837A}" uniqueName="20" name="New and renovated households useful surface area (in sqm/capita)" queryTableFieldId="20"/>
    <tableColumn id="21" xr3:uid="{65CA3E57-A4F8-184F-B00B-AE7CB9AF23E3}" uniqueName="21" name="New and renovated households useful surface area (in sqm/household)" queryTableFieldId="21"/>
    <tableColumn id="22" xr3:uid="{7C06723E-6444-8C43-8CF6-46EBC99E4031}" uniqueName="22" name="Household consumption expenditure per capita (€ at 2015 prices)" queryTableFieldId="22"/>
    <tableColumn id="23" xr3:uid="{7385D581-FBEB-4742-9FED-2AAF0ED93571}" uniqueName="23" name="Household consumption expenditure per household (€ at 2015 prices)" queryTableFieldId="23"/>
    <tableColumn id="24" xr3:uid="{17D70822-D9A3-FB44-88C3-57F84CBD8D03}" uniqueName="24" name="Consumption expenditure per household relative to the EU average" queryTableFieldId="24"/>
    <tableColumn id="25" xr3:uid="{886E90FC-DCDB-3648-B64F-44C6C37CF711}" uniqueName="25" name="Column25" queryTableFieldId="25"/>
    <tableColumn id="26" xr3:uid="{8BDF40C1-DA52-BE4F-8450-216A141287E0}" uniqueName="26" name="Energy consumption" queryTableFieldId="26"/>
    <tableColumn id="27" xr3:uid="{D940E352-3FBD-0749-BB12-9969DF49CE2C}" uniqueName="27" name="Column27" queryTableFieldId="27"/>
    <tableColumn id="28" xr3:uid="{19E9DDC5-9DB1-7241-B4A2-7DA8FF8A2A71}" uniqueName="28" name="Energy consumption by fuel - Eurostat structure (ktoe)" queryTableFieldId="28"/>
    <tableColumn id="29" xr3:uid="{45B037C9-372B-2B4F-B733-8E5813685776}" uniqueName="29" name="Solids" queryTableFieldId="29"/>
    <tableColumn id="30" xr3:uid="{7130A312-5BCB-F141-9A92-AB462CDBDC10}" uniqueName="30" name="Liquids" queryTableFieldId="30"/>
    <tableColumn id="31" xr3:uid="{7D24F987-0A46-C844-AC01-0FBBC8084876}" uniqueName="31" name="Liquified petroleum gas (LPG)" queryTableFieldId="31"/>
    <tableColumn id="32" xr3:uid="{A8517D5D-E37F-484D-8DFB-FEFEF21F47EB}" uniqueName="32" name="Diesel oil and other liquids (without biofuels)" queryTableFieldId="32"/>
    <tableColumn id="33" xr3:uid="{8684C4AC-394F-2B45-8E49-9A8C3906B171}" uniqueName="33" name="Natural gas" queryTableFieldId="33"/>
    <tableColumn id="34" xr3:uid="{614F9B78-F2FE-7244-9552-E609961D1204}" uniqueName="34" name="Renewable energies and wastes" queryTableFieldId="34"/>
    <tableColumn id="35" xr3:uid="{34B91459-1461-8D4A-98C6-9C5B3D10A041}" uniqueName="35" name="Biomass and waste" queryTableFieldId="35"/>
    <tableColumn id="36" xr3:uid="{075A9B62-DB8C-DD4D-9F0E-BF15E9086FF0}" uniqueName="36" name="Biogas" queryTableFieldId="36"/>
    <tableColumn id="37" xr3:uid="{8887AF46-51BF-3541-8AB4-B521C835C897}" uniqueName="37" name="Liquid biofuels" queryTableFieldId="37"/>
    <tableColumn id="38" xr3:uid="{C347CCFB-F8C0-C24B-B8BE-DF35ACD60DA9}" uniqueName="38" name="Solar" queryTableFieldId="38"/>
    <tableColumn id="39" xr3:uid="{2E0175DE-2FD5-2B48-B2CE-2E58811C2CEE}" uniqueName="39" name="Geothermal" queryTableFieldId="39"/>
    <tableColumn id="40" xr3:uid="{6A532169-17D5-5246-8DCC-14F4A4BD3F1F}" uniqueName="40" name="Ambient heat" queryTableFieldId="40"/>
    <tableColumn id="41" xr3:uid="{8F0DD20B-0BF3-574D-AB33-D27FB6117705}" uniqueName="41" name="Distributed heat" queryTableFieldId="41"/>
    <tableColumn id="42" xr3:uid="{54BB8E26-8B3C-AA45-9631-46133E2FC4B0}" uniqueName="42" name="Electricity" queryTableFieldId="42"/>
    <tableColumn id="43" xr3:uid="{03E48B07-7725-2546-B756-9D0ED4249F12}" uniqueName="43" name="Column43" queryTableFieldId="43"/>
    <tableColumn id="44" xr3:uid="{BC880709-685C-1942-AE1E-94256B8D1E4E}" uniqueName="44" name="Energy consumption by end-uses (ktoe)" queryTableFieldId="44"/>
    <tableColumn id="45" xr3:uid="{5943BF22-1814-A04E-9329-3D8F22EA8D92}" uniqueName="45" name="Thermal uses" queryTableFieldId="45"/>
    <tableColumn id="46" xr3:uid="{B72243EF-17F7-3C4C-800B-472E812C62C2}" uniqueName="46" name="Space heating" queryTableFieldId="46"/>
    <tableColumn id="47" xr3:uid="{56B7D496-BE4D-C847-B445-7F8AA88FA1A4}" uniqueName="47" name="Cooling" queryTableFieldId="47"/>
    <tableColumn id="48" xr3:uid="{95B0047C-FC1C-A54E-8A24-A84A91B59B28}" uniqueName="48" name="Water heating" queryTableFieldId="48"/>
    <tableColumn id="49" xr3:uid="{801245B4-8386-0F4D-A607-0B82E0896AEC}" uniqueName="49" name="Cooking" queryTableFieldId="49"/>
    <tableColumn id="50" xr3:uid="{BCFE2051-9E0B-FB4E-B4FC-62196E261E1B}" uniqueName="50" name="Specific electricity uses (appliances and lighting)" queryTableFieldId="50"/>
    <tableColumn id="51" xr3:uid="{AA613601-0F4F-6149-BEB8-DE5E21FA2014}" uniqueName="51" name="Column51" queryTableFieldId="51"/>
    <tableColumn id="52" xr3:uid="{66307E11-A19C-5E47-B496-715A463D77CD}" uniqueName="52" name="Shares of energy consumption in end-uses (in %)" queryTableFieldId="52"/>
    <tableColumn id="53" xr3:uid="{8E751E8E-A74A-8D4D-BC8C-90DAF63DCC66}" uniqueName="53" name="Thermal uses_1" queryTableFieldId="53"/>
    <tableColumn id="54" xr3:uid="{EFEED8A3-B305-6548-B02F-099DEEE8B5E3}" uniqueName="54" name="Space heating_2" queryTableFieldId="54"/>
    <tableColumn id="55" xr3:uid="{5B7F3EE8-A585-1043-9AED-FFA60EBDB3DC}" uniqueName="55" name="Cooling_3" queryTableFieldId="55"/>
    <tableColumn id="56" xr3:uid="{34DB3A7C-8244-6844-8B0E-6A665807DFAB}" uniqueName="56" name="Water heating_4" queryTableFieldId="56"/>
    <tableColumn id="57" xr3:uid="{C4B29664-A766-204F-8768-4E792D77857F}" uniqueName="57" name="Cooking_5" queryTableFieldId="57"/>
    <tableColumn id="58" xr3:uid="{3F5B8162-7C30-164C-BA1C-E41DF83B314D}" uniqueName="58" name="Specific electricity uses (appliances and lighting)_6" queryTableFieldId="58"/>
    <tableColumn id="59" xr3:uid="{3F0BE791-534C-8A46-9FA5-80740048BA5D}" uniqueName="59" name="Column59" queryTableFieldId="59"/>
    <tableColumn id="60" xr3:uid="{CC17E196-D3BA-2E4B-9332-A8C9A37E6719}" uniqueName="60" name="Emissions" queryTableFieldId="60"/>
    <tableColumn id="61" xr3:uid="{F838915D-58C5-5C4B-88A1-EDE3CACCFE75}" uniqueName="61" name="Column61" queryTableFieldId="61"/>
    <tableColumn id="62" xr3:uid="{518181D6-5CCB-1840-99D6-8FBBBA8DC9A0}" uniqueName="62" name="Emissions by fuel - Eurostat structure (kt of CO2)" queryTableFieldId="62"/>
    <tableColumn id="63" xr3:uid="{45912A57-7B61-074A-A809-FBB40BEC1445}" uniqueName="63" name="Solids_7" queryTableFieldId="63"/>
    <tableColumn id="64" xr3:uid="{3C6367BE-4EF7-0148-949C-A1300DB663DD}" uniqueName="64" name="Liquids_8" queryTableFieldId="64"/>
    <tableColumn id="65" xr3:uid="{DFF95B69-DAE4-0C4F-A28A-229A95514DDF}" uniqueName="65" name="Liquified petroleum gas (LPG)_9" queryTableFieldId="65"/>
    <tableColumn id="66" xr3:uid="{17527106-5F66-DA4F-A024-2F07598F7F32}" uniqueName="66" name="Diesel oil and other liquids (without biofuels)_10" queryTableFieldId="66"/>
    <tableColumn id="67" xr3:uid="{0B5C0E6F-2904-AA4F-8E41-C916E6813CF3}" uniqueName="67" name="Natural gas_11" queryTableFieldId="67"/>
    <tableColumn id="68" xr3:uid="{3219D719-460E-6E4E-9AD2-CCE970624273}" uniqueName="68" name="Renewable energies and wastes_12" queryTableFieldId="68"/>
    <tableColumn id="69" xr3:uid="{7F5BC0B9-C162-DB46-A8A2-6A40942E24EF}" uniqueName="69" name="Biomass and waste_13" queryTableFieldId="69"/>
    <tableColumn id="70" xr3:uid="{3ABC89BE-21F1-A046-B6D4-073CED235602}" uniqueName="70" name="Biogas_14" queryTableFieldId="70"/>
    <tableColumn id="71" xr3:uid="{D9394E91-AAE9-9B45-BA36-89A24A968765}" uniqueName="71" name="Liquid biofuels_15" queryTableFieldId="71"/>
    <tableColumn id="72" xr3:uid="{8B177DEF-F8AD-1941-837B-0B37DC0B8EC3}" uniqueName="72" name="Solar_16" queryTableFieldId="72"/>
    <tableColumn id="73" xr3:uid="{BD7CAA6C-D091-0843-8740-4A2F6CA26048}" uniqueName="73" name="Geothermal_17" queryTableFieldId="73"/>
    <tableColumn id="74" xr3:uid="{1EC4F935-1770-DD4C-917F-EB4E0531FBCC}" uniqueName="74" name="Ambient heat_18" queryTableFieldId="74"/>
    <tableColumn id="75" xr3:uid="{2EFBF26A-732F-2041-81A1-44D1644690B9}" uniqueName="75" name="Distributed heat_19" queryTableFieldId="75"/>
    <tableColumn id="76" xr3:uid="{011566C1-F723-824A-9C0E-DC5C9D5856D1}" uniqueName="76" name="Electricity_20" queryTableFieldId="76"/>
    <tableColumn id="77" xr3:uid="{2F50C2BC-595D-A241-B32B-8D6D33E37907}" uniqueName="77" name="Column77" queryTableFieldId="77"/>
    <tableColumn id="78" xr3:uid="{E421F8B8-B8AE-9348-889D-C375F4362956}" uniqueName="78" name="Emissions by end-uses (kt of CO2)" queryTableFieldId="78"/>
    <tableColumn id="79" xr3:uid="{CF7859C2-AD75-DE43-9524-06EE663D1849}" uniqueName="79" name="Thermal uses_21" queryTableFieldId="79"/>
    <tableColumn id="80" xr3:uid="{9339CAC2-0412-AB49-82BF-8CA10D5A5421}" uniqueName="80" name="Space heating_22" queryTableFieldId="80"/>
    <tableColumn id="81" xr3:uid="{3E0692FD-BC00-1C4B-B8F6-A6EBDCEA523D}" uniqueName="81" name="Cooling_23" queryTableFieldId="81"/>
    <tableColumn id="82" xr3:uid="{551CC9C0-AF55-E140-A0C7-0E4A74CA1513}" uniqueName="82" name="Water heating_24" queryTableFieldId="82"/>
    <tableColumn id="83" xr3:uid="{DABE627C-591D-3C40-AE9B-153209BB8827}" uniqueName="83" name="Cooking_25" queryTableFieldId="83"/>
    <tableColumn id="84" xr3:uid="{690C30F7-259A-9548-B2EE-4B700BA3825E}" uniqueName="84" name="Specific electricity uses (appliances and lighting)_26" queryTableFieldId="84"/>
    <tableColumn id="85" xr3:uid="{381C9B19-433C-8048-A311-B44008C8343E}" uniqueName="85" name="Column85" queryTableFieldId="85"/>
    <tableColumn id="86" xr3:uid="{189655F3-BBF8-384A-83FB-A015ED497B08}" uniqueName="86" name="Share of emissions in end-uses (in %)" queryTableFieldId="86"/>
    <tableColumn id="87" xr3:uid="{02440966-2CD3-3F43-9BEC-208CBCBA2C98}" uniqueName="87" name="Thermal uses_27" queryTableFieldId="87"/>
    <tableColumn id="88" xr3:uid="{CCA6C621-A766-2B4D-9292-184FC071621D}" uniqueName="88" name="Space heating_28" queryTableFieldId="88"/>
    <tableColumn id="89" xr3:uid="{97A83342-957A-1F42-AD90-69067371C92E}" uniqueName="89" name="Cooling_29" queryTableFieldId="89"/>
    <tableColumn id="90" xr3:uid="{955A0467-02A6-2B4C-8048-38B6B46087C7}" uniqueName="90" name="Water heating_30" queryTableFieldId="90"/>
    <tableColumn id="91" xr3:uid="{662072EC-BC35-BA47-894F-EBB8C7ACE301}" uniqueName="91" name="Cooking_31" queryTableFieldId="91"/>
    <tableColumn id="92" xr3:uid="{194101B7-F8F3-5B49-A3D6-9EB0DB836E48}" uniqueName="92" name="Specific electricity uses (appliances and lighting)_32" queryTableFieldId="92"/>
    <tableColumn id="93" xr3:uid="{B02D7452-E6E0-5C4A-8544-7C8B16D17518}" uniqueName="93" name="Column93" queryTableFieldId="93"/>
    <tableColumn id="94" xr3:uid="{8D0F26D0-8866-3A46-BFD6-B69466355E96}" uniqueName="94" name="Additional household indicators" queryTableFieldId="94"/>
    <tableColumn id="95" xr3:uid="{267AC52B-D398-6745-8A79-D891CCD63803}" uniqueName="95" name="Column95" queryTableFieldId="95"/>
    <tableColumn id="96" xr3:uid="{FCAFACDA-A625-E248-9D48-0C7C0E078870}" uniqueName="96" name="Energy consumption per household (kWh / household)" queryTableFieldId="96"/>
    <tableColumn id="97" xr3:uid="{A33A24CF-47C4-8F43-A53F-7C2A9077811C}" uniqueName="97" name="Thermal uses_33" queryTableFieldId="97"/>
    <tableColumn id="98" xr3:uid="{E4D9D1CD-A2F7-9145-804D-7578C47E0022}" uniqueName="98" name="Space heating_34" queryTableFieldId="98"/>
    <tableColumn id="99" xr3:uid="{55082CD9-7D6E-804E-88A5-BA1ED350C2D3}" uniqueName="99" name="Cooling_35" queryTableFieldId="99"/>
    <tableColumn id="100" xr3:uid="{570627E4-AB0D-944D-9B56-A34DEE7DC38E}" uniqueName="100" name="Water heating_36" queryTableFieldId="100"/>
    <tableColumn id="101" xr3:uid="{4630FACE-D0C9-0342-8A60-72E52975F52E}" uniqueName="101" name="Cooking_37" queryTableFieldId="101"/>
    <tableColumn id="102" xr3:uid="{9FD55CF6-6B72-8248-8521-94FEB5D1E0BE}" uniqueName="102" name="Specific electricity uses (appliances and lighting)_38" queryTableFieldId="102"/>
    <tableColumn id="103" xr3:uid="{8F8D7EB8-1A7A-6340-94D6-19B5036D132E}" uniqueName="103" name="Column103" queryTableFieldId="103"/>
    <tableColumn id="104" xr3:uid="{ACB94DF9-906C-E142-8E34-BA8EDEDE6370}" uniqueName="104" name="Thermal energy service per household (kWh useful / household)" queryTableFieldId="104"/>
    <tableColumn id="105" xr3:uid="{2DA5B1B5-7437-9B4B-99EE-69146A6380AF}" uniqueName="105" name="Space heating_39" queryTableFieldId="105"/>
    <tableColumn id="106" xr3:uid="{E0343F58-DF2B-9E4E-85DC-2224D8810DFE}" uniqueName="106" name="Cooling_40" queryTableFieldId="106"/>
    <tableColumn id="107" xr3:uid="{CB54F4BE-59BC-DB43-AA47-2FABBD6C364A}" uniqueName="107" name="Water heating_41" queryTableFieldId="107"/>
    <tableColumn id="108" xr3:uid="{A0B2E7D5-93D6-2244-B489-9F1E590A3908}" uniqueName="108" name="Cooking_42" queryTableFieldId="108"/>
    <tableColumn id="109" xr3:uid="{534F9B0B-6C9E-644E-9A50-C451209DC6AA}" uniqueName="109" name="Column109" queryTableFieldId="109"/>
    <tableColumn id="110" xr3:uid="{71A06DD5-6CCE-DD40-86C3-CCDE66D43919}" uniqueName="110" name="Emissions per household (kg CO2 / household)" queryTableFieldId="110"/>
    <tableColumn id="111" xr3:uid="{1DCAB356-4480-4442-9361-9F9BD47FC206}" uniqueName="111" name="Thermal uses_43" queryTableFieldId="111"/>
    <tableColumn id="112" xr3:uid="{ECA90049-935C-6C42-B20A-50C7741D874E}" uniqueName="112" name="Space heating_44" queryTableFieldId="112"/>
    <tableColumn id="113" xr3:uid="{36D400F8-7A3F-EF43-8190-26CB6C4BF3D7}" uniqueName="113" name="Cooling_45" queryTableFieldId="113"/>
    <tableColumn id="114" xr3:uid="{29474643-6D5E-0844-854D-0D0A86461FED}" uniqueName="114" name="Water heating_46" queryTableFieldId="114"/>
    <tableColumn id="115" xr3:uid="{C907300E-AE05-E748-852E-AAFB276CA84D}" uniqueName="115" name="Cooking_47" queryTableFieldId="115"/>
    <tableColumn id="116" xr3:uid="{A5434567-8A67-5943-90FA-E748D9775E09}" uniqueName="116" name="Specific electricity uses (appliances and lighting)_48" queryTableFieldId="116"/>
    <tableColumn id="117" xr3:uid="{07F7026D-D2E6-1B45-A511-5517B404D49C}" uniqueName="117" name="Column117" queryTableFieldId="117"/>
    <tableColumn id="118" xr3:uid="{B9292454-7671-7141-B300-8F0924D76BBC}" uniqueName="118" name="Ratio of energy service to energy consumption (system efficiency indicator)" queryTableFieldId="118"/>
    <tableColumn id="119" xr3:uid="{6D39F8A9-855C-A546-A191-A5C80869D491}" uniqueName="119" name="Space heating_49" queryTableFieldId="119"/>
    <tableColumn id="120" xr3:uid="{3EAEF827-8EC7-4846-8F5C-D7AE0C6EEAFB}" uniqueName="120" name="Cooling_50" queryTableFieldId="120"/>
    <tableColumn id="121" xr3:uid="{30A00A64-076B-3543-AC38-BD17A3598B66}" uniqueName="121" name="Water heating_51" queryTableFieldId="121"/>
    <tableColumn id="122" xr3:uid="{44EE39C1-BAA6-B040-AA40-3F3A5B911196}" uniqueName="122" name="Cooking_52" queryTableFieldId="122"/>
    <tableColumn id="123" xr3:uid="{2806E89B-9D29-5E42-BD79-93D365451100}" uniqueName="123" name="Column123" queryTableFieldId="123"/>
    <tableColumn id="124" xr3:uid="{C56689B8-38E2-1945-A173-A40C09283364}" uniqueName="124" name="Column124" queryTableFieldId="124"/>
    <tableColumn id="125" xr3:uid="{02BF5E22-01A4-E94D-BDFC-208CFE5693F2}" uniqueName="125" name="Column125" queryTableFieldId="125"/>
    <tableColumn id="126" xr3:uid="{98243301-E28C-4A44-A442-B6A823E41B32}" uniqueName="126" name="Energy consumption per surface area (kWh / sqm)" queryTableFieldId="126"/>
    <tableColumn id="127" xr3:uid="{00DE25E2-8556-3941-9C3A-0B3F16323310}" uniqueName="127" name="Thermal uses_53" queryTableFieldId="127"/>
    <tableColumn id="128" xr3:uid="{4364FBF4-611B-2E46-B828-AD6EC7CD116A}" uniqueName="128" name="Space heating_54" queryTableFieldId="128"/>
    <tableColumn id="129" xr3:uid="{05CE8E84-CBB0-E247-8495-5195B4523EFE}" uniqueName="129" name="Cooling_55" queryTableFieldId="129"/>
    <tableColumn id="130" xr3:uid="{8B185288-F206-1645-9FE2-4BBF2B4CB447}" uniqueName="130" name="Water heating_56" queryTableFieldId="130"/>
    <tableColumn id="131" xr3:uid="{6BC05282-BAA1-B141-AC6D-6C68BD001A56}" uniqueName="131" name="Cooking_57" queryTableFieldId="131"/>
    <tableColumn id="132" xr3:uid="{32C8FFC0-C564-D441-BE14-2193B8C91CAE}" uniqueName="132" name="Specific electricity uses (appliances and lighting)_58" queryTableFieldId="132"/>
    <tableColumn id="133" xr3:uid="{E66F5D8B-6712-EC42-A74A-D560684689D2}" uniqueName="133" name="Column133" queryTableFieldId="133"/>
    <tableColumn id="134" xr3:uid="{82EB5095-70F9-D04F-A458-A424251CE0CE}" uniqueName="134" name="Thermal energy service per surface area (kWh useful / sqm)" queryTableFieldId="134"/>
    <tableColumn id="135" xr3:uid="{F950ABBB-3F6F-D242-AE78-223C2E3C49F2}" uniqueName="135" name="Space heating_59" queryTableFieldId="135"/>
    <tableColumn id="136" xr3:uid="{086D8088-C24A-744C-9E82-8F4072CBA109}" uniqueName="136" name="Cooling_60" queryTableFieldId="136"/>
    <tableColumn id="137" xr3:uid="{FEE0BD7F-16AC-174B-8F60-8C2B2002A30F}" uniqueName="137" name="Water heating_61" queryTableFieldId="137"/>
    <tableColumn id="138" xr3:uid="{06C09F8B-5292-204F-9ABF-00D58FCF4697}" uniqueName="138" name="Cooking_62" queryTableFieldId="138"/>
    <tableColumn id="139" xr3:uid="{AFBDD878-963C-6143-847B-DA2D570A8378}" uniqueName="139" name="Column139" queryTableFieldId="139"/>
    <tableColumn id="140" xr3:uid="{A67EAB19-1452-0143-8C24-E2991BBEB03C}" uniqueName="140" name="Emissions per surface area (kg CO2 / sqm)" queryTableFieldId="140"/>
    <tableColumn id="141" xr3:uid="{A1060262-45C5-8945-B88A-CF6D10FD6BCB}" uniqueName="141" name="Thermal uses_63" queryTableFieldId="141"/>
    <tableColumn id="142" xr3:uid="{F2755359-6F81-7B4B-8878-A176949D8602}" uniqueName="142" name="Space heating_64" queryTableFieldId="142"/>
    <tableColumn id="143" xr3:uid="{E7B098B4-788F-DF44-A599-00D0AEAF3CEF}" uniqueName="143" name="Cooling_65" queryTableFieldId="143"/>
    <tableColumn id="144" xr3:uid="{01F7975F-21C9-A64B-8001-9F3861EBE16D}" uniqueName="144" name="Water heating_66" queryTableFieldId="144"/>
    <tableColumn id="145" xr3:uid="{21A17B8D-A21B-0244-8FD4-9C2C3469D6EB}" uniqueName="145" name="Cooking_67" queryTableFieldId="145"/>
    <tableColumn id="146" xr3:uid="{CB99B262-BAEF-E549-9D9E-22E3E40CEC0E}" uniqueName="146" name="Specific electricity uses (appliances and lighting)_68" queryTableFieldId="146"/>
    <tableColumn id="147" xr3:uid="{1D6AA0C2-585A-8741-8D26-D06D6B0235F1}" uniqueName="147" name="Column147" queryTableFieldId="147"/>
    <tableColumn id="148" xr3:uid="{8FD92C04-7600-A045-86BB-0CEE0D88A25D}" uniqueName="148" name="Column148" queryTableFieldId="148"/>
    <tableColumn id="149" xr3:uid="{E1C1C4D4-9FA4-D64E-8DDA-E03B4CCD21D9}" uniqueName="149" name="Column149" queryTableFieldId="149"/>
    <tableColumn id="150" xr3:uid="{43041B65-23B1-1044-BFBD-F93FE12419B8}" uniqueName="150" name="Energy consumption per capita (kWh / capita)" queryTableFieldId="150"/>
    <tableColumn id="151" xr3:uid="{439C6BE5-7A3D-9440-A2B7-B744851DFF7E}" uniqueName="151" name="Thermal uses_69" queryTableFieldId="151"/>
    <tableColumn id="152" xr3:uid="{7D85D110-C0D9-6647-A84E-9C5C96015536}" uniqueName="152" name="Space heating_70" queryTableFieldId="152"/>
    <tableColumn id="153" xr3:uid="{3EEEE52D-71B7-5142-BEA7-8FE3F81CA9F4}" uniqueName="153" name="Cooling_71" queryTableFieldId="153"/>
    <tableColumn id="154" xr3:uid="{F3E3345E-224D-E04F-A1F6-58926F9D195D}" uniqueName="154" name="Water heating_72" queryTableFieldId="154"/>
    <tableColumn id="155" xr3:uid="{7AE17A7E-B676-4C48-94DA-077EEBF48C1E}" uniqueName="155" name="Cooking_73" queryTableFieldId="155"/>
    <tableColumn id="156" xr3:uid="{D823660A-2435-E64E-B33C-0CBDB225D28D}" uniqueName="156" name="Specific electricity uses (appliances and lighting)_74" queryTableFieldId="156"/>
    <tableColumn id="157" xr3:uid="{C23C9931-1F2D-8147-A001-D1FBBDB1955C}" uniqueName="157" name="Column157" queryTableFieldId="157"/>
    <tableColumn id="158" xr3:uid="{847C685F-90B3-5941-9198-C05543568882}" uniqueName="158" name="Thermal energy service per capita (kWh useful / capita)" queryTableFieldId="158"/>
    <tableColumn id="159" xr3:uid="{B0D53496-0FE5-4342-8DA7-55B5EBF96E76}" uniqueName="159" name="Space heating_75" queryTableFieldId="159"/>
    <tableColumn id="160" xr3:uid="{ACE59F45-2E83-B045-816C-07289A8B89CD}" uniqueName="160" name="Cooling_76" queryTableFieldId="160"/>
    <tableColumn id="161" xr3:uid="{3AF53BAB-62A6-1147-B936-90C23F1E8977}" uniqueName="161" name="Water heating_77" queryTableFieldId="161"/>
    <tableColumn id="162" xr3:uid="{522CBDDE-992F-274D-8124-858030FE28B4}" uniqueName="162" name="Cooking_78" queryTableFieldId="162"/>
    <tableColumn id="163" xr3:uid="{B8A85740-8091-0C4A-9FBF-BD65EB5F86BB}" uniqueName="163" name="Column163" queryTableFieldId="163"/>
    <tableColumn id="164" xr3:uid="{1054353B-9C5F-EB4F-B250-74B4AAECD640}" uniqueName="164" name="Emissions per capita (kg CO2 / capita)" queryTableFieldId="164"/>
    <tableColumn id="165" xr3:uid="{19809869-616A-2D44-BE8D-6ACCCDDE1A0E}" uniqueName="165" name="Thermal uses_79" queryTableFieldId="165"/>
    <tableColumn id="166" xr3:uid="{BED03F66-0109-BA43-955C-858C412A10CA}" uniqueName="166" name="Space heating_80" queryTableFieldId="166"/>
    <tableColumn id="167" xr3:uid="{C1F902CF-D346-F84F-AE60-72F1CB444773}" uniqueName="167" name="Cooling_81" queryTableFieldId="167"/>
    <tableColumn id="168" xr3:uid="{AD2C05DF-8EAF-004D-BC9B-414D8BAAFCA8}" uniqueName="168" name="Water heating_82" queryTableFieldId="168"/>
    <tableColumn id="169" xr3:uid="{7BAEAC49-D90A-B24F-B03F-EBBC39E23BB2}" uniqueName="169" name="Cooking_83" queryTableFieldId="169"/>
    <tableColumn id="170" xr3:uid="{397EE148-3C7B-054F-BB58-3F28D1172A42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69216E1-5F71-9443-A823-D4AD250BB609}" name="RES_summary__4" displayName="RES_summary__4" ref="A1:FN108" tableType="queryTable" totalsRowShown="0">
  <autoFilter ref="A1:FN108" xr:uid="{E69216E1-5F71-9443-A823-D4AD250BB609}"/>
  <tableColumns count="170">
    <tableColumn id="1" xr3:uid="{3775540C-CB94-754B-A0EF-12C2B852CA80}" uniqueName="1" name="BE - Residential sector summary" queryTableFieldId="1"/>
    <tableColumn id="2" xr3:uid="{5433C6A3-D734-3F46-A611-45A3A0D1111A}" uniqueName="2" name="Column2" queryTableFieldId="2"/>
    <tableColumn id="3" xr3:uid="{104E9A41-8D1A-3B43-A861-E07EEEC1C369}" uniqueName="3" name="Household consumption expenditure (M€ at 2015 prices)" queryTableFieldId="3"/>
    <tableColumn id="4" xr3:uid="{BD564D7A-0CAE-0644-8F33-AF13538B3DD1}" uniqueName="4" name="Population (inhabitants)" queryTableFieldId="4"/>
    <tableColumn id="5" xr3:uid="{C5C13A99-AB57-5E46-AC86-45B7305745F0}" uniqueName="5" name="Column5" queryTableFieldId="5"/>
    <tableColumn id="6" xr3:uid="{79EA4036-0BD2-B140-802B-3D9E5FCAEBC3}" uniqueName="6" name="Number of households" queryTableFieldId="6"/>
    <tableColumn id="7" xr3:uid="{029E7CEA-118D-D549-B253-3B9455311E00}" uniqueName="7" name="Total households useful surface area (in thousand sqm)" queryTableFieldId="7"/>
    <tableColumn id="8" xr3:uid="{BD76AC13-926E-C044-9B33-57E24A342A06}" uniqueName="8" name="Number of new and renovated households" queryTableFieldId="8"/>
    <tableColumn id="9" xr3:uid="{1ED0B45E-9372-3842-9771-FC2970D2C7F0}" uniqueName="9" name="New and renovated households useful surface area (in thousand sqm)" queryTableFieldId="9"/>
    <tableColumn id="10" xr3:uid="{226EC6AB-67E9-CF43-8600-AE9A316D284A}" uniqueName="10" name="Column10" queryTableFieldId="10"/>
    <tableColumn id="11" xr3:uid="{5282D638-182D-2048-92A5-147C0CABC4C6}" uniqueName="11" name="Actual heating degree-days" queryTableFieldId="11"/>
    <tableColumn id="12" xr3:uid="{697AB4FB-4B16-4847-A193-44F0EBD59CBB}" uniqueName="12" name="Mean heating degree-days over period 2000 - 2020" queryTableFieldId="12"/>
    <tableColumn id="13" xr3:uid="{997E0FF2-A45B-E241-80FB-7A6A980200C0}" uniqueName="13" name="Relative heating degree-days" queryTableFieldId="13"/>
    <tableColumn id="14" xr3:uid="{578A1091-E8F6-A545-BCA1-1016ED393F1F}" uniqueName="14" name="Column14" queryTableFieldId="14"/>
    <tableColumn id="15" xr3:uid="{67C15689-D526-FA45-BD39-81B60AD8E40E}" uniqueName="15" name="Indicators" queryTableFieldId="15"/>
    <tableColumn id="16" xr3:uid="{B23607F5-B9C2-4241-B25E-CBDD4E0D58A2}" uniqueName="16" name="Column16" queryTableFieldId="16"/>
    <tableColumn id="17" xr3:uid="{A799CC07-5A01-3A45-A2C0-51726F5C9F4C}" uniqueName="17" name="Households size (inhabitants/household)" queryTableFieldId="17"/>
    <tableColumn id="18" xr3:uid="{F561696E-AF23-BA4D-BC85-B15141933AB9}" uniqueName="18" name="Households useful surface area (in sqm/capita)" queryTableFieldId="18"/>
    <tableColumn id="19" xr3:uid="{6D652E3C-C579-1544-AFF5-E68D188262D9}" uniqueName="19" name="Households useful surface area (in sqm/household)" queryTableFieldId="19"/>
    <tableColumn id="20" xr3:uid="{4CD02AB9-8627-084F-A7C2-AF7AA821862D}" uniqueName="20" name="New and renovated households useful surface area (in sqm/capita)" queryTableFieldId="20"/>
    <tableColumn id="21" xr3:uid="{53EBD1F8-9022-CB4F-9118-E671AD4C2163}" uniqueName="21" name="New and renovated households useful surface area (in sqm/household)" queryTableFieldId="21"/>
    <tableColumn id="22" xr3:uid="{73E4AE27-5DBA-7F4D-A3E4-FD6F8E8C50C0}" uniqueName="22" name="Household consumption expenditure per capita (€ at 2015 prices)" queryTableFieldId="22"/>
    <tableColumn id="23" xr3:uid="{C1AA46F5-E98B-6E48-8FD2-CA5A0EB781D6}" uniqueName="23" name="Household consumption expenditure per household (€ at 2015 prices)" queryTableFieldId="23"/>
    <tableColumn id="24" xr3:uid="{BA9FE53E-825A-6249-B005-C0EA68B4916B}" uniqueName="24" name="Consumption expenditure per household relative to the EU average" queryTableFieldId="24"/>
    <tableColumn id="25" xr3:uid="{A6FE06D9-E43B-8D4B-8BA3-93E95184A011}" uniqueName="25" name="Column25" queryTableFieldId="25"/>
    <tableColumn id="26" xr3:uid="{142BC38A-12A1-E94B-A0DC-B8F5CD619D20}" uniqueName="26" name="Energy consumption" queryTableFieldId="26"/>
    <tableColumn id="27" xr3:uid="{1B8DF1CB-8CF4-164F-AE35-4F66149EAD66}" uniqueName="27" name="Column27" queryTableFieldId="27"/>
    <tableColumn id="28" xr3:uid="{816A4BFE-64F9-C243-AA31-AE9A05388E9E}" uniqueName="28" name="Energy consumption by fuel - Eurostat structure (ktoe)" queryTableFieldId="28"/>
    <tableColumn id="29" xr3:uid="{D4BFBBD3-7A5D-A24C-8D6E-6B927491C955}" uniqueName="29" name="Solids" queryTableFieldId="29"/>
    <tableColumn id="30" xr3:uid="{0BA63123-E93C-0149-B720-6B7BAF7DAB8C}" uniqueName="30" name="Liquids" queryTableFieldId="30"/>
    <tableColumn id="31" xr3:uid="{EF19D4B5-129E-3141-AE91-3DF3511BCC7A}" uniqueName="31" name="Liquified petroleum gas (LPG)" queryTableFieldId="31"/>
    <tableColumn id="32" xr3:uid="{BCF9EECC-CA01-DA4D-926E-9EEBF433407F}" uniqueName="32" name="Diesel oil and other liquids (without biofuels)" queryTableFieldId="32"/>
    <tableColumn id="33" xr3:uid="{B4381DE9-7B0E-8C47-BC65-75991DFB2BA3}" uniqueName="33" name="Natural gas" queryTableFieldId="33"/>
    <tableColumn id="34" xr3:uid="{92A23D2E-413C-1A48-9799-BFC25C63BEB4}" uniqueName="34" name="Renewable energies and wastes" queryTableFieldId="34"/>
    <tableColumn id="35" xr3:uid="{B55574FE-E9E1-874F-BDEC-113497A9138A}" uniqueName="35" name="Biomass and waste" queryTableFieldId="35"/>
    <tableColumn id="36" xr3:uid="{015047B5-BCC2-624E-A77C-633ACE9CAFF3}" uniqueName="36" name="Biogas" queryTableFieldId="36"/>
    <tableColumn id="37" xr3:uid="{FE8A2D29-6A50-1346-9585-DC19D0254B10}" uniqueName="37" name="Liquid biofuels" queryTableFieldId="37"/>
    <tableColumn id="38" xr3:uid="{29492574-E2F9-3F43-96DF-9C3D4DA210C2}" uniqueName="38" name="Solar" queryTableFieldId="38"/>
    <tableColumn id="39" xr3:uid="{47142C35-DE7A-4E4F-8D0B-166FDB46F365}" uniqueName="39" name="Geothermal" queryTableFieldId="39"/>
    <tableColumn id="40" xr3:uid="{5D6C1A67-0F45-9B4E-B4D2-467BDA107429}" uniqueName="40" name="Ambient heat" queryTableFieldId="40"/>
    <tableColumn id="41" xr3:uid="{67AF08E0-6002-A542-B8BB-77391FAC3AEB}" uniqueName="41" name="Distributed heat" queryTableFieldId="41"/>
    <tableColumn id="42" xr3:uid="{BB98A5E0-E9BF-BA43-9398-672930DCC907}" uniqueName="42" name="Electricity" queryTableFieldId="42"/>
    <tableColumn id="43" xr3:uid="{A8AFDE7D-01A9-994D-98E3-1145283311F9}" uniqueName="43" name="Column43" queryTableFieldId="43"/>
    <tableColumn id="44" xr3:uid="{71CBD204-165C-A44C-A9F6-F6138A9818EC}" uniqueName="44" name="Energy consumption by end-uses (ktoe)" queryTableFieldId="44"/>
    <tableColumn id="45" xr3:uid="{1F8D0B32-2210-1C44-B76D-DBAC4A412F35}" uniqueName="45" name="Thermal uses" queryTableFieldId="45"/>
    <tableColumn id="46" xr3:uid="{D0D2A60B-E357-9F4A-97B7-B4F6FB11CACB}" uniqueName="46" name="Space heating" queryTableFieldId="46"/>
    <tableColumn id="47" xr3:uid="{E783B972-B05A-7047-9540-0CD8A8FA10B4}" uniqueName="47" name="Cooling" queryTableFieldId="47"/>
    <tableColumn id="48" xr3:uid="{7C58FD94-67D3-2F40-BEB9-CA226314FA2E}" uniqueName="48" name="Water heating" queryTableFieldId="48"/>
    <tableColumn id="49" xr3:uid="{418FEECD-18E5-574F-92B7-98A77705D35D}" uniqueName="49" name="Cooking" queryTableFieldId="49"/>
    <tableColumn id="50" xr3:uid="{C997AE05-8B39-1747-B961-8B9A8D5ECCAC}" uniqueName="50" name="Specific electricity uses (appliances and lighting)" queryTableFieldId="50"/>
    <tableColumn id="51" xr3:uid="{C11A9E59-FE6B-6F42-A053-F9129F918E9A}" uniqueName="51" name="Column51" queryTableFieldId="51"/>
    <tableColumn id="52" xr3:uid="{5BEFEF07-7181-534C-8331-D22B868D6F78}" uniqueName="52" name="Shares of energy consumption in end-uses (in %)" queryTableFieldId="52"/>
    <tableColumn id="53" xr3:uid="{2402403E-2926-DA46-AE06-265D12A1C0D5}" uniqueName="53" name="Thermal uses_1" queryTableFieldId="53"/>
    <tableColumn id="54" xr3:uid="{3874335E-4AE4-4E4C-AF96-50BE57C39F11}" uniqueName="54" name="Space heating_2" queryTableFieldId="54"/>
    <tableColumn id="55" xr3:uid="{B4791845-30EA-3E4A-9963-3DEA48B59C0A}" uniqueName="55" name="Cooling_3" queryTableFieldId="55"/>
    <tableColumn id="56" xr3:uid="{FFAA7F52-8206-FC40-B5E8-E5B229700863}" uniqueName="56" name="Water heating_4" queryTableFieldId="56"/>
    <tableColumn id="57" xr3:uid="{D52EA0AA-511B-E34B-A2E4-CD3364743D7E}" uniqueName="57" name="Cooking_5" queryTableFieldId="57"/>
    <tableColumn id="58" xr3:uid="{4083381F-E754-5B46-82B4-494D9F90CD8A}" uniqueName="58" name="Specific electricity uses (appliances and lighting)_6" queryTableFieldId="58"/>
    <tableColumn id="59" xr3:uid="{D334A4DF-CD62-AD44-BEE2-875D2BFBB725}" uniqueName="59" name="Column59" queryTableFieldId="59"/>
    <tableColumn id="60" xr3:uid="{D873F713-2FA0-464F-BBF9-24D043D0DE69}" uniqueName="60" name="Emissions" queryTableFieldId="60"/>
    <tableColumn id="61" xr3:uid="{337C96BD-7FCC-6D4A-9A65-3C90103216F1}" uniqueName="61" name="Column61" queryTableFieldId="61"/>
    <tableColumn id="62" xr3:uid="{2AABE605-BF93-054A-A364-3DC5F1C7B025}" uniqueName="62" name="Emissions by fuel - Eurostat structure (kt of CO2)" queryTableFieldId="62"/>
    <tableColumn id="63" xr3:uid="{3640748E-BB69-0E40-B9E3-C890FD993840}" uniqueName="63" name="Solids_7" queryTableFieldId="63"/>
    <tableColumn id="64" xr3:uid="{63C6C614-C5E9-9444-8FC1-2DC7DF38CCB7}" uniqueName="64" name="Liquids_8" queryTableFieldId="64"/>
    <tableColumn id="65" xr3:uid="{BB9824E7-EE44-D94D-8222-39D19FAC4644}" uniqueName="65" name="Liquified petroleum gas (LPG)_9" queryTableFieldId="65"/>
    <tableColumn id="66" xr3:uid="{C1EBB636-7B01-CD4D-B630-147E78CC327E}" uniqueName="66" name="Diesel oil and other liquids (without biofuels)_10" queryTableFieldId="66"/>
    <tableColumn id="67" xr3:uid="{328065E8-5D56-6C43-85D4-6A31DE5EC28A}" uniqueName="67" name="Natural gas_11" queryTableFieldId="67"/>
    <tableColumn id="68" xr3:uid="{2BA7DC27-CF28-304B-ACC1-D68461C31C07}" uniqueName="68" name="Renewable energies and wastes_12" queryTableFieldId="68"/>
    <tableColumn id="69" xr3:uid="{4D74DAAA-7918-334C-8FC4-8CC27350F01B}" uniqueName="69" name="Biomass and waste_13" queryTableFieldId="69"/>
    <tableColumn id="70" xr3:uid="{41E8B1C8-987A-5E48-ABF2-7BBAB3F93C12}" uniqueName="70" name="Biogas_14" queryTableFieldId="70"/>
    <tableColumn id="71" xr3:uid="{727F824D-5F4E-D343-B1AB-4065C3B4E927}" uniqueName="71" name="Liquid biofuels_15" queryTableFieldId="71"/>
    <tableColumn id="72" xr3:uid="{0A5AC469-4427-E246-AB57-565FEE921254}" uniqueName="72" name="Solar_16" queryTableFieldId="72"/>
    <tableColumn id="73" xr3:uid="{C218C928-333A-784A-BE6A-3EF9BB99E27A}" uniqueName="73" name="Geothermal_17" queryTableFieldId="73"/>
    <tableColumn id="74" xr3:uid="{65230DBC-5D3C-EB47-85FA-4A421E41D923}" uniqueName="74" name="Ambient heat_18" queryTableFieldId="74"/>
    <tableColumn id="75" xr3:uid="{6618720F-9A70-6445-A8F1-B3DA066A8A88}" uniqueName="75" name="Distributed heat_19" queryTableFieldId="75"/>
    <tableColumn id="76" xr3:uid="{FB7FB595-1A60-BB4F-BB31-819829F09362}" uniqueName="76" name="Electricity_20" queryTableFieldId="76"/>
    <tableColumn id="77" xr3:uid="{7AFB7966-9A4D-A84A-B633-AED4225E3482}" uniqueName="77" name="Column77" queryTableFieldId="77"/>
    <tableColumn id="78" xr3:uid="{AE780B98-1719-B14B-87FC-3296DAF8BB5F}" uniqueName="78" name="Emissions by end-uses (kt of CO2)" queryTableFieldId="78"/>
    <tableColumn id="79" xr3:uid="{8E49D82F-BABC-C34F-BD44-5D24A1E49F5B}" uniqueName="79" name="Thermal uses_21" queryTableFieldId="79"/>
    <tableColumn id="80" xr3:uid="{9BA3E468-D954-D949-999E-650C7770E9B3}" uniqueName="80" name="Space heating_22" queryTableFieldId="80"/>
    <tableColumn id="81" xr3:uid="{E74D838B-F6D4-C74A-94AD-6542CE3BBF76}" uniqueName="81" name="Cooling_23" queryTableFieldId="81"/>
    <tableColumn id="82" xr3:uid="{EE9D7B87-01A3-B149-933C-EEA2B7CCC1E7}" uniqueName="82" name="Water heating_24" queryTableFieldId="82"/>
    <tableColumn id="83" xr3:uid="{654AF0F7-CF82-8943-B9EB-CF561FAE28D3}" uniqueName="83" name="Cooking_25" queryTableFieldId="83"/>
    <tableColumn id="84" xr3:uid="{979556CB-2346-7746-9517-F5B2C75FBAE2}" uniqueName="84" name="Specific electricity uses (appliances and lighting)_26" queryTableFieldId="84"/>
    <tableColumn id="85" xr3:uid="{53F137EC-3E52-E945-826A-5DD1938FE129}" uniqueName="85" name="Column85" queryTableFieldId="85"/>
    <tableColumn id="86" xr3:uid="{A4ED674F-60E9-454D-93BC-EBB814983DA1}" uniqueName="86" name="Share of emissions in end-uses (in %)" queryTableFieldId="86"/>
    <tableColumn id="87" xr3:uid="{16B678B2-5B61-5C47-AE0E-08F0DC2B8244}" uniqueName="87" name="Thermal uses_27" queryTableFieldId="87"/>
    <tableColumn id="88" xr3:uid="{21C3EEFB-BFB5-DC40-9BB8-0C58B9D13508}" uniqueName="88" name="Space heating_28" queryTableFieldId="88"/>
    <tableColumn id="89" xr3:uid="{CA81F2E2-A4FC-AA4E-8E6D-969F5A279F99}" uniqueName="89" name="Cooling_29" queryTableFieldId="89"/>
    <tableColumn id="90" xr3:uid="{3B95CB74-CAE9-1E4D-8CA7-D8E8C1FEFF44}" uniqueName="90" name="Water heating_30" queryTableFieldId="90"/>
    <tableColumn id="91" xr3:uid="{03A70614-E4CB-DB40-9CA2-23CBF150C00C}" uniqueName="91" name="Cooking_31" queryTableFieldId="91"/>
    <tableColumn id="92" xr3:uid="{4C6B0319-4943-9946-A3C9-A61EDBF23257}" uniqueName="92" name="Specific electricity uses (appliances and lighting)_32" queryTableFieldId="92"/>
    <tableColumn id="93" xr3:uid="{557650AD-F979-514B-B5A2-229F8985156F}" uniqueName="93" name="Column93" queryTableFieldId="93"/>
    <tableColumn id="94" xr3:uid="{856F6BF4-1BC2-4E44-B565-C6818CCFD8C0}" uniqueName="94" name="Additional household indicators" queryTableFieldId="94"/>
    <tableColumn id="95" xr3:uid="{224D4EA9-217C-D048-8755-0879B4606B2E}" uniqueName="95" name="Column95" queryTableFieldId="95"/>
    <tableColumn id="96" xr3:uid="{57E07D70-6511-1F47-8412-3329DD47F0AC}" uniqueName="96" name="Energy consumption per household (kWh / household)" queryTableFieldId="96"/>
    <tableColumn id="97" xr3:uid="{56CB24C2-A9F4-204A-A1BE-AED56EA08D0B}" uniqueName="97" name="Thermal uses_33" queryTableFieldId="97"/>
    <tableColumn id="98" xr3:uid="{421D84E5-4775-4340-98B2-C937F76E21D3}" uniqueName="98" name="Space heating_34" queryTableFieldId="98"/>
    <tableColumn id="99" xr3:uid="{43C2EB9E-2297-C342-BF41-C19D150A7383}" uniqueName="99" name="Cooling_35" queryTableFieldId="99"/>
    <tableColumn id="100" xr3:uid="{4DD99B32-A626-8544-9853-06E98B843528}" uniqueName="100" name="Water heating_36" queryTableFieldId="100"/>
    <tableColumn id="101" xr3:uid="{359DDEEE-C8D1-084D-9B9A-099A4662B8F2}" uniqueName="101" name="Cooking_37" queryTableFieldId="101"/>
    <tableColumn id="102" xr3:uid="{4378F712-47FE-584A-A5FB-343F6EE2AE0B}" uniqueName="102" name="Specific electricity uses (appliances and lighting)_38" queryTableFieldId="102"/>
    <tableColumn id="103" xr3:uid="{CDF92757-2EC0-4542-B7F7-16ED9F9A99F2}" uniqueName="103" name="Column103" queryTableFieldId="103"/>
    <tableColumn id="104" xr3:uid="{97D86E51-6042-BD49-B735-EF3F885D1EC3}" uniqueName="104" name="Thermal energy service per household (kWh useful / household)" queryTableFieldId="104"/>
    <tableColumn id="105" xr3:uid="{261E3C55-BCAD-5B4E-BF8A-ED6CB179A86A}" uniqueName="105" name="Space heating_39" queryTableFieldId="105"/>
    <tableColumn id="106" xr3:uid="{6BFA4D97-EDCA-614B-8600-37CD859AC7FB}" uniqueName="106" name="Cooling_40" queryTableFieldId="106"/>
    <tableColumn id="107" xr3:uid="{3F52A13F-8BBE-7041-B20F-AA07FE37F886}" uniqueName="107" name="Water heating_41" queryTableFieldId="107"/>
    <tableColumn id="108" xr3:uid="{A42FB47A-38E2-1942-82B5-30F4C5357F86}" uniqueName="108" name="Cooking_42" queryTableFieldId="108"/>
    <tableColumn id="109" xr3:uid="{F3984530-45C5-044D-8BEC-8C8B964CB2BA}" uniqueName="109" name="Column109" queryTableFieldId="109"/>
    <tableColumn id="110" xr3:uid="{FC9C52A1-6378-6B4D-A233-A06EFA6E2A3E}" uniqueName="110" name="Emissions per household (kg CO2 / household)" queryTableFieldId="110"/>
    <tableColumn id="111" xr3:uid="{9E894077-3C31-2747-BF65-355E0557668B}" uniqueName="111" name="Thermal uses_43" queryTableFieldId="111"/>
    <tableColumn id="112" xr3:uid="{32349D72-E072-C14C-82D4-8B3B0C22C594}" uniqueName="112" name="Space heating_44" queryTableFieldId="112"/>
    <tableColumn id="113" xr3:uid="{77BA584D-AA95-9C4A-83D5-C29E8C780143}" uniqueName="113" name="Cooling_45" queryTableFieldId="113"/>
    <tableColumn id="114" xr3:uid="{A85F03A5-F747-6344-9C48-4753F1B5D7B3}" uniqueName="114" name="Water heating_46" queryTableFieldId="114"/>
    <tableColumn id="115" xr3:uid="{6245408D-8E5A-EB4A-9796-F25C7350CE4A}" uniqueName="115" name="Cooking_47" queryTableFieldId="115"/>
    <tableColumn id="116" xr3:uid="{DE09B23A-0AEC-2349-AE35-E0D9CF06C35C}" uniqueName="116" name="Specific electricity uses (appliances and lighting)_48" queryTableFieldId="116"/>
    <tableColumn id="117" xr3:uid="{2FC5A861-B253-6A47-9607-176DA272EBA7}" uniqueName="117" name="Column117" queryTableFieldId="117"/>
    <tableColumn id="118" xr3:uid="{D6246745-F74E-5B40-9ABC-1B9F34DD6403}" uniqueName="118" name="Ratio of energy service to energy consumption (system efficiency indicator)" queryTableFieldId="118"/>
    <tableColumn id="119" xr3:uid="{19BC5F3A-2AED-5846-B283-AA2E7B813F44}" uniqueName="119" name="Space heating_49" queryTableFieldId="119"/>
    <tableColumn id="120" xr3:uid="{D77E2342-9DCF-5747-83ED-8E8F94735DB8}" uniqueName="120" name="Cooling_50" queryTableFieldId="120"/>
    <tableColumn id="121" xr3:uid="{27088B90-14B0-A843-81ED-BB3DAF2D3AE5}" uniqueName="121" name="Water heating_51" queryTableFieldId="121"/>
    <tableColumn id="122" xr3:uid="{5755D1B5-07DF-4D4F-BDB0-E8588BCD3F4B}" uniqueName="122" name="Cooking_52" queryTableFieldId="122"/>
    <tableColumn id="123" xr3:uid="{624A612D-D902-EE45-B6B6-F0FF0359989A}" uniqueName="123" name="Column123" queryTableFieldId="123"/>
    <tableColumn id="124" xr3:uid="{7A126293-DA14-254F-8D56-321BDDA74683}" uniqueName="124" name="Column124" queryTableFieldId="124"/>
    <tableColumn id="125" xr3:uid="{82595BE8-75A2-EF4E-9B6D-081C9ED43AEA}" uniqueName="125" name="Column125" queryTableFieldId="125"/>
    <tableColumn id="126" xr3:uid="{4F7856CC-8F6C-6E41-89DA-309D1E267716}" uniqueName="126" name="Energy consumption per surface area (kWh / sqm)" queryTableFieldId="126"/>
    <tableColumn id="127" xr3:uid="{3F58302A-F446-F64E-A154-4F22C5441000}" uniqueName="127" name="Thermal uses_53" queryTableFieldId="127"/>
    <tableColumn id="128" xr3:uid="{9659B57C-69C2-E545-B7A2-DFFF64183CE8}" uniqueName="128" name="Space heating_54" queryTableFieldId="128"/>
    <tableColumn id="129" xr3:uid="{D765FDD0-5FA0-7D40-A8AF-23EE12B38D23}" uniqueName="129" name="Cooling_55" queryTableFieldId="129"/>
    <tableColumn id="130" xr3:uid="{67DB3E25-F267-0344-BB75-33176EC9593A}" uniqueName="130" name="Water heating_56" queryTableFieldId="130"/>
    <tableColumn id="131" xr3:uid="{753B2C77-8033-5D4E-B3DE-599E49B8E904}" uniqueName="131" name="Cooking_57" queryTableFieldId="131"/>
    <tableColumn id="132" xr3:uid="{CA66039C-3051-AB40-BB7F-F0462D6BE68F}" uniqueName="132" name="Specific electricity uses (appliances and lighting)_58" queryTableFieldId="132"/>
    <tableColumn id="133" xr3:uid="{A5B021FF-B187-8344-B1DA-11653C8CDD63}" uniqueName="133" name="Column133" queryTableFieldId="133"/>
    <tableColumn id="134" xr3:uid="{235F5359-FC06-014F-9BD4-5D0C2EEBB729}" uniqueName="134" name="Thermal energy service per surface area (kWh useful / sqm)" queryTableFieldId="134"/>
    <tableColumn id="135" xr3:uid="{350995BE-BA3D-C240-AC09-7D1A6B37CAE0}" uniqueName="135" name="Space heating_59" queryTableFieldId="135"/>
    <tableColumn id="136" xr3:uid="{1043093C-9079-C54D-8E30-E4AED0A5C939}" uniqueName="136" name="Cooling_60" queryTableFieldId="136"/>
    <tableColumn id="137" xr3:uid="{899383BA-ABDF-4140-BD22-FE8D13452BC5}" uniqueName="137" name="Water heating_61" queryTableFieldId="137"/>
    <tableColumn id="138" xr3:uid="{FA86272F-4332-C644-95E4-65FCE262829B}" uniqueName="138" name="Cooking_62" queryTableFieldId="138"/>
    <tableColumn id="139" xr3:uid="{7DAC0DB9-4847-8245-814C-543E9DE94E51}" uniqueName="139" name="Column139" queryTableFieldId="139"/>
    <tableColumn id="140" xr3:uid="{F3321C30-4919-6549-B568-E3C2DE9BBFAF}" uniqueName="140" name="Emissions per surface area (kg CO2 / sqm)" queryTableFieldId="140"/>
    <tableColumn id="141" xr3:uid="{8C7EDCF6-0447-CE40-B736-9DB8E66DE5FD}" uniqueName="141" name="Thermal uses_63" queryTableFieldId="141"/>
    <tableColumn id="142" xr3:uid="{71C7751F-8BD5-7640-9874-5EDEAA4F1F2D}" uniqueName="142" name="Space heating_64" queryTableFieldId="142"/>
    <tableColumn id="143" xr3:uid="{171A59EE-1C87-804C-BFCF-F36208D6B307}" uniqueName="143" name="Cooling_65" queryTableFieldId="143"/>
    <tableColumn id="144" xr3:uid="{F7F74944-811A-4E4C-81E5-6F6CAE985810}" uniqueName="144" name="Water heating_66" queryTableFieldId="144"/>
    <tableColumn id="145" xr3:uid="{8634AF64-E966-0347-B226-991C60B45377}" uniqueName="145" name="Cooking_67" queryTableFieldId="145"/>
    <tableColumn id="146" xr3:uid="{85C3CAB7-A344-CD45-972F-3985F347E67E}" uniqueName="146" name="Specific electricity uses (appliances and lighting)_68" queryTableFieldId="146"/>
    <tableColumn id="147" xr3:uid="{C95F6C04-DA9B-4947-84A1-03FB82B7307F}" uniqueName="147" name="Column147" queryTableFieldId="147"/>
    <tableColumn id="148" xr3:uid="{4EE0D4A7-AA24-F54B-BEFB-C209D60A5101}" uniqueName="148" name="Column148" queryTableFieldId="148"/>
    <tableColumn id="149" xr3:uid="{053DFA06-AF9A-F748-9567-765594A13868}" uniqueName="149" name="Column149" queryTableFieldId="149"/>
    <tableColumn id="150" xr3:uid="{72827AAD-D80F-2E41-B624-31FC0C7617A5}" uniqueName="150" name="Energy consumption per capita (kWh / capita)" queryTableFieldId="150"/>
    <tableColumn id="151" xr3:uid="{7DFE8837-70CD-4B44-8E66-7A575C7AD768}" uniqueName="151" name="Thermal uses_69" queryTableFieldId="151"/>
    <tableColumn id="152" xr3:uid="{6F313220-83FB-2349-9AAE-80944C84E964}" uniqueName="152" name="Space heating_70" queryTableFieldId="152"/>
    <tableColumn id="153" xr3:uid="{0ECBF927-EED2-7F4D-B119-5D9A25CB7CA6}" uniqueName="153" name="Cooling_71" queryTableFieldId="153"/>
    <tableColumn id="154" xr3:uid="{8BCB0E0B-BB57-7A4D-ADEC-204C186283E4}" uniqueName="154" name="Water heating_72" queryTableFieldId="154"/>
    <tableColumn id="155" xr3:uid="{17047768-A051-FD40-8499-4E947B5ECB86}" uniqueName="155" name="Cooking_73" queryTableFieldId="155"/>
    <tableColumn id="156" xr3:uid="{569A75BB-864A-644F-9A57-8D18F5CFDF66}" uniqueName="156" name="Specific electricity uses (appliances and lighting)_74" queryTableFieldId="156"/>
    <tableColumn id="157" xr3:uid="{C464026D-778D-2C45-89AA-B5CF82C62729}" uniqueName="157" name="Column157" queryTableFieldId="157"/>
    <tableColumn id="158" xr3:uid="{EAF9A278-53DA-C342-ACA6-FA2D90D6B0AB}" uniqueName="158" name="Thermal energy service per capita (kWh useful / capita)" queryTableFieldId="158"/>
    <tableColumn id="159" xr3:uid="{CFC11A37-640F-834C-8696-15EFF6659570}" uniqueName="159" name="Space heating_75" queryTableFieldId="159"/>
    <tableColumn id="160" xr3:uid="{4A42FD77-EA14-3F4F-A371-7BAC07E19AFF}" uniqueName="160" name="Cooling_76" queryTableFieldId="160"/>
    <tableColumn id="161" xr3:uid="{3D48091A-3A0E-5547-851A-508094C6C0A9}" uniqueName="161" name="Water heating_77" queryTableFieldId="161"/>
    <tableColumn id="162" xr3:uid="{E5ADAB90-D8EC-334D-AC3B-94BAD8D10EFA}" uniqueName="162" name="Cooking_78" queryTableFieldId="162"/>
    <tableColumn id="163" xr3:uid="{94D66FBE-F1D2-884E-8525-13F361430FCB}" uniqueName="163" name="Column163" queryTableFieldId="163"/>
    <tableColumn id="164" xr3:uid="{C15DA975-CC53-8F40-B9A0-704A280A32F3}" uniqueName="164" name="Emissions per capita (kg CO2 / capita)" queryTableFieldId="164"/>
    <tableColumn id="165" xr3:uid="{65CDA813-1FC8-CC4F-9C07-E6088254FCEA}" uniqueName="165" name="Thermal uses_79" queryTableFieldId="165"/>
    <tableColumn id="166" xr3:uid="{F20AAF7C-E48E-A846-88A8-3153E1A34E6B}" uniqueName="166" name="Space heating_80" queryTableFieldId="166"/>
    <tableColumn id="167" xr3:uid="{0233A4D5-B95D-9B45-82F0-99070EE2AD33}" uniqueName="167" name="Cooling_81" queryTableFieldId="167"/>
    <tableColumn id="168" xr3:uid="{C647FD2A-31B8-5247-8097-2DA59E70E228}" uniqueName="168" name="Water heating_82" queryTableFieldId="168"/>
    <tableColumn id="169" xr3:uid="{A0950844-2BAE-E144-9EFB-BDA8F7A61C78}" uniqueName="169" name="Cooking_83" queryTableFieldId="169"/>
    <tableColumn id="170" xr3:uid="{2983A897-13AA-AF40-8473-71875F6CFFDE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32855D8-ED0D-C443-953E-8D1D9EFCC016}" name="RES_summary__2" displayName="RES_summary__2" ref="A1:FN108" tableType="queryTable" totalsRowShown="0">
  <autoFilter ref="A1:FN108" xr:uid="{632855D8-ED0D-C443-953E-8D1D9EFCC016}"/>
  <tableColumns count="170">
    <tableColumn id="1" xr3:uid="{18C48314-F3BE-D544-86F4-E5FEB58FBF90}" uniqueName="1" name="DE - Residential sector summary" queryTableFieldId="1"/>
    <tableColumn id="2" xr3:uid="{A105C825-CD16-B149-BB31-8375FD07B86F}" uniqueName="2" name="Column2" queryTableFieldId="2"/>
    <tableColumn id="3" xr3:uid="{9DBD4ECC-BEC2-854F-9FDB-EECC28504C31}" uniqueName="3" name="Household consumption expenditure (M€ at 2015 prices)" queryTableFieldId="3"/>
    <tableColumn id="4" xr3:uid="{81CB542B-3ABA-F742-952C-2AC7A477E337}" uniqueName="4" name="Population (inhabitants)" queryTableFieldId="4"/>
    <tableColumn id="5" xr3:uid="{4A1B3361-5E9F-F24E-9A39-3C8AE59F7C66}" uniqueName="5" name="Column5" queryTableFieldId="5"/>
    <tableColumn id="6" xr3:uid="{3F9291AE-B422-CF4E-B470-41758E1C3512}" uniqueName="6" name="Number of households" queryTableFieldId="6"/>
    <tableColumn id="7" xr3:uid="{09F206B5-6B74-CE45-AAF6-690FA0D72329}" uniqueName="7" name="Total households useful surface area (in thousand sqm)" queryTableFieldId="7"/>
    <tableColumn id="8" xr3:uid="{72F9A0DC-E8F9-A245-B9E7-63412664C70C}" uniqueName="8" name="Number of new and renovated households" queryTableFieldId="8"/>
    <tableColumn id="9" xr3:uid="{16A4B61D-52EE-F64E-8F48-9091C353402D}" uniqueName="9" name="New and renovated households useful surface area (in thousand sqm)" queryTableFieldId="9"/>
    <tableColumn id="10" xr3:uid="{55383288-7103-954A-A242-1CB02724B45B}" uniqueName="10" name="Column10" queryTableFieldId="10"/>
    <tableColumn id="11" xr3:uid="{734EC843-81CA-834E-AD2D-CAB149BD29E8}" uniqueName="11" name="Actual heating degree-days" queryTableFieldId="11"/>
    <tableColumn id="12" xr3:uid="{2CF33CDA-7B85-1242-A829-2C5884A35AD6}" uniqueName="12" name="Mean heating degree-days over period 2000 - 2020" queryTableFieldId="12"/>
    <tableColumn id="13" xr3:uid="{F457C642-5FFE-1943-9395-C151B4C4EB69}" uniqueName="13" name="Relative heating degree-days" queryTableFieldId="13"/>
    <tableColumn id="14" xr3:uid="{2A996816-AF01-2647-A8CD-CAD64C8D70E0}" uniqueName="14" name="Column14" queryTableFieldId="14"/>
    <tableColumn id="15" xr3:uid="{DB0B47FC-4D70-8F4E-AC78-DB533182C8AD}" uniqueName="15" name="Indicators" queryTableFieldId="15"/>
    <tableColumn id="16" xr3:uid="{3DD9B557-69F9-494B-B253-BFE7A039013C}" uniqueName="16" name="Column16" queryTableFieldId="16"/>
    <tableColumn id="17" xr3:uid="{5A8A828D-4DAE-844B-9247-7A952771EF81}" uniqueName="17" name="Households size (inhabitants/household)" queryTableFieldId="17"/>
    <tableColumn id="18" xr3:uid="{D8EE41DE-7A45-E64E-A963-7FEEE9C1E0EF}" uniqueName="18" name="Households useful surface area (in sqm/capita)" queryTableFieldId="18"/>
    <tableColumn id="19" xr3:uid="{6A8BCCC9-BC49-3B42-AFAD-A6FAB9EB8F14}" uniqueName="19" name="Households useful surface area (in sqm/household)" queryTableFieldId="19"/>
    <tableColumn id="20" xr3:uid="{57665B2B-FEBC-E944-8BA0-1FB3727DB1F1}" uniqueName="20" name="New and renovated households useful surface area (in sqm/capita)" queryTableFieldId="20"/>
    <tableColumn id="21" xr3:uid="{D8E53062-4A5C-9C48-BBA4-08FB0F2959AB}" uniqueName="21" name="New and renovated households useful surface area (in sqm/household)" queryTableFieldId="21"/>
    <tableColumn id="22" xr3:uid="{019276D9-D0A0-2244-B2F6-5DE7790D52EC}" uniqueName="22" name="Household consumption expenditure per capita (€ at 2015 prices)" queryTableFieldId="22"/>
    <tableColumn id="23" xr3:uid="{7D90BF95-F075-2144-A3B7-E1EC98A76322}" uniqueName="23" name="Household consumption expenditure per household (€ at 2015 prices)" queryTableFieldId="23"/>
    <tableColumn id="24" xr3:uid="{6BE70F11-25DA-2040-96BA-AB9134497030}" uniqueName="24" name="Consumption expenditure per household relative to the EU average" queryTableFieldId="24"/>
    <tableColumn id="25" xr3:uid="{9432FDF7-93BF-4E44-8A88-6B1F81105081}" uniqueName="25" name="Column25" queryTableFieldId="25"/>
    <tableColumn id="26" xr3:uid="{B4AD36E6-71CD-894B-9A3C-6A11C1497477}" uniqueName="26" name="Energy consumption" queryTableFieldId="26"/>
    <tableColumn id="27" xr3:uid="{BE0B96C2-D095-8243-B993-3FE4633278EE}" uniqueName="27" name="Column27" queryTableFieldId="27"/>
    <tableColumn id="28" xr3:uid="{240C2542-F3B9-F24E-9DF8-67F820D3FD27}" uniqueName="28" name="Energy consumption by fuel - Eurostat structure (ktoe)" queryTableFieldId="28"/>
    <tableColumn id="29" xr3:uid="{592E48EF-E510-7C4F-A8CE-9D3FD1E41FE8}" uniqueName="29" name="Solids" queryTableFieldId="29"/>
    <tableColumn id="30" xr3:uid="{16DD6ACA-964A-314E-B9A0-B4B615DD1930}" uniqueName="30" name="Liquids" queryTableFieldId="30"/>
    <tableColumn id="31" xr3:uid="{5B0268D5-7558-DA45-BA4C-10494411CACE}" uniqueName="31" name="Liquified petroleum gas (LPG)" queryTableFieldId="31"/>
    <tableColumn id="32" xr3:uid="{9861FE1A-1F05-2B4A-938C-797886C2435A}" uniqueName="32" name="Diesel oil and other liquids (without biofuels)" queryTableFieldId="32"/>
    <tableColumn id="33" xr3:uid="{CCF1E80C-E2B8-B54F-B903-BF6824300535}" uniqueName="33" name="Natural gas" queryTableFieldId="33"/>
    <tableColumn id="34" xr3:uid="{5BA355E1-3BE7-7246-8303-4F76A8C3EF27}" uniqueName="34" name="Renewable energies and wastes" queryTableFieldId="34"/>
    <tableColumn id="35" xr3:uid="{E1FE8127-37F7-BA4E-A2ED-D4780D314ABC}" uniqueName="35" name="Biomass and waste" queryTableFieldId="35"/>
    <tableColumn id="36" xr3:uid="{0136BCCD-08CD-CC46-8E09-15C9410FC46D}" uniqueName="36" name="Biogas" queryTableFieldId="36"/>
    <tableColumn id="37" xr3:uid="{9F3F2661-AEE3-A24B-BC9E-8C305676911B}" uniqueName="37" name="Liquid biofuels" queryTableFieldId="37"/>
    <tableColumn id="38" xr3:uid="{7A8460FF-F468-454F-9A31-7FA4B8F3FFAA}" uniqueName="38" name="Solar" queryTableFieldId="38"/>
    <tableColumn id="39" xr3:uid="{43E74994-74C0-7B48-8866-422B1AA40377}" uniqueName="39" name="Geothermal" queryTableFieldId="39"/>
    <tableColumn id="40" xr3:uid="{075C6B98-026F-9E4E-A7F7-B3939F585732}" uniqueName="40" name="Ambient heat" queryTableFieldId="40"/>
    <tableColumn id="41" xr3:uid="{B11A5D65-A3C9-A94B-8EE2-4E30B17E86CF}" uniqueName="41" name="Distributed heat" queryTableFieldId="41"/>
    <tableColumn id="42" xr3:uid="{E21DD9C2-63FB-0041-8289-1006E54F8E05}" uniqueName="42" name="Electricity" queryTableFieldId="42"/>
    <tableColumn id="43" xr3:uid="{E569E062-5A83-DE40-9DE5-4AC217CC31E5}" uniqueName="43" name="Column43" queryTableFieldId="43"/>
    <tableColumn id="44" xr3:uid="{79253CC6-65D7-0B45-839E-65512FD0EF7C}" uniqueName="44" name="Energy consumption by end-uses (ktoe)" queryTableFieldId="44"/>
    <tableColumn id="45" xr3:uid="{912D67C8-1E67-F241-BF83-AF58851F7FC6}" uniqueName="45" name="Thermal uses" queryTableFieldId="45"/>
    <tableColumn id="46" xr3:uid="{83B87B42-1978-134E-AF5C-DF560DDF5938}" uniqueName="46" name="Space heating" queryTableFieldId="46"/>
    <tableColumn id="47" xr3:uid="{131488F8-CBEE-6E4B-935F-A6548B989ED1}" uniqueName="47" name="Cooling" queryTableFieldId="47"/>
    <tableColumn id="48" xr3:uid="{D2B616F4-A325-8A44-8DAA-E8AFCE81BB31}" uniqueName="48" name="Water heating" queryTableFieldId="48"/>
    <tableColumn id="49" xr3:uid="{06DCF28E-8456-1841-B7EA-FE975B69A871}" uniqueName="49" name="Cooking" queryTableFieldId="49"/>
    <tableColumn id="50" xr3:uid="{F2299A4C-4CD8-6247-944E-A7F900B43C29}" uniqueName="50" name="Specific electricity uses (appliances and lighting)" queryTableFieldId="50"/>
    <tableColumn id="51" xr3:uid="{6E9B951D-DD16-1041-A3BE-5A5F2125BCCE}" uniqueName="51" name="Column51" queryTableFieldId="51"/>
    <tableColumn id="52" xr3:uid="{D5D3353D-3FF6-E142-8F70-4DFB7CF3E914}" uniqueName="52" name="Shares of energy consumption in end-uses (in %)" queryTableFieldId="52"/>
    <tableColumn id="53" xr3:uid="{E2534C1D-C01F-1244-9DAC-E3F9931AC9DA}" uniqueName="53" name="Thermal uses_1" queryTableFieldId="53"/>
    <tableColumn id="54" xr3:uid="{DCF7DB08-F612-D84C-9A8B-42BA02DAE682}" uniqueName="54" name="Space heating_2" queryTableFieldId="54"/>
    <tableColumn id="55" xr3:uid="{B0AA52B9-75D9-674C-81ED-393081D69EED}" uniqueName="55" name="Cooling_3" queryTableFieldId="55"/>
    <tableColumn id="56" xr3:uid="{3EA3BDFB-C76F-1942-8164-E81304C05A80}" uniqueName="56" name="Water heating_4" queryTableFieldId="56"/>
    <tableColumn id="57" xr3:uid="{0CE41E81-B89C-6847-AC42-487FA02A50F7}" uniqueName="57" name="Cooking_5" queryTableFieldId="57"/>
    <tableColumn id="58" xr3:uid="{79A92617-9067-1847-818B-F428D9139607}" uniqueName="58" name="Specific electricity uses (appliances and lighting)_6" queryTableFieldId="58"/>
    <tableColumn id="59" xr3:uid="{8164E82A-639E-6446-8A60-781ADE84274F}" uniqueName="59" name="Column59" queryTableFieldId="59"/>
    <tableColumn id="60" xr3:uid="{9242C9C6-4F03-BD42-81ED-03420FA73CD7}" uniqueName="60" name="Emissions" queryTableFieldId="60"/>
    <tableColumn id="61" xr3:uid="{C3137BB3-BE4F-8341-80A6-AB7F9F0B5BED}" uniqueName="61" name="Column61" queryTableFieldId="61"/>
    <tableColumn id="62" xr3:uid="{4F5711F8-3DEF-B24E-9999-16348E43F7CE}" uniqueName="62" name="Emissions by fuel - Eurostat structure (kt of CO2)" queryTableFieldId="62"/>
    <tableColumn id="63" xr3:uid="{97C4BC9C-6D79-0746-A4D8-8C081D5E2AE1}" uniqueName="63" name="Solids_7" queryTableFieldId="63"/>
    <tableColumn id="64" xr3:uid="{1E560703-78C7-E046-BDEA-862F3FFCF113}" uniqueName="64" name="Liquids_8" queryTableFieldId="64"/>
    <tableColumn id="65" xr3:uid="{BA5F7FE3-661F-CA46-9A7A-E3D5D49091C0}" uniqueName="65" name="Liquified petroleum gas (LPG)_9" queryTableFieldId="65"/>
    <tableColumn id="66" xr3:uid="{7A1B2AF1-D8DD-AD41-B465-CAD157029C1D}" uniqueName="66" name="Diesel oil and other liquids (without biofuels)_10" queryTableFieldId="66"/>
    <tableColumn id="67" xr3:uid="{2666A93F-B30D-F244-A3E7-2B338E88E7D8}" uniqueName="67" name="Natural gas_11" queryTableFieldId="67"/>
    <tableColumn id="68" xr3:uid="{3864942B-CBA6-0A46-8E38-E3A9DE14B942}" uniqueName="68" name="Renewable energies and wastes_12" queryTableFieldId="68"/>
    <tableColumn id="69" xr3:uid="{FEADFC47-0769-AF4D-9667-5A921829EF89}" uniqueName="69" name="Biomass and waste_13" queryTableFieldId="69"/>
    <tableColumn id="70" xr3:uid="{5F2DF370-F939-AA40-A1EE-93B87637DEDE}" uniqueName="70" name="Biogas_14" queryTableFieldId="70"/>
    <tableColumn id="71" xr3:uid="{8253ACC6-37B5-5240-A947-934C8A9BAA10}" uniqueName="71" name="Liquid biofuels_15" queryTableFieldId="71"/>
    <tableColumn id="72" xr3:uid="{8780D505-3FAE-924D-9AB3-54EA1CBF1B34}" uniqueName="72" name="Solar_16" queryTableFieldId="72"/>
    <tableColumn id="73" xr3:uid="{FC442BD6-04D0-0048-BB6D-E69B9361B97C}" uniqueName="73" name="Geothermal_17" queryTableFieldId="73"/>
    <tableColumn id="74" xr3:uid="{072ECD1A-B86A-9148-B73D-8E5F9859C829}" uniqueName="74" name="Ambient heat_18" queryTableFieldId="74"/>
    <tableColumn id="75" xr3:uid="{94BFBC78-531F-504C-B95F-46E8577133FB}" uniqueName="75" name="Distributed heat_19" queryTableFieldId="75"/>
    <tableColumn id="76" xr3:uid="{13B27345-A674-3744-BC26-F21367663169}" uniqueName="76" name="Electricity_20" queryTableFieldId="76"/>
    <tableColumn id="77" xr3:uid="{B1DB4714-55F9-BE40-B869-01D32054D8F8}" uniqueName="77" name="Column77" queryTableFieldId="77"/>
    <tableColumn id="78" xr3:uid="{4FE932DF-ECC1-4D44-ABD4-8A6D5702F232}" uniqueName="78" name="Emissions by end-uses (kt of CO2)" queryTableFieldId="78"/>
    <tableColumn id="79" xr3:uid="{E1C9F791-21D5-2E43-9F4F-93FC6271DD5F}" uniqueName="79" name="Thermal uses_21" queryTableFieldId="79"/>
    <tableColumn id="80" xr3:uid="{CCB1F262-368A-604A-85EF-3745154F345D}" uniqueName="80" name="Space heating_22" queryTableFieldId="80"/>
    <tableColumn id="81" xr3:uid="{80C39CDD-DE12-1444-B071-6CB6DDC012A1}" uniqueName="81" name="Cooling_23" queryTableFieldId="81"/>
    <tableColumn id="82" xr3:uid="{5445E278-B599-DA44-9A8D-343D3976F654}" uniqueName="82" name="Water heating_24" queryTableFieldId="82"/>
    <tableColumn id="83" xr3:uid="{FDD523AE-2DD9-8441-986F-447EF626359B}" uniqueName="83" name="Cooking_25" queryTableFieldId="83"/>
    <tableColumn id="84" xr3:uid="{79251C1C-F4C8-A342-B720-136020199DEF}" uniqueName="84" name="Specific electricity uses (appliances and lighting)_26" queryTableFieldId="84"/>
    <tableColumn id="85" xr3:uid="{9D350D02-887E-4948-9F0B-5D85E36054DB}" uniqueName="85" name="Column85" queryTableFieldId="85"/>
    <tableColumn id="86" xr3:uid="{8659C963-F499-E145-8BB3-068EB7C1C5A3}" uniqueName="86" name="Share of emissions in end-uses (in %)" queryTableFieldId="86"/>
    <tableColumn id="87" xr3:uid="{EFAB6A89-080D-D643-B505-9090A36912C0}" uniqueName="87" name="Thermal uses_27" queryTableFieldId="87"/>
    <tableColumn id="88" xr3:uid="{B8107F09-EE8A-D24C-B4E3-1C20BBFBDAF5}" uniqueName="88" name="Space heating_28" queryTableFieldId="88"/>
    <tableColumn id="89" xr3:uid="{6A346200-2D3D-E34F-9000-582ED52EC9E1}" uniqueName="89" name="Cooling_29" queryTableFieldId="89"/>
    <tableColumn id="90" xr3:uid="{738BCC97-D96A-8647-8FB7-D422488853CE}" uniqueName="90" name="Water heating_30" queryTableFieldId="90"/>
    <tableColumn id="91" xr3:uid="{A0947FCA-566D-4E40-A0E1-3E9C1804EB38}" uniqueName="91" name="Cooking_31" queryTableFieldId="91"/>
    <tableColumn id="92" xr3:uid="{5577F9E5-1626-BA44-9146-E50EBFCB0640}" uniqueName="92" name="Specific electricity uses (appliances and lighting)_32" queryTableFieldId="92"/>
    <tableColumn id="93" xr3:uid="{DAAA6DBF-9362-C643-95E4-0D3B54B653BF}" uniqueName="93" name="Column93" queryTableFieldId="93"/>
    <tableColumn id="94" xr3:uid="{AA40C723-452C-C448-B47B-91C59F31083F}" uniqueName="94" name="Additional household indicators" queryTableFieldId="94"/>
    <tableColumn id="95" xr3:uid="{17A6E1D9-B5BA-1240-BBFC-56E709969F02}" uniqueName="95" name="Column95" queryTableFieldId="95"/>
    <tableColumn id="96" xr3:uid="{9D80A421-13EF-3B41-9490-EA0AA116C22F}" uniqueName="96" name="Energy consumption per household (kWh / household)" queryTableFieldId="96"/>
    <tableColumn id="97" xr3:uid="{2ADA18BC-3B64-CA4A-ABAF-2E1AB7AA5929}" uniqueName="97" name="Thermal uses_33" queryTableFieldId="97"/>
    <tableColumn id="98" xr3:uid="{9B5797F1-0329-EF4B-8E41-54A1107509F4}" uniqueName="98" name="Space heating_34" queryTableFieldId="98"/>
    <tableColumn id="99" xr3:uid="{529F479D-F1EF-F74B-AFEA-16B28E37950B}" uniqueName="99" name="Cooling_35" queryTableFieldId="99"/>
    <tableColumn id="100" xr3:uid="{04B46D84-C860-C14C-B053-FDC5ED35D6C9}" uniqueName="100" name="Water heating_36" queryTableFieldId="100"/>
    <tableColumn id="101" xr3:uid="{6760013A-804C-9F4F-B9DA-74F4D48B7EEE}" uniqueName="101" name="Cooking_37" queryTableFieldId="101"/>
    <tableColumn id="102" xr3:uid="{1FB0CAB3-F357-2D41-8D7B-BF9EC9083600}" uniqueName="102" name="Specific electricity uses (appliances and lighting)_38" queryTableFieldId="102"/>
    <tableColumn id="103" xr3:uid="{7222D8CD-1BCC-6843-9EC9-49E0617CA28A}" uniqueName="103" name="Column103" queryTableFieldId="103"/>
    <tableColumn id="104" xr3:uid="{3875A43B-F0AD-E942-9256-4EABC2F11B9B}" uniqueName="104" name="Thermal energy service per household (kWh useful / household)" queryTableFieldId="104"/>
    <tableColumn id="105" xr3:uid="{F511024D-F6FE-FD44-8B88-882EE59D0A46}" uniqueName="105" name="Space heating_39" queryTableFieldId="105"/>
    <tableColumn id="106" xr3:uid="{514226B7-07DE-8542-A942-6A3B872075F8}" uniqueName="106" name="Cooling_40" queryTableFieldId="106"/>
    <tableColumn id="107" xr3:uid="{4F62028C-3F46-4B44-976C-4CF55345085C}" uniqueName="107" name="Water heating_41" queryTableFieldId="107"/>
    <tableColumn id="108" xr3:uid="{E1F02D2A-BEBD-7C45-A4F9-CB55EF8951D7}" uniqueName="108" name="Cooking_42" queryTableFieldId="108"/>
    <tableColumn id="109" xr3:uid="{C18CEF31-BB41-034B-B728-F733A99065E6}" uniqueName="109" name="Column109" queryTableFieldId="109"/>
    <tableColumn id="110" xr3:uid="{0D6D32CE-7041-394D-A845-04361B7518F9}" uniqueName="110" name="Emissions per household (kg CO2 / household)" queryTableFieldId="110"/>
    <tableColumn id="111" xr3:uid="{0C4BD537-961B-9746-8713-0EB326B3E14A}" uniqueName="111" name="Thermal uses_43" queryTableFieldId="111"/>
    <tableColumn id="112" xr3:uid="{E729B13F-42EE-B940-BD2B-67C66B835217}" uniqueName="112" name="Space heating_44" queryTableFieldId="112"/>
    <tableColumn id="113" xr3:uid="{0F0CF2CD-3CFE-C948-96E8-D69B47016195}" uniqueName="113" name="Cooling_45" queryTableFieldId="113"/>
    <tableColumn id="114" xr3:uid="{CF8F1AC2-47E7-1B48-B727-2C6F69EFC015}" uniqueName="114" name="Water heating_46" queryTableFieldId="114"/>
    <tableColumn id="115" xr3:uid="{B300E9E9-34C4-D44E-88C1-B29D3EDC2190}" uniqueName="115" name="Cooking_47" queryTableFieldId="115"/>
    <tableColumn id="116" xr3:uid="{045BAEF0-8209-1C45-B4A1-9F91E4F6AA17}" uniqueName="116" name="Specific electricity uses (appliances and lighting)_48" queryTableFieldId="116"/>
    <tableColumn id="117" xr3:uid="{D14669E4-BC66-6640-8BF2-3B25F4FE317A}" uniqueName="117" name="Column117" queryTableFieldId="117"/>
    <tableColumn id="118" xr3:uid="{C3CB8D5C-47B2-0E40-8FA8-30BEDF04DE73}" uniqueName="118" name="Ratio of energy service to energy consumption (system efficiency indicator)" queryTableFieldId="118"/>
    <tableColumn id="119" xr3:uid="{3B9B3E7C-8413-3C42-B149-F0EC9397B608}" uniqueName="119" name="Space heating_49" queryTableFieldId="119"/>
    <tableColumn id="120" xr3:uid="{D59E2B01-F1C1-C64D-B8C1-93D34E838EDE}" uniqueName="120" name="Cooling_50" queryTableFieldId="120"/>
    <tableColumn id="121" xr3:uid="{8B512BC9-BA4A-EC40-99A4-21D8A30E021D}" uniqueName="121" name="Water heating_51" queryTableFieldId="121"/>
    <tableColumn id="122" xr3:uid="{D6E77562-1B59-6647-B3AE-6A6B29734FE2}" uniqueName="122" name="Cooking_52" queryTableFieldId="122"/>
    <tableColumn id="123" xr3:uid="{6241D1FA-F325-654A-AEB9-375155BDFA0B}" uniqueName="123" name="Column123" queryTableFieldId="123"/>
    <tableColumn id="124" xr3:uid="{45B1F087-0351-8841-BAB4-20EBC0B44BDD}" uniqueName="124" name="Column124" queryTableFieldId="124"/>
    <tableColumn id="125" xr3:uid="{D6B9DB36-E278-E949-882F-F979E6F15FAC}" uniqueName="125" name="Column125" queryTableFieldId="125"/>
    <tableColumn id="126" xr3:uid="{45E143B7-76C1-BD41-842D-6AA9A6D24C6E}" uniqueName="126" name="Energy consumption per surface area (kWh / sqm)" queryTableFieldId="126"/>
    <tableColumn id="127" xr3:uid="{29613382-24D2-524D-980A-D9CD0B42087C}" uniqueName="127" name="Thermal uses_53" queryTableFieldId="127"/>
    <tableColumn id="128" xr3:uid="{1B95038A-B3B7-5441-B4CE-3ED05AD9CC89}" uniqueName="128" name="Space heating_54" queryTableFieldId="128"/>
    <tableColumn id="129" xr3:uid="{74C58E84-499A-8D4B-ABCF-76FA890F8184}" uniqueName="129" name="Cooling_55" queryTableFieldId="129"/>
    <tableColumn id="130" xr3:uid="{CF0FDC20-17CE-6E42-B530-D2B81279EECE}" uniqueName="130" name="Water heating_56" queryTableFieldId="130"/>
    <tableColumn id="131" xr3:uid="{A5A06B25-621C-4447-B1E3-6BDF93064433}" uniqueName="131" name="Cooking_57" queryTableFieldId="131"/>
    <tableColumn id="132" xr3:uid="{975E231E-3ED7-944B-9ED4-BB419F2294F9}" uniqueName="132" name="Specific electricity uses (appliances and lighting)_58" queryTableFieldId="132"/>
    <tableColumn id="133" xr3:uid="{A5C0FA83-2D20-C644-847D-B48CF83573D0}" uniqueName="133" name="Column133" queryTableFieldId="133"/>
    <tableColumn id="134" xr3:uid="{144956AD-846E-2E43-A34D-2C1567524521}" uniqueName="134" name="Thermal energy service per surface area (kWh useful / sqm)" queryTableFieldId="134"/>
    <tableColumn id="135" xr3:uid="{31032310-B48A-6C43-83E2-2449AC7479F2}" uniqueName="135" name="Space heating_59" queryTableFieldId="135"/>
    <tableColumn id="136" xr3:uid="{79DFED6B-DEC2-1048-A0A2-CAE977562395}" uniqueName="136" name="Cooling_60" queryTableFieldId="136"/>
    <tableColumn id="137" xr3:uid="{831C4F8D-3ED6-6E41-999F-7FF41D406266}" uniqueName="137" name="Water heating_61" queryTableFieldId="137"/>
    <tableColumn id="138" xr3:uid="{36463D99-D80C-0F4E-95D8-F5F02C5AFE38}" uniqueName="138" name="Cooking_62" queryTableFieldId="138"/>
    <tableColumn id="139" xr3:uid="{8B139EF4-2662-6A47-8AA5-0035C9EF8D06}" uniqueName="139" name="Column139" queryTableFieldId="139"/>
    <tableColumn id="140" xr3:uid="{C732E31A-DC40-D446-800E-EC4329B3D68B}" uniqueName="140" name="Emissions per surface area (kg CO2 / sqm)" queryTableFieldId="140"/>
    <tableColumn id="141" xr3:uid="{F0FABBB5-3D9F-A64F-B378-63C153A98CB4}" uniqueName="141" name="Thermal uses_63" queryTableFieldId="141"/>
    <tableColumn id="142" xr3:uid="{7F15B2C7-00B2-7A47-B5DC-27FC3DD4DC4F}" uniqueName="142" name="Space heating_64" queryTableFieldId="142"/>
    <tableColumn id="143" xr3:uid="{1E8DEBBB-9121-FB44-AB51-1D52D31AE112}" uniqueName="143" name="Cooling_65" queryTableFieldId="143"/>
    <tableColumn id="144" xr3:uid="{79121746-AA41-AD48-8010-2FA57C0EFEED}" uniqueName="144" name="Water heating_66" queryTableFieldId="144"/>
    <tableColumn id="145" xr3:uid="{B0CB64C0-FEFB-3340-ACC8-23EDD4262800}" uniqueName="145" name="Cooking_67" queryTableFieldId="145"/>
    <tableColumn id="146" xr3:uid="{F0391FFA-F787-E74F-AA86-0A51BF7332B1}" uniqueName="146" name="Specific electricity uses (appliances and lighting)_68" queryTableFieldId="146"/>
    <tableColumn id="147" xr3:uid="{4538960E-7C7A-8740-A734-7EC8FB6CD473}" uniqueName="147" name="Column147" queryTableFieldId="147"/>
    <tableColumn id="148" xr3:uid="{C4E4D149-4EF1-AD41-9241-D13158A80AC7}" uniqueName="148" name="Column148" queryTableFieldId="148"/>
    <tableColumn id="149" xr3:uid="{D513303D-0513-6C46-8D2D-8B157CF9F56E}" uniqueName="149" name="Column149" queryTableFieldId="149"/>
    <tableColumn id="150" xr3:uid="{B0F78F27-1A55-4443-84FF-8CBDD93B471C}" uniqueName="150" name="Energy consumption per capita (kWh / capita)" queryTableFieldId="150"/>
    <tableColumn id="151" xr3:uid="{206C493B-34BE-5B48-B38B-E98ED2852262}" uniqueName="151" name="Thermal uses_69" queryTableFieldId="151"/>
    <tableColumn id="152" xr3:uid="{84FE98A0-EBB3-F94B-B31D-CB6D030B7E47}" uniqueName="152" name="Space heating_70" queryTableFieldId="152"/>
    <tableColumn id="153" xr3:uid="{43FEB262-68C9-CC40-9CEA-B9203F91B326}" uniqueName="153" name="Cooling_71" queryTableFieldId="153"/>
    <tableColumn id="154" xr3:uid="{7799ACBB-3478-BD47-8EB3-DAE63D7B29F6}" uniqueName="154" name="Water heating_72" queryTableFieldId="154"/>
    <tableColumn id="155" xr3:uid="{7D393EC0-F70C-B94E-BFE1-057F9E2265A1}" uniqueName="155" name="Cooking_73" queryTableFieldId="155"/>
    <tableColumn id="156" xr3:uid="{3E63077E-5CC9-7645-AD7F-4EB3E10CB560}" uniqueName="156" name="Specific electricity uses (appliances and lighting)_74" queryTableFieldId="156"/>
    <tableColumn id="157" xr3:uid="{2C6DA296-F819-DA46-9C61-7E3F814DFFEB}" uniqueName="157" name="Column157" queryTableFieldId="157"/>
    <tableColumn id="158" xr3:uid="{0CB89094-0B23-0746-91C1-FD5A1A9CE226}" uniqueName="158" name="Thermal energy service per capita (kWh useful / capita)" queryTableFieldId="158"/>
    <tableColumn id="159" xr3:uid="{E8E4C38D-AB5B-3D40-AA8D-15DA1EFDE38C}" uniqueName="159" name="Space heating_75" queryTableFieldId="159"/>
    <tableColumn id="160" xr3:uid="{B1D726D7-71EC-B844-AB72-C5BF3F3EBC44}" uniqueName="160" name="Cooling_76" queryTableFieldId="160"/>
    <tableColumn id="161" xr3:uid="{16D177AE-5A6B-744B-BAD5-D9D155A413FD}" uniqueName="161" name="Water heating_77" queryTableFieldId="161"/>
    <tableColumn id="162" xr3:uid="{FD305C95-C764-6443-8D03-2CEB9B928F08}" uniqueName="162" name="Cooking_78" queryTableFieldId="162"/>
    <tableColumn id="163" xr3:uid="{9CD05951-B256-CB4E-AC0C-EEC465268467}" uniqueName="163" name="Column163" queryTableFieldId="163"/>
    <tableColumn id="164" xr3:uid="{52A88EA7-F197-2341-B460-598E48B8AE1F}" uniqueName="164" name="Emissions per capita (kg CO2 / capita)" queryTableFieldId="164"/>
    <tableColumn id="165" xr3:uid="{DDE0FA5E-9122-B843-89DB-B76806084454}" uniqueName="165" name="Thermal uses_79" queryTableFieldId="165"/>
    <tableColumn id="166" xr3:uid="{5F85018B-B13E-1F4D-938E-DDBC882A4C52}" uniqueName="166" name="Space heating_80" queryTableFieldId="166"/>
    <tableColumn id="167" xr3:uid="{B724EA00-2328-BE4E-9ECD-F1AC1B6F6E04}" uniqueName="167" name="Cooling_81" queryTableFieldId="167"/>
    <tableColumn id="168" xr3:uid="{510E73FF-2982-5242-B686-CCEE9DABEE2F}" uniqueName="168" name="Water heating_82" queryTableFieldId="168"/>
    <tableColumn id="169" xr3:uid="{574207E6-6FDF-A441-B454-E5FA9B09EF85}" uniqueName="169" name="Cooking_83" queryTableFieldId="169"/>
    <tableColumn id="170" xr3:uid="{0F81D2DA-54F3-7249-A188-6478B730A6B1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B7C646-85BA-FF44-A5A8-B0E0D4940EC6}" name="RES_summary" displayName="RES_summary" ref="A1:FN108" tableType="queryTable" totalsRowShown="0">
  <autoFilter ref="A1:FN108" xr:uid="{C9B7C646-85BA-FF44-A5A8-B0E0D4940EC6}"/>
  <tableColumns count="170">
    <tableColumn id="1" xr3:uid="{2D659D6F-BF4E-2D4C-B5B5-59127C3CB63B}" uniqueName="1" name="AT - Residential sector summary" queryTableFieldId="1"/>
    <tableColumn id="2" xr3:uid="{69FBDEDC-F9F4-B24E-B363-7FDA8C86C085}" uniqueName="2" name="Column2" queryTableFieldId="2"/>
    <tableColumn id="3" xr3:uid="{C5BCAC25-6D15-1541-A1AF-C80A0F612B7F}" uniqueName="3" name="Household consumption expenditure (M€ at 2015 prices)" queryTableFieldId="3"/>
    <tableColumn id="4" xr3:uid="{E611141C-50CB-154A-ADFD-49A9BB247598}" uniqueName="4" name="Population (inhabitants)" queryTableFieldId="4"/>
    <tableColumn id="5" xr3:uid="{6F699AF0-AC21-8549-865E-63BADC736EAD}" uniqueName="5" name="Column5" queryTableFieldId="5"/>
    <tableColumn id="6" xr3:uid="{16F41D4B-19E1-6543-BFA7-A2FCD9C0DF00}" uniqueName="6" name="Number of households" queryTableFieldId="6"/>
    <tableColumn id="7" xr3:uid="{F512DA08-1708-2B42-9D4A-78568596924C}" uniqueName="7" name="Total households useful surface area (in thousand sqm)" queryTableFieldId="7"/>
    <tableColumn id="8" xr3:uid="{805245A0-CD6F-4342-A9A0-557281C6EBB7}" uniqueName="8" name="Number of new and renovated households" queryTableFieldId="8"/>
    <tableColumn id="9" xr3:uid="{FCBDDB50-35BB-9C48-BBC8-0195B80F9C1D}" uniqueName="9" name="New and renovated households useful surface area (in thousand sqm)" queryTableFieldId="9"/>
    <tableColumn id="10" xr3:uid="{8346F71B-41DE-5840-9262-C51409A91E1A}" uniqueName="10" name="Column10" queryTableFieldId="10"/>
    <tableColumn id="11" xr3:uid="{CC53F970-B51F-D44F-99D7-529EA0DB5DC2}" uniqueName="11" name="Actual heating degree-days" queryTableFieldId="11"/>
    <tableColumn id="12" xr3:uid="{75CD8B47-20CD-6644-9917-3076F46E0DD1}" uniqueName="12" name="Mean heating degree-days over period 2000 - 2020" queryTableFieldId="12"/>
    <tableColumn id="13" xr3:uid="{A478253B-1DB5-8440-8F8B-E68178B2C70E}" uniqueName="13" name="Relative heating degree-days" queryTableFieldId="13"/>
    <tableColumn id="14" xr3:uid="{F73F1A4F-25D9-9440-B006-9B0A7A955772}" uniqueName="14" name="Column14" queryTableFieldId="14"/>
    <tableColumn id="15" xr3:uid="{0D54FDF6-61ED-1849-BE4F-4216DD52F4D0}" uniqueName="15" name="Indicators" queryTableFieldId="15"/>
    <tableColumn id="16" xr3:uid="{9A8D4904-BBAD-F748-9BF2-66F616A74BEA}" uniqueName="16" name="Column16" queryTableFieldId="16"/>
    <tableColumn id="17" xr3:uid="{DD8BD2F9-4D41-1F44-9FEB-2601DD9982ED}" uniqueName="17" name="Households size (inhabitants/household)" queryTableFieldId="17"/>
    <tableColumn id="18" xr3:uid="{07BF8B63-2A8C-C44E-B74D-A4BE8652C175}" uniqueName="18" name="Households useful surface area (in sqm/capita)" queryTableFieldId="18"/>
    <tableColumn id="19" xr3:uid="{4DEF498B-2ED3-7F48-90C9-CEC1CBF33FCA}" uniqueName="19" name="Households useful surface area (in sqm/household)" queryTableFieldId="19"/>
    <tableColumn id="20" xr3:uid="{F5B3F20B-15E2-2C4E-AB3A-68D65934F76A}" uniqueName="20" name="New and renovated households useful surface area (in sqm/capita)" queryTableFieldId="20"/>
    <tableColumn id="21" xr3:uid="{855D171A-78F8-F44D-A48F-541864DDCA03}" uniqueName="21" name="New and renovated households useful surface area (in sqm/household)" queryTableFieldId="21"/>
    <tableColumn id="22" xr3:uid="{FE23C9D1-BCEE-5D46-BEF0-DD2450EFCA56}" uniqueName="22" name="Household consumption expenditure per capita (€ at 2015 prices)" queryTableFieldId="22"/>
    <tableColumn id="23" xr3:uid="{C5823F45-DB51-654F-A4F7-C8AD3764873D}" uniqueName="23" name="Household consumption expenditure per household (€ at 2015 prices)" queryTableFieldId="23"/>
    <tableColumn id="24" xr3:uid="{9280D60D-2DD0-4C47-A41E-88667CFBF9D5}" uniqueName="24" name="Consumption expenditure per household relative to the EU average" queryTableFieldId="24"/>
    <tableColumn id="25" xr3:uid="{E3CC6E65-C7C3-A34C-9AEC-0A0144E4353C}" uniqueName="25" name="Column25" queryTableFieldId="25"/>
    <tableColumn id="26" xr3:uid="{6E68C1AE-C2FA-4D48-B9DE-9370E3D358A2}" uniqueName="26" name="Energy consumption" queryTableFieldId="26"/>
    <tableColumn id="27" xr3:uid="{D44901E3-1BEB-514C-98B8-C6D48F66C3BF}" uniqueName="27" name="Column27" queryTableFieldId="27"/>
    <tableColumn id="28" xr3:uid="{509ABB9A-A738-D340-BE68-6A3A0AF7CCA5}" uniqueName="28" name="Energy consumption by fuel - Eurostat structure (ktoe)" queryTableFieldId="28"/>
    <tableColumn id="29" xr3:uid="{DABE1246-E314-DF40-B5F4-50E5685FA130}" uniqueName="29" name="Solids" queryTableFieldId="29"/>
    <tableColumn id="30" xr3:uid="{D77F3502-4C73-A24F-85E4-3520F62D6FDB}" uniqueName="30" name="Liquids" queryTableFieldId="30"/>
    <tableColumn id="31" xr3:uid="{FA237C13-480B-904C-AAC8-BC31E6E53221}" uniqueName="31" name="Liquified petroleum gas (LPG)" queryTableFieldId="31"/>
    <tableColumn id="32" xr3:uid="{6BFA95D9-553C-9F41-BD36-94789A1A0F0A}" uniqueName="32" name="Diesel oil and other liquids (without biofuels)" queryTableFieldId="32"/>
    <tableColumn id="33" xr3:uid="{2AE42A22-D5C3-F74F-BFAB-3CDDCE3EF5AA}" uniqueName="33" name="Natural gas" queryTableFieldId="33"/>
    <tableColumn id="34" xr3:uid="{B35DE7E6-AADC-2349-804F-300DDACA8CE1}" uniqueName="34" name="Renewable energies and wastes" queryTableFieldId="34"/>
    <tableColumn id="35" xr3:uid="{939A06DA-9C6E-F745-88BE-9366CC7B735B}" uniqueName="35" name="Biomass and waste" queryTableFieldId="35"/>
    <tableColumn id="36" xr3:uid="{7E4CDCBF-D520-424A-BF61-F6CB8208D692}" uniqueName="36" name="Biogas" queryTableFieldId="36"/>
    <tableColumn id="37" xr3:uid="{C3F5820A-2EAB-E143-9FD8-89AA355C8015}" uniqueName="37" name="Liquid biofuels" queryTableFieldId="37"/>
    <tableColumn id="38" xr3:uid="{7A53C22F-8AB6-B44D-BA84-27EC4F23F480}" uniqueName="38" name="Solar" queryTableFieldId="38"/>
    <tableColumn id="39" xr3:uid="{2A152F0E-12FD-174F-BA4F-2E5799BA5E68}" uniqueName="39" name="Geothermal" queryTableFieldId="39"/>
    <tableColumn id="40" xr3:uid="{2A704844-5F44-AD4A-9BAF-D1FAB2B1EB7D}" uniqueName="40" name="Ambient heat" queryTableFieldId="40"/>
    <tableColumn id="41" xr3:uid="{C301D64A-57E5-A04A-B7BB-FA623829F4E5}" uniqueName="41" name="Distributed heat" queryTableFieldId="41"/>
    <tableColumn id="42" xr3:uid="{523B26C3-A541-5D44-9BDE-4A69F6A94114}" uniqueName="42" name="Electricity" queryTableFieldId="42"/>
    <tableColumn id="43" xr3:uid="{3F1C05A4-09BB-6A43-8225-45D3A5F365E5}" uniqueName="43" name="Column43" queryTableFieldId="43"/>
    <tableColumn id="44" xr3:uid="{A2BC9FFD-4712-2D45-A3B5-90B94E6D1A85}" uniqueName="44" name="Energy consumption by end-uses (ktoe)" queryTableFieldId="44"/>
    <tableColumn id="45" xr3:uid="{5B653E06-D528-F34A-A585-5677A66028F4}" uniqueName="45" name="Thermal uses" queryTableFieldId="45"/>
    <tableColumn id="46" xr3:uid="{0DCB626B-5F02-9247-B16B-56242C1BE001}" uniqueName="46" name="Space heating" queryTableFieldId="46"/>
    <tableColumn id="47" xr3:uid="{542E041F-BAFD-FE47-84DC-750BE23C905F}" uniqueName="47" name="Cooling" queryTableFieldId="47"/>
    <tableColumn id="48" xr3:uid="{047984A1-2B62-264F-A55E-213DA150B227}" uniqueName="48" name="Water heating" queryTableFieldId="48"/>
    <tableColumn id="49" xr3:uid="{7BDF67A8-EFC7-E04E-BE5A-66D9982443C7}" uniqueName="49" name="Cooking" queryTableFieldId="49"/>
    <tableColumn id="50" xr3:uid="{85A555C9-0CF0-4C4E-9291-8D9740D7334B}" uniqueName="50" name="Specific electricity uses (appliances and lighting)" queryTableFieldId="50"/>
    <tableColumn id="51" xr3:uid="{350F60E5-1411-3F43-A76B-859948536851}" uniqueName="51" name="Column51" queryTableFieldId="51"/>
    <tableColumn id="52" xr3:uid="{83F087C2-DADF-EE4F-8827-A14A81E4FE97}" uniqueName="52" name="Shares of energy consumption in end-uses (in %)" queryTableFieldId="52"/>
    <tableColumn id="53" xr3:uid="{CBA7702A-163C-7C46-AA34-4C05193A0124}" uniqueName="53" name="Thermal uses_1" queryTableFieldId="53"/>
    <tableColumn id="54" xr3:uid="{155CB13C-41C8-BF40-90D3-520F7BC4B11F}" uniqueName="54" name="Space heating_2" queryTableFieldId="54"/>
    <tableColumn id="55" xr3:uid="{39342002-E7E8-C04E-81BE-4A73BE773C6F}" uniqueName="55" name="Cooling_3" queryTableFieldId="55"/>
    <tableColumn id="56" xr3:uid="{39FF2819-445C-DF4C-BF64-5023D44D1AB0}" uniqueName="56" name="Water heating_4" queryTableFieldId="56"/>
    <tableColumn id="57" xr3:uid="{D2D3F926-AE75-4A4C-8241-98A3C1E74596}" uniqueName="57" name="Cooking_5" queryTableFieldId="57"/>
    <tableColumn id="58" xr3:uid="{32E7A5B1-E07C-FD4C-B2EE-2F5E8C5AEE01}" uniqueName="58" name="Specific electricity uses (appliances and lighting)_6" queryTableFieldId="58"/>
    <tableColumn id="59" xr3:uid="{3A4814AB-A1EF-7B48-ABDF-DE9D370AD81B}" uniqueName="59" name="Column59" queryTableFieldId="59"/>
    <tableColumn id="60" xr3:uid="{FB1713F1-0EE7-F14A-B2D6-6370D2C5F3BE}" uniqueName="60" name="Emissions" queryTableFieldId="60"/>
    <tableColumn id="61" xr3:uid="{C44A986C-7497-434A-ACDD-AB952A3BE593}" uniqueName="61" name="Column61" queryTableFieldId="61"/>
    <tableColumn id="62" xr3:uid="{E7FF740A-3146-F54A-830F-891AA9E01C6D}" uniqueName="62" name="Emissions by fuel - Eurostat structure (kt of CO2)" queryTableFieldId="62"/>
    <tableColumn id="63" xr3:uid="{4AD4269B-6196-D74E-B1B1-69509F704DE4}" uniqueName="63" name="Solids_7" queryTableFieldId="63"/>
    <tableColumn id="64" xr3:uid="{8723D131-F909-0D46-ACCC-CBC5D50671AB}" uniqueName="64" name="Liquids_8" queryTableFieldId="64"/>
    <tableColumn id="65" xr3:uid="{28353E1C-7602-6246-9263-C188A27CF5A8}" uniqueName="65" name="Liquified petroleum gas (LPG)_9" queryTableFieldId="65"/>
    <tableColumn id="66" xr3:uid="{AE29858C-731A-384D-8D21-463B28032C66}" uniqueName="66" name="Diesel oil and other liquids (without biofuels)_10" queryTableFieldId="66"/>
    <tableColumn id="67" xr3:uid="{C7E5F31B-BB8A-3C44-A0BE-76CF7B4C0554}" uniqueName="67" name="Natural gas_11" queryTableFieldId="67"/>
    <tableColumn id="68" xr3:uid="{391B5EB4-1F42-7747-9D59-E2C81AF5C83B}" uniqueName="68" name="Renewable energies and wastes_12" queryTableFieldId="68"/>
    <tableColumn id="69" xr3:uid="{27885092-CDBE-0D46-91E5-256E75A40A8F}" uniqueName="69" name="Biomass and waste_13" queryTableFieldId="69"/>
    <tableColumn id="70" xr3:uid="{84EFD751-577D-5141-9397-24C42AF2B2FF}" uniqueName="70" name="Biogas_14" queryTableFieldId="70"/>
    <tableColumn id="71" xr3:uid="{10F6DB1F-30A8-8348-847D-24E15A188EE0}" uniqueName="71" name="Liquid biofuels_15" queryTableFieldId="71"/>
    <tableColumn id="72" xr3:uid="{150624A8-3768-8F49-B77B-2BF6C322CEC3}" uniqueName="72" name="Solar_16" queryTableFieldId="72"/>
    <tableColumn id="73" xr3:uid="{36224745-CBC0-FB46-82D9-261B6125B3FB}" uniqueName="73" name="Geothermal_17" queryTableFieldId="73"/>
    <tableColumn id="74" xr3:uid="{7C2F9B79-FFF9-1746-81A4-83CEF64DE27D}" uniqueName="74" name="Ambient heat_18" queryTableFieldId="74"/>
    <tableColumn id="75" xr3:uid="{4A0841CF-3E42-244F-8571-A8D8C55A4AA3}" uniqueName="75" name="Distributed heat_19" queryTableFieldId="75"/>
    <tableColumn id="76" xr3:uid="{DA4BE690-DCC9-104D-937A-86609A6FD726}" uniqueName="76" name="Electricity_20" queryTableFieldId="76"/>
    <tableColumn id="77" xr3:uid="{3CF1081D-FED7-1A41-83CB-DD590051AFCB}" uniqueName="77" name="Column77" queryTableFieldId="77"/>
    <tableColumn id="78" xr3:uid="{AABC134A-2CB1-044C-836D-629205DA0D8F}" uniqueName="78" name="Emissions by end-uses (kt of CO2)" queryTableFieldId="78"/>
    <tableColumn id="79" xr3:uid="{E73777C0-34AD-8C4D-8D22-EE99B5ECF059}" uniqueName="79" name="Thermal uses_21" queryTableFieldId="79"/>
    <tableColumn id="80" xr3:uid="{41D057DB-D631-5C42-84ED-89498C7B03C8}" uniqueName="80" name="Space heating_22" queryTableFieldId="80"/>
    <tableColumn id="81" xr3:uid="{D999FE82-CC97-9B4D-AD17-FD359BD578A6}" uniqueName="81" name="Cooling_23" queryTableFieldId="81"/>
    <tableColumn id="82" xr3:uid="{AB11CD58-8FFD-AD46-BDE4-89239335A17A}" uniqueName="82" name="Water heating_24" queryTableFieldId="82"/>
    <tableColumn id="83" xr3:uid="{018B50A8-D954-AA44-8664-987ECDFC1B25}" uniqueName="83" name="Cooking_25" queryTableFieldId="83"/>
    <tableColumn id="84" xr3:uid="{188385A9-6BDD-EE44-95A7-88F0DC706859}" uniqueName="84" name="Specific electricity uses (appliances and lighting)_26" queryTableFieldId="84"/>
    <tableColumn id="85" xr3:uid="{47FC08E2-B658-824B-B78F-4524345692F3}" uniqueName="85" name="Column85" queryTableFieldId="85"/>
    <tableColumn id="86" xr3:uid="{CD78E8F2-D780-6D42-BDD6-FC6949B1E5A9}" uniqueName="86" name="Share of emissions in end-uses (in %)" queryTableFieldId="86"/>
    <tableColumn id="87" xr3:uid="{AF9424D7-E07F-C243-9F46-2524A16D6861}" uniqueName="87" name="Thermal uses_27" queryTableFieldId="87"/>
    <tableColumn id="88" xr3:uid="{C7FD9C86-68AD-3049-A25E-26B127AEB74F}" uniqueName="88" name="Space heating_28" queryTableFieldId="88"/>
    <tableColumn id="89" xr3:uid="{B3C6B108-C64A-AE49-951B-D113C2EEFDB6}" uniqueName="89" name="Cooling_29" queryTableFieldId="89"/>
    <tableColumn id="90" xr3:uid="{E03AFB32-DCD3-C94C-AEBE-93478E0A73AE}" uniqueName="90" name="Water heating_30" queryTableFieldId="90"/>
    <tableColumn id="91" xr3:uid="{BE9CB3C1-F8A4-A747-B3A2-8C1B87608FAB}" uniqueName="91" name="Cooking_31" queryTableFieldId="91"/>
    <tableColumn id="92" xr3:uid="{73900884-E6A1-7E4A-94B2-DEC67BEB3AE5}" uniqueName="92" name="Specific electricity uses (appliances and lighting)_32" queryTableFieldId="92"/>
    <tableColumn id="93" xr3:uid="{A2861A02-9A0D-D94A-B676-F56445B97947}" uniqueName="93" name="Column93" queryTableFieldId="93"/>
    <tableColumn id="94" xr3:uid="{E1B67327-6877-9849-83E9-A70E2446F21C}" uniqueName="94" name="Additional household indicators" queryTableFieldId="94"/>
    <tableColumn id="95" xr3:uid="{7CEB669E-5DDC-BF42-94E4-FA6EA8B4975F}" uniqueName="95" name="Column95" queryTableFieldId="95"/>
    <tableColumn id="96" xr3:uid="{AE3779B6-C4AC-DD45-8828-354368ADF414}" uniqueName="96" name="Energy consumption per household (kWh / household)" queryTableFieldId="96"/>
    <tableColumn id="97" xr3:uid="{A248089C-5F6C-B148-833F-B845B934ABB0}" uniqueName="97" name="Thermal uses_33" queryTableFieldId="97"/>
    <tableColumn id="98" xr3:uid="{A0DD4285-A8B9-E845-B638-6DB5157C1C97}" uniqueName="98" name="Space heating_34" queryTableFieldId="98"/>
    <tableColumn id="99" xr3:uid="{D5F63CBF-33BF-2941-8AF8-B4EC4C77927D}" uniqueName="99" name="Cooling_35" queryTableFieldId="99"/>
    <tableColumn id="100" xr3:uid="{A5046BDB-D735-F34B-B036-00B854DDA619}" uniqueName="100" name="Water heating_36" queryTableFieldId="100"/>
    <tableColumn id="101" xr3:uid="{7EB46EF0-F085-4B49-98C3-DCC612493EBF}" uniqueName="101" name="Cooking_37" queryTableFieldId="101"/>
    <tableColumn id="102" xr3:uid="{959C3548-F8C6-1049-892F-0E86698222B5}" uniqueName="102" name="Specific electricity uses (appliances and lighting)_38" queryTableFieldId="102"/>
    <tableColumn id="103" xr3:uid="{4680F753-3AA9-1A43-BFAA-F8D14857436C}" uniqueName="103" name="Column103" queryTableFieldId="103"/>
    <tableColumn id="104" xr3:uid="{29DEF67A-4B08-B54B-9043-EE5F982D388A}" uniqueName="104" name="Thermal energy service per household (kWh useful / household)" queryTableFieldId="104"/>
    <tableColumn id="105" xr3:uid="{B54F9E43-BC2C-0842-9C6A-14598D2EDCA3}" uniqueName="105" name="Space heating_39" queryTableFieldId="105"/>
    <tableColumn id="106" xr3:uid="{A9F75E3C-2297-B046-94B8-8B5AE9F10CC1}" uniqueName="106" name="Cooling_40" queryTableFieldId="106"/>
    <tableColumn id="107" xr3:uid="{4AB1E828-781E-9648-A7E1-D2E942C7805E}" uniqueName="107" name="Water heating_41" queryTableFieldId="107"/>
    <tableColumn id="108" xr3:uid="{F752085F-C7AF-3942-8405-EDA97E7AFCFD}" uniqueName="108" name="Cooking_42" queryTableFieldId="108"/>
    <tableColumn id="109" xr3:uid="{114F3F69-7F1B-D34E-A618-C000BEF89E28}" uniqueName="109" name="Column109" queryTableFieldId="109"/>
    <tableColumn id="110" xr3:uid="{703827A6-FB52-944D-A578-842879C9F1C1}" uniqueName="110" name="Emissions per household (kg CO2 / household)" queryTableFieldId="110"/>
    <tableColumn id="111" xr3:uid="{D4878874-B30C-494A-A798-00AA47C002FF}" uniqueName="111" name="Thermal uses_43" queryTableFieldId="111"/>
    <tableColumn id="112" xr3:uid="{8B338403-9CAE-2C4F-8631-EAF7D3A63004}" uniqueName="112" name="Space heating_44" queryTableFieldId="112"/>
    <tableColumn id="113" xr3:uid="{6428CF5F-DBBF-3A41-A20C-04075A7EE373}" uniqueName="113" name="Cooling_45" queryTableFieldId="113"/>
    <tableColumn id="114" xr3:uid="{A50184E0-D45B-E542-8F76-710AD23CDF94}" uniqueName="114" name="Water heating_46" queryTableFieldId="114"/>
    <tableColumn id="115" xr3:uid="{B01EAD7B-D4E8-4145-AD24-16204E3DB512}" uniqueName="115" name="Cooking_47" queryTableFieldId="115"/>
    <tableColumn id="116" xr3:uid="{79D0DEB6-2A22-3746-9062-C030C7ABAA5B}" uniqueName="116" name="Specific electricity uses (appliances and lighting)_48" queryTableFieldId="116"/>
    <tableColumn id="117" xr3:uid="{8184F3DC-6A3F-D44D-BDF8-B4B92E730EC0}" uniqueName="117" name="Column117" queryTableFieldId="117"/>
    <tableColumn id="118" xr3:uid="{FD375C73-65E1-AA40-BE07-D4511B2D5947}" uniqueName="118" name="Ratio of energy service to energy consumption (system efficiency indicator)" queryTableFieldId="118"/>
    <tableColumn id="119" xr3:uid="{B392A424-9D38-CA48-B555-501698CD3A00}" uniqueName="119" name="Space heating_49" queryTableFieldId="119"/>
    <tableColumn id="120" xr3:uid="{6E7416AC-26F3-D34C-A82C-9AF1AAD35644}" uniqueName="120" name="Cooling_50" queryTableFieldId="120"/>
    <tableColumn id="121" xr3:uid="{E28645BB-49E8-1D40-9D03-0328EA283E85}" uniqueName="121" name="Water heating_51" queryTableFieldId="121"/>
    <tableColumn id="122" xr3:uid="{E8885C3D-9234-0641-BB19-6F625C4E826B}" uniqueName="122" name="Cooking_52" queryTableFieldId="122"/>
    <tableColumn id="123" xr3:uid="{9C9935AB-0EDE-DC43-8D3E-EBC4ECAF4384}" uniqueName="123" name="Column123" queryTableFieldId="123"/>
    <tableColumn id="124" xr3:uid="{FA688B26-6E44-6344-ABBD-3A481EA8A544}" uniqueName="124" name="Column124" queryTableFieldId="124"/>
    <tableColumn id="125" xr3:uid="{DCFB0E13-A085-394A-B3F9-641F6F575965}" uniqueName="125" name="Column125" queryTableFieldId="125"/>
    <tableColumn id="126" xr3:uid="{7223F349-7CF8-2346-9865-11B8A86B5F9B}" uniqueName="126" name="Energy consumption per surface area (kWh / sqm)" queryTableFieldId="126"/>
    <tableColumn id="127" xr3:uid="{B24E9980-7EC3-F346-ADF0-CAADBFF3E327}" uniqueName="127" name="Thermal uses_53" queryTableFieldId="127"/>
    <tableColumn id="128" xr3:uid="{BC54FE13-50B6-5F4F-8D74-979F5222607A}" uniqueName="128" name="Space heating_54" queryTableFieldId="128"/>
    <tableColumn id="129" xr3:uid="{4A664B7E-5AD1-A546-A4BC-CDAC53E1659B}" uniqueName="129" name="Cooling_55" queryTableFieldId="129"/>
    <tableColumn id="130" xr3:uid="{069A87FD-6C8F-ED4C-B942-D341EF84B9BA}" uniqueName="130" name="Water heating_56" queryTableFieldId="130"/>
    <tableColumn id="131" xr3:uid="{6B22360A-C320-E141-8D1F-6BE49B546864}" uniqueName="131" name="Cooking_57" queryTableFieldId="131"/>
    <tableColumn id="132" xr3:uid="{E21FBC9B-FFB2-F04A-BA06-3BEE096FBAEB}" uniqueName="132" name="Specific electricity uses (appliances and lighting)_58" queryTableFieldId="132"/>
    <tableColumn id="133" xr3:uid="{28C5CDCF-FF8C-A949-970F-1D944233D704}" uniqueName="133" name="Column133" queryTableFieldId="133"/>
    <tableColumn id="134" xr3:uid="{D8A0F1DB-183B-414A-ABA7-23FE9E007DAF}" uniqueName="134" name="Thermal energy service per surface area (kWh useful / sqm)" queryTableFieldId="134"/>
    <tableColumn id="135" xr3:uid="{531DFA94-7829-3148-897A-63B37D274EA3}" uniqueName="135" name="Space heating_59" queryTableFieldId="135"/>
    <tableColumn id="136" xr3:uid="{92E6996A-EA37-EE40-BD87-92A7A66A473F}" uniqueName="136" name="Cooling_60" queryTableFieldId="136"/>
    <tableColumn id="137" xr3:uid="{CBC043FA-E3D7-8E48-8ED7-8AB10C548B79}" uniqueName="137" name="Water heating_61" queryTableFieldId="137"/>
    <tableColumn id="138" xr3:uid="{999DAFC2-44FC-CB47-A3C0-8AED4B5FD3E6}" uniqueName="138" name="Cooking_62" queryTableFieldId="138"/>
    <tableColumn id="139" xr3:uid="{9667612C-4E3C-D24F-9185-783ADE20AD6B}" uniqueName="139" name="Column139" queryTableFieldId="139"/>
    <tableColumn id="140" xr3:uid="{7F5F0AF0-EAFD-9D47-8D40-F32C573A050C}" uniqueName="140" name="Emissions per surface area (kg CO2 / sqm)" queryTableFieldId="140"/>
    <tableColumn id="141" xr3:uid="{5BB04038-23AB-D541-B8D4-3103B2EFC8D5}" uniqueName="141" name="Thermal uses_63" queryTableFieldId="141"/>
    <tableColumn id="142" xr3:uid="{688125F8-FA97-194C-9C2D-FB50FCE97DF9}" uniqueName="142" name="Space heating_64" queryTableFieldId="142"/>
    <tableColumn id="143" xr3:uid="{9FA14A27-94D7-A540-B922-5C3B6B972C95}" uniqueName="143" name="Cooling_65" queryTableFieldId="143"/>
    <tableColumn id="144" xr3:uid="{89AF2CA8-759B-494C-8B51-F2C37445B9B8}" uniqueName="144" name="Water heating_66" queryTableFieldId="144"/>
    <tableColumn id="145" xr3:uid="{F1B7FDC1-B701-8B4D-8419-352E81BCAC4A}" uniqueName="145" name="Cooking_67" queryTableFieldId="145"/>
    <tableColumn id="146" xr3:uid="{51FECF0A-8D87-FF42-ACAD-11DF2C1F2A82}" uniqueName="146" name="Specific electricity uses (appliances and lighting)_68" queryTableFieldId="146"/>
    <tableColumn id="147" xr3:uid="{B5EA7F3A-94DB-3849-8972-408F06196595}" uniqueName="147" name="Column147" queryTableFieldId="147"/>
    <tableColumn id="148" xr3:uid="{52BCE8BF-D3F1-0B41-8F4B-951F95B1CBB0}" uniqueName="148" name="Column148" queryTableFieldId="148"/>
    <tableColumn id="149" xr3:uid="{7F353577-169F-4A49-BED3-17DC7ADA5BA4}" uniqueName="149" name="Column149" queryTableFieldId="149"/>
    <tableColumn id="150" xr3:uid="{781B76CA-25B9-EC43-8D6D-7A071FDD8DF6}" uniqueName="150" name="Energy consumption per capita (kWh / capita)" queryTableFieldId="150"/>
    <tableColumn id="151" xr3:uid="{B6B09EFC-42BD-DB4D-A8C1-F43495A6B166}" uniqueName="151" name="Thermal uses_69" queryTableFieldId="151"/>
    <tableColumn id="152" xr3:uid="{301EFE89-2333-5748-B6C9-37513CEB367A}" uniqueName="152" name="Space heating_70" queryTableFieldId="152"/>
    <tableColumn id="153" xr3:uid="{E418152E-786C-354D-A07F-99CAF28B5079}" uniqueName="153" name="Cooling_71" queryTableFieldId="153"/>
    <tableColumn id="154" xr3:uid="{C1CA29FD-321C-464F-92D9-61D9C83ECF01}" uniqueName="154" name="Water heating_72" queryTableFieldId="154"/>
    <tableColumn id="155" xr3:uid="{AD6D89F0-8FCB-454B-A6FA-A2DAE54C6050}" uniqueName="155" name="Cooking_73" queryTableFieldId="155"/>
    <tableColumn id="156" xr3:uid="{1BCB13F5-D65A-894B-A09A-4FAA96A8C698}" uniqueName="156" name="Specific electricity uses (appliances and lighting)_74" queryTableFieldId="156"/>
    <tableColumn id="157" xr3:uid="{F0C8C15A-6A48-C742-A976-6D6178DE0A66}" uniqueName="157" name="Column157" queryTableFieldId="157"/>
    <tableColumn id="158" xr3:uid="{A296E5E4-2C97-CD44-B3B4-3E6BE2F82E1E}" uniqueName="158" name="Thermal energy service per capita (kWh useful / capita)" queryTableFieldId="158"/>
    <tableColumn id="159" xr3:uid="{F349D19C-9C52-AB4A-BBCA-D2BC9DDCF8AE}" uniqueName="159" name="Space heating_75" queryTableFieldId="159"/>
    <tableColumn id="160" xr3:uid="{21E87294-37C9-714A-8403-1F798C3F2645}" uniqueName="160" name="Cooling_76" queryTableFieldId="160"/>
    <tableColumn id="161" xr3:uid="{B3EA176E-CA9D-1946-BB37-1502C4400086}" uniqueName="161" name="Water heating_77" queryTableFieldId="161"/>
    <tableColumn id="162" xr3:uid="{BE7F8C5E-B76F-A145-9AFB-DB698402E0AF}" uniqueName="162" name="Cooking_78" queryTableFieldId="162"/>
    <tableColumn id="163" xr3:uid="{A70767A0-3CDD-D849-854C-ECB033169952}" uniqueName="163" name="Column163" queryTableFieldId="163"/>
    <tableColumn id="164" xr3:uid="{B1708CA2-BE34-F247-8AB9-D901C7CF2017}" uniqueName="164" name="Emissions per capita (kg CO2 / capita)" queryTableFieldId="164"/>
    <tableColumn id="165" xr3:uid="{C8B23EDB-028F-E24E-B99C-9C43F046BD32}" uniqueName="165" name="Thermal uses_79" queryTableFieldId="165"/>
    <tableColumn id="166" xr3:uid="{BFA23E31-FF9A-914E-A77B-DA80BE0ED437}" uniqueName="166" name="Space heating_80" queryTableFieldId="166"/>
    <tableColumn id="167" xr3:uid="{F74F7E5B-2E63-E14E-AE64-DC10E9211663}" uniqueName="167" name="Cooling_81" queryTableFieldId="167"/>
    <tableColumn id="168" xr3:uid="{991B47E8-35FC-4B40-A721-F098ABF5AA4F}" uniqueName="168" name="Water heating_82" queryTableFieldId="168"/>
    <tableColumn id="169" xr3:uid="{50C3A087-002E-A84B-8731-312B59F12555}" uniqueName="169" name="Cooking_83" queryTableFieldId="169"/>
    <tableColumn id="170" xr3:uid="{1A3BF385-40D3-C342-A1DC-8C3B00C5A1B2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8B547D-E5E0-764A-9B3A-B8DF1C3EE4D6}" name="population__3" displayName="population__3" ref="A1:D116" tableType="queryTable" totalsRowShown="0">
  <autoFilter ref="A1:D116" xr:uid="{1D8B547D-E5E0-764A-9B3A-B8DF1C3EE4D6}"/>
  <tableColumns count="4">
    <tableColumn id="1" xr3:uid="{B925CA0B-CF6A-0541-BC14-ED034F98996F}" uniqueName="1" name="Entity" queryTableFieldId="1" dataDxfId="24"/>
    <tableColumn id="2" xr3:uid="{DF5B0479-A63B-CD4F-A2C3-F4358F4882B1}" uniqueName="2" name="Code" queryTableFieldId="2" dataDxfId="23"/>
    <tableColumn id="3" xr3:uid="{BC2CD2CB-20A8-7E40-BC3A-B6F7A66A54AC}" uniqueName="3" name="Year" queryTableFieldId="3"/>
    <tableColumn id="4" xr3:uid="{6270FFF1-0581-4342-9443-9DC6E55FCFB3}" uniqueName="4" name="Population (historical)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5FA4600-D4A2-EA4C-8C71-EC3F93B241E5}" name="annual_reported_passenger_kilometers__3" displayName="annual_reported_passenger_kilometers__3" ref="A1:E53" tableType="queryTable" totalsRowShown="0">
  <autoFilter ref="A1:E53" xr:uid="{95FA4600-D4A2-EA4C-8C71-EC3F93B241E5}"/>
  <tableColumns count="5">
    <tableColumn id="1" xr3:uid="{B0AB1367-CF17-854F-8271-664BC2BDD61B}" uniqueName="1" name="Entity" queryTableFieldId="1" dataDxfId="22"/>
    <tableColumn id="2" xr3:uid="{545557E6-5FDC-4C4B-92EB-9F696E1335E9}" uniqueName="2" name="Code" queryTableFieldId="2" dataDxfId="21"/>
    <tableColumn id="3" xr3:uid="{33D69C00-CB7F-4542-B40C-11638C247FBF}" uniqueName="3" name="Year" queryTableFieldId="3"/>
    <tableColumn id="4" xr3:uid="{69E852EA-1AF3-894C-B4FB-0C188735ED2C}" uniqueName="4" name="Passenger kilometers by rail" queryTableFieldId="4"/>
    <tableColumn id="5" xr3:uid="{A62C9E7A-402C-1B44-BB25-29377FA0CFFD}" uniqueName="5" name="Passenger kilometers by road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FFD727-A5E0-8F4B-A9AB-84BAD75420D9}" name="population__2" displayName="population__2" ref="A1:E309" tableType="queryTable" totalsRowShown="0">
  <autoFilter ref="A1:E309" xr:uid="{3FFFD727-A5E0-8F4B-A9AB-84BAD75420D9}"/>
  <tableColumns count="5">
    <tableColumn id="1" xr3:uid="{35A2D0EF-1379-6B40-A637-7C30236FD613}" uniqueName="1" name="Entity" queryTableFieldId="1" dataDxfId="20"/>
    <tableColumn id="2" xr3:uid="{48F0FC67-0C03-F940-9DA4-E39DF74B90C1}" uniqueName="2" name="Code" queryTableFieldId="2" dataDxfId="19"/>
    <tableColumn id="3" xr3:uid="{D99BBC88-D1D8-C541-9AF8-8B8849D3D08C}" uniqueName="3" name="Year" queryTableFieldId="3"/>
    <tableColumn id="4" xr3:uid="{57C96BD3-4904-434E-86A3-7D349180D70E}" uniqueName="4" name="Population (historical)" queryTableFieldId="4"/>
    <tableColumn id="5" xr3:uid="{50F0CAA8-6ABA-3441-B6F7-3FFDCD558531}" uniqueName="5" name="Column1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8CD9C8-F7AA-044B-91FD-EEB1583B7DD0}" name="us" displayName="us" ref="A1:AI76" tableType="queryTable" totalsRowShown="0">
  <autoFilter ref="A1:AI76" xr:uid="{4B8CD9C8-F7AA-044B-91FD-EEB1583B7DD0}"/>
  <tableColumns count="35">
    <tableColumn id="1" xr3:uid="{5E9D3C01-FD65-FE49-AEB9-D7E1C2A0F3E4}" uniqueName="1" name="Column1" queryTableFieldId="1" dataDxfId="18"/>
    <tableColumn id="2" xr3:uid="{4DD9B0B0-003B-6446-9876-63B3B15D0787}" uniqueName="2" name="Column2" queryTableFieldId="2"/>
    <tableColumn id="3" xr3:uid="{FD83E5EB-31C2-8244-A9C8-EE94BBCF232D}" uniqueName="3" name="Column3" queryTableFieldId="3" dataDxfId="17"/>
    <tableColumn id="4" xr3:uid="{7C903CEF-DAB9-0F40-80AC-980CA4E71746}" uniqueName="4" name="Column4" queryTableFieldId="4" dataDxfId="16"/>
    <tableColumn id="5" xr3:uid="{4CCD7F04-D4DC-784F-92C9-BDB049173D52}" uniqueName="5" name="Column5" queryTableFieldId="5"/>
    <tableColumn id="6" xr3:uid="{A468AEDA-BEB7-BB41-A1AB-D837D7856663}" uniqueName="6" name="Column6" queryTableFieldId="6"/>
    <tableColumn id="7" xr3:uid="{A2A1082C-E151-694E-9A2A-696FF30C5652}" uniqueName="7" name="Column7" queryTableFieldId="7"/>
    <tableColumn id="8" xr3:uid="{761481C5-0A9E-F44E-986E-78DA709BDF36}" uniqueName="8" name="Column8" queryTableFieldId="8"/>
    <tableColumn id="9" xr3:uid="{5C9AF5A1-9CCD-0B46-A2F7-3897921BA9B5}" uniqueName="9" name="Column9" queryTableFieldId="9"/>
    <tableColumn id="10" xr3:uid="{92EC5D1C-04B4-C04D-870A-A6A055DC4CFA}" uniqueName="10" name="Column10" queryTableFieldId="10"/>
    <tableColumn id="11" xr3:uid="{B7BBAD09-C21C-4F48-AEB9-A5B1992588DA}" uniqueName="11" name="Column11" queryTableFieldId="11"/>
    <tableColumn id="12" xr3:uid="{D76B5BBF-4DCF-BF47-A399-C781A284372F}" uniqueName="12" name="Column12" queryTableFieldId="12"/>
    <tableColumn id="13" xr3:uid="{6F0DCB30-FF05-8E4A-9F69-589988D2E435}" uniqueName="13" name="Column13" queryTableFieldId="13"/>
    <tableColumn id="14" xr3:uid="{BF7040D8-4B85-0742-BFF6-DAF3E67D0480}" uniqueName="14" name="Column14" queryTableFieldId="14"/>
    <tableColumn id="15" xr3:uid="{1DB2ADF0-F83E-5C46-9C22-BE328DC70266}" uniqueName="15" name="Column15" queryTableFieldId="15"/>
    <tableColumn id="16" xr3:uid="{DA0DC323-919B-634B-93E5-CAEFDECA6A2B}" uniqueName="16" name="Column16" queryTableFieldId="16"/>
    <tableColumn id="17" xr3:uid="{943190E1-4FDD-1749-A6EC-B39C74F7BF07}" uniqueName="17" name="Column17" queryTableFieldId="17"/>
    <tableColumn id="18" xr3:uid="{F6D3F6BC-9CFC-9447-99F9-071CD2DF4FA5}" uniqueName="18" name="Column18" queryTableFieldId="18"/>
    <tableColumn id="19" xr3:uid="{BC87127C-92F6-9046-B5DA-E556B5F22FF1}" uniqueName="19" name="Column19" queryTableFieldId="19"/>
    <tableColumn id="20" xr3:uid="{9228448A-0DD7-EE42-9067-2B743924FE68}" uniqueName="20" name="Column20" queryTableFieldId="20"/>
    <tableColumn id="21" xr3:uid="{CFE2C1B5-3D0F-354A-B9BE-951E12CCCBCD}" uniqueName="21" name="Column21" queryTableFieldId="21"/>
    <tableColumn id="22" xr3:uid="{3BDCF5FA-7C97-C545-B8CF-11AAC6156C47}" uniqueName="22" name="Column22" queryTableFieldId="22"/>
    <tableColumn id="23" xr3:uid="{2609338B-7183-6549-9960-7B500C3024EB}" uniqueName="23" name="Column23" queryTableFieldId="23"/>
    <tableColumn id="24" xr3:uid="{419E3BF8-F57D-FE40-B33C-EEF2E07FA0DC}" uniqueName="24" name="Column24" queryTableFieldId="24"/>
    <tableColumn id="25" xr3:uid="{5EC2E8B4-D171-D849-AA52-C8E7354DD9EB}" uniqueName="25" name="Column25" queryTableFieldId="25"/>
    <tableColumn id="26" xr3:uid="{98640E2B-2AFE-8141-967A-4E2ADDE5E5C1}" uniqueName="26" name="Column26" queryTableFieldId="26"/>
    <tableColumn id="27" xr3:uid="{BD52E36E-F1DE-DA40-A1ED-2593B220F136}" uniqueName="27" name="Column27" queryTableFieldId="27"/>
    <tableColumn id="28" xr3:uid="{6BBB7A09-B59D-9946-87DC-F73476706A63}" uniqueName="28" name="Column28" queryTableFieldId="28"/>
    <tableColumn id="29" xr3:uid="{795A6209-FFB3-8742-926C-1F9B5FC2AB73}" uniqueName="29" name="Column29" queryTableFieldId="29"/>
    <tableColumn id="30" xr3:uid="{736E0FAE-A63E-1A43-9EFE-B0E174A12A50}" uniqueName="30" name="Column30" queryTableFieldId="30"/>
    <tableColumn id="31" xr3:uid="{67661418-28D6-5048-8FFE-29EC354D5D85}" uniqueName="31" name="Column31" queryTableFieldId="31"/>
    <tableColumn id="32" xr3:uid="{1A8619EB-2239-EE48-BE4B-CED01043EFEB}" uniqueName="32" name="Column32" queryTableFieldId="32"/>
    <tableColumn id="33" xr3:uid="{8B165040-7E02-9C4D-A5A0-6D4435189C98}" uniqueName="33" name="Column33" queryTableFieldId="33"/>
    <tableColumn id="34" xr3:uid="{01AE872E-3EA4-3C42-9F0E-E44815CD6DDA}" uniqueName="34" name="Column34" queryTableFieldId="34"/>
    <tableColumn id="35" xr3:uid="{4D958FA7-00D6-514E-96E9-3E0597D1E0C5}" uniqueName="35" name="Column35" queryTableFieldId="3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811F54-68A5-6B45-B258-3C3A2FAB0D47}" name="uk" displayName="uk" ref="A1:AG77" tableType="queryTable" totalsRowShown="0">
  <autoFilter ref="A1:AG77" xr:uid="{99811F54-68A5-6B45-B258-3C3A2FAB0D47}"/>
  <tableColumns count="33">
    <tableColumn id="1" xr3:uid="{E33206FD-86AF-F04A-A0C0-FBC7D9747756}" uniqueName="1" name="Column1" queryTableFieldId="1" dataDxfId="15"/>
    <tableColumn id="2" xr3:uid="{5A76018B-5950-E447-B6C2-9BE8096CF739}" uniqueName="2" name="Column2" queryTableFieldId="2"/>
    <tableColumn id="3" xr3:uid="{C3F308E1-8DC2-3143-BAE5-5BE46FDF60AD}" uniqueName="3" name="Column3" queryTableFieldId="3" dataDxfId="14"/>
    <tableColumn id="4" xr3:uid="{E48868F7-027B-2C43-9153-C27F0CF19171}" uniqueName="4" name="Column4" queryTableFieldId="4" dataDxfId="13"/>
    <tableColumn id="5" xr3:uid="{7EF96052-E409-854F-8F58-C49E9EF9EEDC}" uniqueName="5" name="Column5" queryTableFieldId="5"/>
    <tableColumn id="6" xr3:uid="{9FB2B119-BC83-D148-BCCC-2AFE0DF5C1B6}" uniqueName="6" name="Column6" queryTableFieldId="6"/>
    <tableColumn id="7" xr3:uid="{A5FD4F87-A3B4-C148-819C-36E9678798D4}" uniqueName="7" name="Column7" queryTableFieldId="7"/>
    <tableColumn id="8" xr3:uid="{E27EF010-12E6-3540-AD6C-1AC3CFF8CE64}" uniqueName="8" name="Column8" queryTableFieldId="8"/>
    <tableColumn id="9" xr3:uid="{30F1C2D8-3F32-634F-AF72-031A8C899ABE}" uniqueName="9" name="Column9" queryTableFieldId="9"/>
    <tableColumn id="10" xr3:uid="{670C8F4E-0A0E-094B-84E0-92E88B00219A}" uniqueName="10" name="Column10" queryTableFieldId="10"/>
    <tableColumn id="11" xr3:uid="{70FA2142-5C28-6D4D-B51E-D6FA97DA2970}" uniqueName="11" name="Column11" queryTableFieldId="11"/>
    <tableColumn id="12" xr3:uid="{00E92328-1EAC-5640-BDF9-5340C54AEA2E}" uniqueName="12" name="Column12" queryTableFieldId="12"/>
    <tableColumn id="13" xr3:uid="{B3B46061-856D-2C4E-9F83-BBC9845ACF61}" uniqueName="13" name="Column13" queryTableFieldId="13"/>
    <tableColumn id="14" xr3:uid="{242D19B9-8E6E-084B-AB78-2D53F71C9B23}" uniqueName="14" name="Column14" queryTableFieldId="14"/>
    <tableColumn id="15" xr3:uid="{40371113-5D6D-7243-9954-28B311B9CFEE}" uniqueName="15" name="Column15" queryTableFieldId="15"/>
    <tableColumn id="16" xr3:uid="{DE11F6AE-F371-BC48-9E1A-698146707537}" uniqueName="16" name="Column16" queryTableFieldId="16"/>
    <tableColumn id="17" xr3:uid="{63957EDB-79F9-E84E-9C23-F5128377951C}" uniqueName="17" name="Column17" queryTableFieldId="17"/>
    <tableColumn id="18" xr3:uid="{90635832-CA12-BC43-9370-9873B3B89C6D}" uniqueName="18" name="Column18" queryTableFieldId="18"/>
    <tableColumn id="19" xr3:uid="{D4A83930-7767-284E-A457-475CCBDB5D78}" uniqueName="19" name="Column19" queryTableFieldId="19"/>
    <tableColumn id="20" xr3:uid="{361B6657-0775-814A-A3B5-5B69FF69D4D5}" uniqueName="20" name="Column20" queryTableFieldId="20"/>
    <tableColumn id="21" xr3:uid="{A78B4928-3213-8A45-9EF2-8B6C16273701}" uniqueName="21" name="Column21" queryTableFieldId="21"/>
    <tableColumn id="22" xr3:uid="{B9EEBB12-BD07-EA4D-9B0F-86E177E0E904}" uniqueName="22" name="Column22" queryTableFieldId="22"/>
    <tableColumn id="23" xr3:uid="{C532E816-954E-8340-8AAA-D84069FF5797}" uniqueName="23" name="Column23" queryTableFieldId="23"/>
    <tableColumn id="24" xr3:uid="{C8B68582-3B97-6048-9364-45467A1F1A30}" uniqueName="24" name="Column24" queryTableFieldId="24"/>
    <tableColumn id="25" xr3:uid="{85732C50-6A9B-C74D-A80C-92CD9DE7E452}" uniqueName="25" name="Column25" queryTableFieldId="25"/>
    <tableColumn id="26" xr3:uid="{A93B5783-37BC-F44D-859D-2BBDD4A76510}" uniqueName="26" name="Column26" queryTableFieldId="26"/>
    <tableColumn id="27" xr3:uid="{690252C3-147C-B343-9133-1FB67796BDFB}" uniqueName="27" name="Column27" queryTableFieldId="27"/>
    <tableColumn id="28" xr3:uid="{7842501A-9137-3F44-9286-1C0D1AE751CE}" uniqueName="28" name="Column28" queryTableFieldId="28"/>
    <tableColumn id="29" xr3:uid="{611A56F8-63E9-6B4C-A38F-43B4989DCA90}" uniqueName="29" name="Column29" queryTableFieldId="29"/>
    <tableColumn id="30" xr3:uid="{B3699206-6EEF-834A-9232-9A9EC782712F}" uniqueName="30" name="Column30" queryTableFieldId="30"/>
    <tableColumn id="31" xr3:uid="{003A7D5F-895C-7846-A1CE-695BC0C65148}" uniqueName="31" name="Column31" queryTableFieldId="31"/>
    <tableColumn id="32" xr3:uid="{31604AD8-03A7-5346-A7A0-176E7C25DB49}" uniqueName="32" name="Column32" queryTableFieldId="32"/>
    <tableColumn id="33" xr3:uid="{862039DF-A064-0D44-BD54-3047C7ECF9FD}" uniqueName="33" name="Column33" queryTableFieldId="3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212E14-C521-274D-B582-91ABED7C459A}" name="india" displayName="india" ref="A1:AG77" tableType="queryTable" totalsRowShown="0">
  <autoFilter ref="A1:AG77" xr:uid="{D3212E14-C521-274D-B582-91ABED7C459A}"/>
  <tableColumns count="33">
    <tableColumn id="1" xr3:uid="{790FBA9A-B7E8-C941-9005-4F8D2F887125}" uniqueName="1" name="Column1" queryTableFieldId="1" dataDxfId="12"/>
    <tableColumn id="2" xr3:uid="{4D40BA13-3750-F346-B636-69400A5871A1}" uniqueName="2" name="Column2" queryTableFieldId="2"/>
    <tableColumn id="3" xr3:uid="{E4A57395-948F-714B-B847-B78273C21E5C}" uniqueName="3" name="Column3" queryTableFieldId="3" dataDxfId="11"/>
    <tableColumn id="4" xr3:uid="{7E19EC08-603A-AF4C-B366-0C12911A1783}" uniqueName="4" name="Column4" queryTableFieldId="4" dataDxfId="10"/>
    <tableColumn id="5" xr3:uid="{366D5AA9-45E4-5B47-9CA8-21D26AC7BF5F}" uniqueName="5" name="Column5" queryTableFieldId="5"/>
    <tableColumn id="6" xr3:uid="{870753B5-BAF3-454E-960F-547A88FD7073}" uniqueName="6" name="Column6" queryTableFieldId="6"/>
    <tableColumn id="7" xr3:uid="{67831EEC-5A43-A34F-BA3B-098F5D03EF4D}" uniqueName="7" name="Column7" queryTableFieldId="7"/>
    <tableColumn id="8" xr3:uid="{21995D51-1C37-0942-B4A4-6D2B79B47E1E}" uniqueName="8" name="Column8" queryTableFieldId="8"/>
    <tableColumn id="9" xr3:uid="{35839A29-01DC-CF42-9B68-16B30609DF0C}" uniqueName="9" name="Column9" queryTableFieldId="9"/>
    <tableColumn id="10" xr3:uid="{DFFEF2E0-843E-DA4F-9BD6-61AE211C6510}" uniqueName="10" name="Column10" queryTableFieldId="10"/>
    <tableColumn id="11" xr3:uid="{9D2C0379-38B5-E948-88E4-077B9A64991F}" uniqueName="11" name="Column11" queryTableFieldId="11"/>
    <tableColumn id="12" xr3:uid="{9AC194F5-2B0E-EE40-8ACB-195EE38E1D00}" uniqueName="12" name="Column12" queryTableFieldId="12"/>
    <tableColumn id="13" xr3:uid="{98357942-8034-7845-9CC3-7D85598EA84A}" uniqueName="13" name="Column13" queryTableFieldId="13"/>
    <tableColumn id="14" xr3:uid="{D3EE82A8-C350-1249-84E7-50E265B15A00}" uniqueName="14" name="Column14" queryTableFieldId="14"/>
    <tableColumn id="15" xr3:uid="{17D0FD65-0B76-A148-AA52-8C8FAF02B11F}" uniqueName="15" name="Column15" queryTableFieldId="15"/>
    <tableColumn id="16" xr3:uid="{4F3EAE0C-52DA-9848-AC19-D8EBAC5313C2}" uniqueName="16" name="Column16" queryTableFieldId="16"/>
    <tableColumn id="17" xr3:uid="{AC7A61E6-0102-9149-805B-311C1F884F62}" uniqueName="17" name="Column17" queryTableFieldId="17"/>
    <tableColumn id="18" xr3:uid="{741E65AC-4AFF-0048-9973-AF89928D5E8E}" uniqueName="18" name="Column18" queryTableFieldId="18"/>
    <tableColumn id="19" xr3:uid="{50432AC0-3A9E-374B-B466-566C1EC79E7A}" uniqueName="19" name="Column19" queryTableFieldId="19"/>
    <tableColumn id="20" xr3:uid="{E4612BE5-4780-404C-A7CF-AF15EF660019}" uniqueName="20" name="Column20" queryTableFieldId="20"/>
    <tableColumn id="21" xr3:uid="{D2BC335F-E0C3-E840-B822-43D189B07543}" uniqueName="21" name="Column21" queryTableFieldId="21"/>
    <tableColumn id="22" xr3:uid="{223E48A9-6162-7D45-89DA-B2EEE5A8EE08}" uniqueName="22" name="Column22" queryTableFieldId="22"/>
    <tableColumn id="23" xr3:uid="{078ED30B-158C-8643-A89E-498B96E45943}" uniqueName="23" name="Column23" queryTableFieldId="23"/>
    <tableColumn id="24" xr3:uid="{9D639E6C-C513-EA45-8DE7-0AF13A6E4812}" uniqueName="24" name="Column24" queryTableFieldId="24"/>
    <tableColumn id="25" xr3:uid="{FA01D873-5C6D-CB4A-B076-38D6EEC7BDCD}" uniqueName="25" name="Column25" queryTableFieldId="25"/>
    <tableColumn id="26" xr3:uid="{5266767E-2840-5146-A1CB-860D97EB9875}" uniqueName="26" name="Column26" queryTableFieldId="26"/>
    <tableColumn id="27" xr3:uid="{8256FF94-D290-904E-90AD-DD145ABAD2D2}" uniqueName="27" name="Column27" queryTableFieldId="27"/>
    <tableColumn id="28" xr3:uid="{7607BA0D-8E54-9142-838E-83973CADA0C8}" uniqueName="28" name="Column28" queryTableFieldId="28"/>
    <tableColumn id="29" xr3:uid="{FB15B2A6-A452-A648-8A3D-2D32F929EC21}" uniqueName="29" name="Column29" queryTableFieldId="29"/>
    <tableColumn id="30" xr3:uid="{21CD69F1-785D-AA4C-AE04-8A09D17AC0DF}" uniqueName="30" name="Column30" queryTableFieldId="30"/>
    <tableColumn id="31" xr3:uid="{9123964E-C11F-CF45-9C99-9C53EAD84321}" uniqueName="31" name="Column31" queryTableFieldId="31"/>
    <tableColumn id="32" xr3:uid="{464B8FCF-729B-AC41-BE76-5307DCAC349F}" uniqueName="32" name="Column32" queryTableFieldId="32"/>
    <tableColumn id="33" xr3:uid="{6287B97B-01CF-C346-B28F-7BBCE996ECFC}" uniqueName="33" name="Column33" queryTableFieldId="3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DA5D16-43E0-EC41-ABB9-656ED23FF572}" name="japan" displayName="japan" ref="A1:AG77" tableType="queryTable" totalsRowShown="0">
  <autoFilter ref="A1:AG77" xr:uid="{35DA5D16-43E0-EC41-ABB9-656ED23FF572}"/>
  <tableColumns count="33">
    <tableColumn id="1" xr3:uid="{810AAEF8-37C7-7948-A601-515D7252E8EA}" uniqueName="1" name="Column1" queryTableFieldId="1" dataDxfId="9"/>
    <tableColumn id="2" xr3:uid="{82A01C3F-7752-C240-9029-95A6381FD282}" uniqueName="2" name="Column2" queryTableFieldId="2"/>
    <tableColumn id="3" xr3:uid="{7667B1D3-B27B-4C4A-9510-2DBD717B5EF6}" uniqueName="3" name="Column3" queryTableFieldId="3" dataDxfId="8"/>
    <tableColumn id="4" xr3:uid="{2FE7CF1D-2CB3-4B4A-A2B0-4CAA2039DAD2}" uniqueName="4" name="Column4" queryTableFieldId="4" dataDxfId="7"/>
    <tableColumn id="5" xr3:uid="{76EA7448-AADF-7443-8144-A02DA0E1650F}" uniqueName="5" name="Column5" queryTableFieldId="5"/>
    <tableColumn id="6" xr3:uid="{8EC0F488-D6C7-A045-958A-6E792B4781D9}" uniqueName="6" name="Column6" queryTableFieldId="6"/>
    <tableColumn id="7" xr3:uid="{94BD4E74-DF02-6B46-901F-4426E7DDE7B0}" uniqueName="7" name="Column7" queryTableFieldId="7"/>
    <tableColumn id="8" xr3:uid="{C13AF677-32AE-4142-B208-9589E7F0B6A5}" uniqueName="8" name="Column8" queryTableFieldId="8"/>
    <tableColumn id="9" xr3:uid="{548BCE17-B0BD-A549-8490-78703B7A6217}" uniqueName="9" name="Column9" queryTableFieldId="9"/>
    <tableColumn id="10" xr3:uid="{43414696-C641-CA44-9741-54606C9765F6}" uniqueName="10" name="Column10" queryTableFieldId="10"/>
    <tableColumn id="11" xr3:uid="{7B3E9612-C01C-F444-AF37-13710EC32DAB}" uniqueName="11" name="Column11" queryTableFieldId="11"/>
    <tableColumn id="12" xr3:uid="{FEC42D76-69DB-2E47-9F0F-7D6EFF4697D8}" uniqueName="12" name="Column12" queryTableFieldId="12"/>
    <tableColumn id="13" xr3:uid="{9B4E3C0F-BE4D-7945-9AA4-B8395FCA7763}" uniqueName="13" name="Column13" queryTableFieldId="13"/>
    <tableColumn id="14" xr3:uid="{9DD12C56-AB6C-EB43-A9E2-9E26098DE731}" uniqueName="14" name="Column14" queryTableFieldId="14"/>
    <tableColumn id="15" xr3:uid="{77ECCBF6-64A9-5744-AAAD-1B8E357DF063}" uniqueName="15" name="Column15" queryTableFieldId="15"/>
    <tableColumn id="16" xr3:uid="{362BFB3A-F80C-7F4D-9520-417B92F884C9}" uniqueName="16" name="Column16" queryTableFieldId="16"/>
    <tableColumn id="17" xr3:uid="{9D233E73-9717-B048-B623-5A95E46C7091}" uniqueName="17" name="Column17" queryTableFieldId="17"/>
    <tableColumn id="18" xr3:uid="{5CA8FA47-5F5F-9F40-B6B6-446704ED28F8}" uniqueName="18" name="Column18" queryTableFieldId="18"/>
    <tableColumn id="19" xr3:uid="{85712033-41FB-814E-9C96-301BE001DB15}" uniqueName="19" name="Column19" queryTableFieldId="19"/>
    <tableColumn id="20" xr3:uid="{682561BD-21B4-564C-8C87-2E4123736315}" uniqueName="20" name="Column20" queryTableFieldId="20"/>
    <tableColumn id="21" xr3:uid="{CE6A5D92-473D-024A-8B58-CC4139A19033}" uniqueName="21" name="Column21" queryTableFieldId="21"/>
    <tableColumn id="22" xr3:uid="{D017D113-6CC6-6848-8912-FD2504B04C4E}" uniqueName="22" name="Column22" queryTableFieldId="22"/>
    <tableColumn id="23" xr3:uid="{B9AD5BA1-52F5-4845-8FE5-66C5BCE66A45}" uniqueName="23" name="Column23" queryTableFieldId="23"/>
    <tableColumn id="24" xr3:uid="{E1DE2E10-EAA5-4544-9E51-DD2717E0A5C2}" uniqueName="24" name="Column24" queryTableFieldId="24"/>
    <tableColumn id="25" xr3:uid="{ACC1AFA4-D46E-8D4F-BDB3-7DAE22C776AF}" uniqueName="25" name="Column25" queryTableFieldId="25"/>
    <tableColumn id="26" xr3:uid="{F7BE19D9-EA7B-9445-BA2B-88AAEE801CD0}" uniqueName="26" name="Column26" queryTableFieldId="26"/>
    <tableColumn id="27" xr3:uid="{F4798027-B679-CA44-AE62-E958501EE28F}" uniqueName="27" name="Column27" queryTableFieldId="27"/>
    <tableColumn id="28" xr3:uid="{FC58A005-BE95-0242-BD16-F3AFC3CF4CE4}" uniqueName="28" name="Column28" queryTableFieldId="28"/>
    <tableColumn id="29" xr3:uid="{C2E79689-9194-EA44-BB74-3C846249D8A4}" uniqueName="29" name="Column29" queryTableFieldId="29"/>
    <tableColumn id="30" xr3:uid="{90575928-A4BF-E447-B3DE-D63BB3D65DBA}" uniqueName="30" name="Column30" queryTableFieldId="30"/>
    <tableColumn id="31" xr3:uid="{F6F0E4D1-5B9D-5446-8167-681A741A05E8}" uniqueName="31" name="Column31" queryTableFieldId="31"/>
    <tableColumn id="32" xr3:uid="{CF04B305-06D6-B24B-B920-74B7E98B5B7F}" uniqueName="32" name="Column32" queryTableFieldId="32"/>
    <tableColumn id="33" xr3:uid="{1B53CDA2-6464-564D-BC56-455DF138373A}" uniqueName="33" name="Column33" queryTableFieldId="3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1C4BBA-27C7-A947-8D3D-E8E23A9912D1}" name="germany" displayName="germany" ref="A1:AG77" tableType="queryTable" totalsRowShown="0">
  <autoFilter ref="A1:AG77" xr:uid="{711C4BBA-27C7-A947-8D3D-E8E23A9912D1}"/>
  <tableColumns count="33">
    <tableColumn id="1" xr3:uid="{95947935-BE54-3B42-BF32-24293D7725E9}" uniqueName="1" name="Column1" queryTableFieldId="1" dataDxfId="6"/>
    <tableColumn id="2" xr3:uid="{B4A36DFE-6248-8341-BCF1-491078184451}" uniqueName="2" name="Column2" queryTableFieldId="2"/>
    <tableColumn id="3" xr3:uid="{BDA6385D-4D57-EE4B-B877-B8853FEA6B9E}" uniqueName="3" name="Column3" queryTableFieldId="3" dataDxfId="5"/>
    <tableColumn id="4" xr3:uid="{2207EBDE-E36D-FD41-B97B-E48FD4E9F16E}" uniqueName="4" name="Column4" queryTableFieldId="4" dataDxfId="4"/>
    <tableColumn id="5" xr3:uid="{AFA5509A-25E4-C449-B836-A51807F8AD3B}" uniqueName="5" name="Column5" queryTableFieldId="5"/>
    <tableColumn id="6" xr3:uid="{5F8F7228-65E3-E647-8A53-A93AA8FD6AEE}" uniqueName="6" name="Column6" queryTableFieldId="6"/>
    <tableColumn id="7" xr3:uid="{5F51C332-2AB0-4644-85BD-5096C25AE974}" uniqueName="7" name="Column7" queryTableFieldId="7"/>
    <tableColumn id="8" xr3:uid="{3C4C7F29-B1DD-DF4D-A4C3-2BC8DA0E7BCF}" uniqueName="8" name="Column8" queryTableFieldId="8"/>
    <tableColumn id="9" xr3:uid="{F741A568-97FB-8E41-8B3D-97BCC9EAB379}" uniqueName="9" name="Column9" queryTableFieldId="9"/>
    <tableColumn id="10" xr3:uid="{3FEEC826-E501-C34A-AA79-211F9EC15F8A}" uniqueName="10" name="Column10" queryTableFieldId="10"/>
    <tableColumn id="11" xr3:uid="{4B7D60AA-48AE-CA49-8ED7-2D53D0C2E859}" uniqueName="11" name="Column11" queryTableFieldId="11"/>
    <tableColumn id="12" xr3:uid="{6FFA6E61-4811-314B-A01E-189B81DD2126}" uniqueName="12" name="Column12" queryTableFieldId="12"/>
    <tableColumn id="13" xr3:uid="{C18122D6-E5EC-CF4B-BBDC-A5C81E952F62}" uniqueName="13" name="Column13" queryTableFieldId="13"/>
    <tableColumn id="14" xr3:uid="{467AFA3F-8DCA-7D43-9555-0A8DCF61B09F}" uniqueName="14" name="Column14" queryTableFieldId="14"/>
    <tableColumn id="15" xr3:uid="{BDC90AE4-5583-2F48-825F-672197B8CB90}" uniqueName="15" name="Column15" queryTableFieldId="15"/>
    <tableColumn id="16" xr3:uid="{91546D82-8999-D941-B436-5D4206E75FCF}" uniqueName="16" name="Column16" queryTableFieldId="16"/>
    <tableColumn id="17" xr3:uid="{C74EBA50-ABA9-6B43-A16A-82C61A797501}" uniqueName="17" name="Column17" queryTableFieldId="17"/>
    <tableColumn id="18" xr3:uid="{09872770-9EB0-E747-83AD-506C75AD2F14}" uniqueName="18" name="Column18" queryTableFieldId="18"/>
    <tableColumn id="19" xr3:uid="{2F0D8E3D-71D4-444B-961F-40059EABF99A}" uniqueName="19" name="Column19" queryTableFieldId="19"/>
    <tableColumn id="20" xr3:uid="{F26D3491-F002-5B44-A297-B5B310499ADE}" uniqueName="20" name="Column20" queryTableFieldId="20"/>
    <tableColumn id="21" xr3:uid="{70AC7B7D-666E-454F-9450-69C84C62CC7E}" uniqueName="21" name="Column21" queryTableFieldId="21"/>
    <tableColumn id="22" xr3:uid="{805E129F-7DE6-2E49-80CB-614C2AF9DF8E}" uniqueName="22" name="Column22" queryTableFieldId="22"/>
    <tableColumn id="23" xr3:uid="{1A94E04E-C783-DB43-9A41-1FC50ED40273}" uniqueName="23" name="Column23" queryTableFieldId="23"/>
    <tableColumn id="24" xr3:uid="{80C46871-FFD9-9B4B-A24E-D6A85D70C175}" uniqueName="24" name="Column24" queryTableFieldId="24"/>
    <tableColumn id="25" xr3:uid="{9CEFDD46-5A0F-B644-BC65-65E54F953C5A}" uniqueName="25" name="Column25" queryTableFieldId="25"/>
    <tableColumn id="26" xr3:uid="{92C3E91C-4A57-9545-950F-F7B26584E20F}" uniqueName="26" name="Column26" queryTableFieldId="26"/>
    <tableColumn id="27" xr3:uid="{B1A71A53-B0C4-0F4C-8F17-0FB872AA130B}" uniqueName="27" name="Column27" queryTableFieldId="27"/>
    <tableColumn id="28" xr3:uid="{E0BA1AB1-93F9-5E4B-A6F4-D177A68570E0}" uniqueName="28" name="Column28" queryTableFieldId="28"/>
    <tableColumn id="29" xr3:uid="{F83C17A6-1801-0B40-8B52-5B17A0B4B023}" uniqueName="29" name="Column29" queryTableFieldId="29"/>
    <tableColumn id="30" xr3:uid="{3133CA74-8755-5747-AD02-0FC0A5453824}" uniqueName="30" name="Column30" queryTableFieldId="30"/>
    <tableColumn id="31" xr3:uid="{64107044-98A8-AD4F-A71B-D64C1F85037C}" uniqueName="31" name="Column31" queryTableFieldId="31"/>
    <tableColumn id="32" xr3:uid="{CC2C6B95-BCE7-BF49-A934-2EC118975A90}" uniqueName="32" name="Column32" queryTableFieldId="32"/>
    <tableColumn id="33" xr3:uid="{2C21D98C-28C3-AC49-881B-2E71885A282E}" uniqueName="33" name="Column33" queryTableFieldId="3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093675-839A-D043-AA00-F4FC27FC6F2C}" name="population_unwpp__2" displayName="population_unwpp__2" ref="A1:D223" tableType="queryTable" totalsRowShown="0">
  <autoFilter ref="A1:D223" xr:uid="{EB093675-839A-D043-AA00-F4FC27FC6F2C}"/>
  <tableColumns count="4">
    <tableColumn id="1" xr3:uid="{48795ABC-B23F-C749-9B4E-CEF6C924C81D}" uniqueName="1" name="Entity" queryTableFieldId="1" dataDxfId="3"/>
    <tableColumn id="2" xr3:uid="{38AB0B64-45D2-704A-8C92-5E089F3717D9}" uniqueName="2" name="Code" queryTableFieldId="2" dataDxfId="2"/>
    <tableColumn id="3" xr3:uid="{795896CA-C7BF-C84C-91D2-2813A784FBC6}" uniqueName="3" name="Year" queryTableFieldId="3"/>
    <tableColumn id="4" xr3:uid="{96B6DB74-BC3E-954E-AF7D-584FBCE0ABFD}" uniqueName="4" name="Population - Sex: all - Age: all - Variant: estimates" queryTableFieldId="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E1A0E-80E3-9C40-A6A2-FA824F3014B5}" name="population" displayName="population" ref="A1:D403" tableType="queryTable" totalsRowShown="0">
  <autoFilter ref="A1:D403" xr:uid="{289E1A0E-80E3-9C40-A6A2-FA824F3014B5}"/>
  <tableColumns count="4">
    <tableColumn id="1" xr3:uid="{582EC3AE-CEFD-1348-85BD-66197ECACB87}" uniqueName="1" name="Entity" queryTableFieldId="1" dataDxfId="1"/>
    <tableColumn id="2" xr3:uid="{CB3E7AEA-5122-6D4F-B526-E583AFB03D29}" uniqueName="2" name="Code" queryTableFieldId="2" dataDxfId="0"/>
    <tableColumn id="3" xr3:uid="{D6A6C9AB-8E1C-EF4A-970B-633990FB5E59}" uniqueName="3" name="Year" queryTableFieldId="3"/>
    <tableColumn id="4" xr3:uid="{B47136E5-68CF-1544-9EA8-5D3EECF99005}" uniqueName="4" name="Population (historical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A743A3-517B-43D5-BFA3-1E2DB41F7681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population?time=1890..latest&amp;country=IND~BGD~NGA" TargetMode="External"/><Relationship Id="rId13" Type="http://schemas.openxmlformats.org/officeDocument/2006/relationships/hyperlink" Target="https://citypopulation.de/en/switzerland/cities/" TargetMode="External"/><Relationship Id="rId18" Type="http://schemas.openxmlformats.org/officeDocument/2006/relationships/hyperlink" Target="https://ourworldindata.org/grapher/population?time=1909..latest&amp;country=USA~OWID_WRL~GBR" TargetMode="External"/><Relationship Id="rId3" Type="http://schemas.openxmlformats.org/officeDocument/2006/relationships/hyperlink" Target="https://ourworldindata.org/grapher/population?time=1890..latest&amp;country=IND~BGD~NGA" TargetMode="External"/><Relationship Id="rId7" Type="http://schemas.openxmlformats.org/officeDocument/2006/relationships/hyperlink" Target="https://ourworldindata.org/grapher/population-unwpp?country=DNK~DEU~CHE" TargetMode="External"/><Relationship Id="rId12" Type="http://schemas.openxmlformats.org/officeDocument/2006/relationships/hyperlink" Target="https://ourworldindata.org/grapher/population?time=1909..latest&amp;country=~NLD" TargetMode="External"/><Relationship Id="rId17" Type="http://schemas.openxmlformats.org/officeDocument/2006/relationships/hyperlink" Target="https://www.globalreporting.org/news/news-center/gri-global-adoption-by-top-companies-continues-to-grow/" TargetMode="External"/><Relationship Id="rId2" Type="http://schemas.openxmlformats.org/officeDocument/2006/relationships/hyperlink" Target="https://ourworldindata.org/grapher/population-unwpp?country=DNK~DEU~CHE" TargetMode="External"/><Relationship Id="rId16" Type="http://schemas.openxmlformats.org/officeDocument/2006/relationships/hyperlink" Target="https://www.globalreporting.org/news/news-center/gri-global-adoption-by-top-companies-continues-to-grow/" TargetMode="External"/><Relationship Id="rId1" Type="http://schemas.openxmlformats.org/officeDocument/2006/relationships/hyperlink" Target="https://ourworldindata.org/grapher/population-unwpp?country=DNK~DEU~CHE" TargetMode="External"/><Relationship Id="rId6" Type="http://schemas.openxmlformats.org/officeDocument/2006/relationships/hyperlink" Target="https://ourworldindata.org/grapher/population?time=1890..latest&amp;country=IND~BGD~NGA" TargetMode="External"/><Relationship Id="rId11" Type="http://schemas.openxmlformats.org/officeDocument/2006/relationships/hyperlink" Target="https://ourworldindata.org/grapher/population?time=1909..latest&amp;country=USA~OWID_WRL~GBR" TargetMode="External"/><Relationship Id="rId5" Type="http://schemas.openxmlformats.org/officeDocument/2006/relationships/hyperlink" Target="https://ourworldindata.org/grapher/population?time=1890..latest&amp;country=IND~BGD~NGA" TargetMode="External"/><Relationship Id="rId15" Type="http://schemas.openxmlformats.org/officeDocument/2006/relationships/hyperlink" Target="https://www.globalreporting.org/news/news-center/gri-global-adoption-by-top-companies-continues-to-grow/" TargetMode="External"/><Relationship Id="rId10" Type="http://schemas.openxmlformats.org/officeDocument/2006/relationships/hyperlink" Target="https://ourworldindata.org/grapher/population?time=1909..latest&amp;country=USA~OWID_WRL~GBR" TargetMode="External"/><Relationship Id="rId4" Type="http://schemas.openxmlformats.org/officeDocument/2006/relationships/hyperlink" Target="https://ourworldindata.org/grapher/population?time=1890..latest&amp;country=IND~BGD~NGA" TargetMode="External"/><Relationship Id="rId9" Type="http://schemas.openxmlformats.org/officeDocument/2006/relationships/hyperlink" Target="https://ourworldindata.org/grapher/population?time=1909..latest&amp;country=USA~OWID_WRL~GBR" TargetMode="External"/><Relationship Id="rId14" Type="http://schemas.openxmlformats.org/officeDocument/2006/relationships/hyperlink" Target="https://www.globalreporting.org/news/news-center/gri-global-adoption-by-top-companies-continues-to-grow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-statista-com.libproxy.berkeley.edu/statistics/620866/sales-volume-of-new-bicycles-in-the-netherlands/" TargetMode="External"/><Relationship Id="rId2" Type="http://schemas.openxmlformats.org/officeDocument/2006/relationships/hyperlink" Target="https://www-statista-com.libproxy.berkeley.edu/statistics/801377/sales-volume-of-new-e-bikes-in-the-netherlands/" TargetMode="External"/><Relationship Id="rId1" Type="http://schemas.openxmlformats.org/officeDocument/2006/relationships/hyperlink" Target="https://www-statista-com.libproxy.berkeley.edu/statistics/255662/sales-of-electric-bicycles-in-china/" TargetMode="External"/><Relationship Id="rId5" Type="http://schemas.openxmlformats.org/officeDocument/2006/relationships/hyperlink" Target="https://www-statista-com.libproxy.berkeley.edu/statistics/1353343/electric-bike-sales-europe/" TargetMode="External"/><Relationship Id="rId4" Type="http://schemas.openxmlformats.org/officeDocument/2006/relationships/hyperlink" Target="https://www.statista.com/outlook/mmo/bicycles/chin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annual-reported-passenger-kilometers" TargetMode="External"/><Relationship Id="rId3" Type="http://schemas.openxmlformats.org/officeDocument/2006/relationships/hyperlink" Target="https://www-statista-com.libproxy.berkeley.edu/statistics/1367134/bus-kilometers-driven-germany/" TargetMode="External"/><Relationship Id="rId7" Type="http://schemas.openxmlformats.org/officeDocument/2006/relationships/hyperlink" Target="https://ourworldindata.org/grapher/annual-reported-passenger-kilometers" TargetMode="External"/><Relationship Id="rId2" Type="http://schemas.openxmlformats.org/officeDocument/2006/relationships/hyperlink" Target="https://www-statista-com.libproxy.berkeley.edu/statistics/1367124/car-kilometers-driven-germany/" TargetMode="External"/><Relationship Id="rId1" Type="http://schemas.openxmlformats.org/officeDocument/2006/relationships/hyperlink" Target="https://www-statista-com.libproxy.berkeley.edu/forecasts/1152005/railway-passenger-km-forecast-in-germany" TargetMode="External"/><Relationship Id="rId6" Type="http://schemas.openxmlformats.org/officeDocument/2006/relationships/hyperlink" Target="https://www-statista-com.libproxy.berkeley.edu/statistics/437009/passengers-transported-by-rail-in-germany-in-million-passenger-kilometres/" TargetMode="External"/><Relationship Id="rId5" Type="http://schemas.openxmlformats.org/officeDocument/2006/relationships/hyperlink" Target="https://www.statista.com/statistics/437580/total-passenger-road-transport-in-germany/" TargetMode="External"/><Relationship Id="rId4" Type="http://schemas.openxmlformats.org/officeDocument/2006/relationships/hyperlink" Target="https://www-statista-com.libproxy.berkeley.edu/statistics/1367089/motorcycle-kilometers-driven-germany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360132323009654" TargetMode="External"/><Relationship Id="rId1" Type="http://schemas.openxmlformats.org/officeDocument/2006/relationships/hyperlink" Target="https://passivehouse-international.org/index.php?page_id=6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obalreporting.org/news/news-center/gri-global-adoption-by-top-companies-continues-to-grow/" TargetMode="External"/><Relationship Id="rId2" Type="http://schemas.openxmlformats.org/officeDocument/2006/relationships/hyperlink" Target="https://www.globalreporting.org/news/news-center/gri-global-adoption-by-top-companies-continues-to-grow/" TargetMode="External"/><Relationship Id="rId1" Type="http://schemas.openxmlformats.org/officeDocument/2006/relationships/hyperlink" Target="https://www.globalreporting.org/news/news-center/gri-global-adoption-by-top-companies-continues-to-grow/" TargetMode="External"/><Relationship Id="rId4" Type="http://schemas.openxmlformats.org/officeDocument/2006/relationships/hyperlink" Target="https://www.globalreporting.org/news/news-center/gri-global-adoption-by-top-companies-continues-to-gro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5788-4224-5F42-A446-56999741884A}">
  <dimension ref="A1:AJ137"/>
  <sheetViews>
    <sheetView tabSelected="1" workbookViewId="0">
      <pane xSplit="1" ySplit="6" topLeftCell="P98" activePane="bottomRight" state="frozen"/>
      <selection pane="topRight" activeCell="B1" sqref="B1"/>
      <selection pane="bottomLeft" activeCell="A6" sqref="A6"/>
      <selection pane="bottomRight" activeCell="V100" sqref="V100"/>
    </sheetView>
  </sheetViews>
  <sheetFormatPr defaultColWidth="11" defaultRowHeight="15.75" customHeight="1" x14ac:dyDescent="0.25"/>
  <cols>
    <col min="2" max="2" width="15.125" style="1" bestFit="1" customWidth="1"/>
    <col min="3" max="3" width="14" style="1" bestFit="1" customWidth="1"/>
    <col min="4" max="4" width="13" style="1" bestFit="1" customWidth="1"/>
    <col min="5" max="5" width="11.5" style="1" bestFit="1" customWidth="1"/>
    <col min="6" max="6" width="11.125" style="1" bestFit="1" customWidth="1"/>
    <col min="7" max="7" width="16.625" style="1" bestFit="1" customWidth="1"/>
    <col min="8" max="9" width="15" style="1" bestFit="1" customWidth="1"/>
    <col min="10" max="14" width="11" style="23"/>
    <col min="15" max="15" width="15" style="1" bestFit="1" customWidth="1"/>
    <col min="16" max="16" width="14" style="1" bestFit="1" customWidth="1"/>
    <col min="17" max="17" width="16.625" style="1" bestFit="1" customWidth="1"/>
    <col min="18" max="18" width="16.625" style="1" customWidth="1"/>
    <col min="19" max="19" width="14" style="1" bestFit="1" customWidth="1"/>
    <col min="20" max="20" width="15" style="1" bestFit="1" customWidth="1"/>
    <col min="21" max="21" width="14" style="1" customWidth="1"/>
    <col min="22" max="22" width="17.125" style="1" customWidth="1"/>
    <col min="23" max="23" width="11.5" style="1" bestFit="1" customWidth="1"/>
    <col min="24" max="24" width="14" style="1" bestFit="1" customWidth="1"/>
    <col min="29" max="31" width="11" style="23"/>
    <col min="32" max="32" width="22.125" customWidth="1"/>
    <col min="33" max="33" width="13" style="1" bestFit="1" customWidth="1"/>
    <col min="34" max="35" width="11.5" style="1" bestFit="1" customWidth="1"/>
    <col min="36" max="36" width="11.125" style="1" bestFit="1" customWidth="1"/>
  </cols>
  <sheetData>
    <row r="1" spans="1:36" x14ac:dyDescent="0.25">
      <c r="A1" t="s">
        <v>0</v>
      </c>
      <c r="B1" s="29" t="s">
        <v>1</v>
      </c>
      <c r="C1" s="29" t="s">
        <v>1</v>
      </c>
      <c r="D1" s="29" t="s">
        <v>1</v>
      </c>
      <c r="E1" s="30" t="s">
        <v>2</v>
      </c>
      <c r="F1" s="31" t="s">
        <v>3</v>
      </c>
      <c r="G1" s="41" t="s">
        <v>4</v>
      </c>
      <c r="H1" s="41" t="s">
        <v>4</v>
      </c>
      <c r="I1" s="42" t="s">
        <v>4</v>
      </c>
      <c r="J1" s="45" t="s">
        <v>5</v>
      </c>
      <c r="K1" s="45" t="s">
        <v>5</v>
      </c>
      <c r="L1" s="45" t="s">
        <v>5</v>
      </c>
      <c r="M1" s="45" t="s">
        <v>5</v>
      </c>
      <c r="N1" s="46" t="s">
        <v>5</v>
      </c>
      <c r="O1" s="27" t="s">
        <v>6</v>
      </c>
      <c r="P1" s="27" t="s">
        <v>6</v>
      </c>
      <c r="Q1" s="27" t="s">
        <v>6</v>
      </c>
      <c r="R1" s="27" t="s">
        <v>6</v>
      </c>
      <c r="S1" s="27" t="s">
        <v>6</v>
      </c>
      <c r="T1" s="27" t="s">
        <v>6</v>
      </c>
      <c r="U1" s="44" t="s">
        <v>6</v>
      </c>
      <c r="V1" s="44" t="s">
        <v>2088</v>
      </c>
      <c r="W1" s="27" t="s">
        <v>7</v>
      </c>
      <c r="X1" s="51" t="s">
        <v>8</v>
      </c>
      <c r="Y1" s="3" t="s">
        <v>9</v>
      </c>
      <c r="Z1" s="3" t="s">
        <v>9</v>
      </c>
      <c r="AA1" s="3" t="s">
        <v>9</v>
      </c>
      <c r="AB1" s="17" t="s">
        <v>9</v>
      </c>
      <c r="AC1" s="52" t="s">
        <v>10</v>
      </c>
      <c r="AD1" s="26" t="s">
        <v>10</v>
      </c>
      <c r="AE1" s="53" t="s">
        <v>10</v>
      </c>
      <c r="AF1" s="6" t="s">
        <v>11</v>
      </c>
      <c r="AG1" s="54" t="s">
        <v>12</v>
      </c>
      <c r="AH1" s="55" t="s">
        <v>12</v>
      </c>
      <c r="AI1" s="55" t="s">
        <v>12</v>
      </c>
      <c r="AJ1" s="55" t="s">
        <v>12</v>
      </c>
    </row>
    <row r="2" spans="1:36" x14ac:dyDescent="0.25">
      <c r="A2" t="s">
        <v>13</v>
      </c>
      <c r="B2" s="1" t="s">
        <v>14</v>
      </c>
      <c r="C2" s="1" t="s">
        <v>14</v>
      </c>
      <c r="D2" s="1" t="s">
        <v>14</v>
      </c>
      <c r="E2" s="8" t="s">
        <v>15</v>
      </c>
      <c r="F2" s="32" t="s">
        <v>16</v>
      </c>
      <c r="G2" s="1" t="s">
        <v>14</v>
      </c>
      <c r="H2" s="1" t="s">
        <v>14</v>
      </c>
      <c r="I2" s="8" t="s">
        <v>14</v>
      </c>
      <c r="J2" s="23" t="s">
        <v>17</v>
      </c>
      <c r="K2" s="23" t="s">
        <v>17</v>
      </c>
      <c r="L2" s="23" t="s">
        <v>17</v>
      </c>
      <c r="M2" s="23" t="s">
        <v>17</v>
      </c>
      <c r="N2" s="23" t="s">
        <v>17</v>
      </c>
      <c r="O2" s="1" t="s">
        <v>14</v>
      </c>
      <c r="P2" s="1" t="s">
        <v>14</v>
      </c>
      <c r="Q2" s="1" t="s">
        <v>14</v>
      </c>
      <c r="R2" s="1" t="s">
        <v>14</v>
      </c>
      <c r="S2" s="1" t="s">
        <v>14</v>
      </c>
      <c r="T2" s="1" t="s">
        <v>14</v>
      </c>
      <c r="U2" s="8" t="s">
        <v>14</v>
      </c>
      <c r="V2" s="8" t="s">
        <v>14</v>
      </c>
      <c r="W2" s="1" t="s">
        <v>2081</v>
      </c>
      <c r="X2" s="48" t="s">
        <v>18</v>
      </c>
      <c r="Y2" t="s">
        <v>2086</v>
      </c>
      <c r="Z2" t="s">
        <v>2086</v>
      </c>
      <c r="AA2" t="s">
        <v>2086</v>
      </c>
      <c r="AB2" t="s">
        <v>2086</v>
      </c>
      <c r="AC2" s="25" t="s">
        <v>20</v>
      </c>
      <c r="AD2" s="23" t="s">
        <v>20</v>
      </c>
      <c r="AE2" s="43" t="s">
        <v>20</v>
      </c>
      <c r="AF2" t="s">
        <v>21</v>
      </c>
      <c r="AG2" s="14" t="s">
        <v>880</v>
      </c>
      <c r="AH2" s="14" t="s">
        <v>880</v>
      </c>
      <c r="AI2" s="14" t="s">
        <v>880</v>
      </c>
      <c r="AJ2" s="14" t="s">
        <v>880</v>
      </c>
    </row>
    <row r="3" spans="1:36" x14ac:dyDescent="0.25">
      <c r="A3" t="s">
        <v>22</v>
      </c>
      <c r="B3" s="1" t="s">
        <v>23</v>
      </c>
      <c r="C3" s="1" t="s">
        <v>24</v>
      </c>
      <c r="D3" s="1" t="s">
        <v>25</v>
      </c>
      <c r="E3" s="8" t="s">
        <v>26</v>
      </c>
      <c r="F3" s="32" t="s">
        <v>24</v>
      </c>
      <c r="G3" s="1" t="s">
        <v>30</v>
      </c>
      <c r="H3" s="1" t="s">
        <v>27</v>
      </c>
      <c r="I3" s="8" t="s">
        <v>28</v>
      </c>
      <c r="J3" s="23" t="s">
        <v>24</v>
      </c>
      <c r="K3" s="23" t="s">
        <v>29</v>
      </c>
      <c r="L3" s="23" t="s">
        <v>30</v>
      </c>
      <c r="M3" s="23" t="s">
        <v>31</v>
      </c>
      <c r="N3" s="47" t="s">
        <v>23</v>
      </c>
      <c r="O3" s="1" t="s">
        <v>27</v>
      </c>
      <c r="P3" s="1" t="s">
        <v>24</v>
      </c>
      <c r="Q3" s="1" t="s">
        <v>30</v>
      </c>
      <c r="R3" s="1" t="s">
        <v>2087</v>
      </c>
      <c r="S3" s="1" t="s">
        <v>31</v>
      </c>
      <c r="T3" s="1" t="s">
        <v>23</v>
      </c>
      <c r="U3" s="8" t="s">
        <v>32</v>
      </c>
      <c r="V3" s="8" t="s">
        <v>2089</v>
      </c>
      <c r="W3" s="1" t="s">
        <v>33</v>
      </c>
      <c r="X3" s="48" t="s">
        <v>24</v>
      </c>
      <c r="Y3" t="s">
        <v>34</v>
      </c>
      <c r="Z3" t="s">
        <v>35</v>
      </c>
      <c r="AA3" t="s">
        <v>36</v>
      </c>
      <c r="AB3" t="s">
        <v>37</v>
      </c>
      <c r="AC3" s="25" t="s">
        <v>38</v>
      </c>
      <c r="AD3" s="23" t="s">
        <v>33</v>
      </c>
      <c r="AE3" s="43" t="s">
        <v>39</v>
      </c>
      <c r="AF3" t="s">
        <v>24</v>
      </c>
      <c r="AG3" s="14" t="s">
        <v>24</v>
      </c>
      <c r="AH3" s="1" t="s">
        <v>40</v>
      </c>
      <c r="AI3" s="1" t="s">
        <v>41</v>
      </c>
      <c r="AJ3" s="1" t="s">
        <v>42</v>
      </c>
    </row>
    <row r="4" spans="1:36" x14ac:dyDescent="0.25">
      <c r="A4" t="s">
        <v>43</v>
      </c>
      <c r="B4" s="1" t="s">
        <v>44</v>
      </c>
      <c r="C4" s="1" t="s">
        <v>45</v>
      </c>
      <c r="D4" s="1" t="s">
        <v>45</v>
      </c>
      <c r="E4" s="8"/>
      <c r="F4" s="32"/>
      <c r="G4" s="1" t="s">
        <v>46</v>
      </c>
      <c r="H4" s="1" t="s">
        <v>46</v>
      </c>
      <c r="I4" s="1" t="s">
        <v>46</v>
      </c>
      <c r="J4" s="25" t="s">
        <v>47</v>
      </c>
      <c r="K4" s="23" t="s">
        <v>47</v>
      </c>
      <c r="L4" s="23" t="s">
        <v>47</v>
      </c>
      <c r="M4" s="23" t="s">
        <v>47</v>
      </c>
      <c r="N4" s="43" t="s">
        <v>47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46</v>
      </c>
      <c r="U4" s="1" t="s">
        <v>46</v>
      </c>
      <c r="V4" s="48" t="s">
        <v>46</v>
      </c>
      <c r="W4" s="1" t="s">
        <v>931</v>
      </c>
      <c r="X4" s="48" t="s">
        <v>46</v>
      </c>
      <c r="Y4" t="s">
        <v>48</v>
      </c>
      <c r="Z4" t="s">
        <v>48</v>
      </c>
      <c r="AA4" t="s">
        <v>48</v>
      </c>
      <c r="AB4" t="s">
        <v>48</v>
      </c>
      <c r="AC4" s="25" t="s">
        <v>49</v>
      </c>
      <c r="AD4" s="23" t="s">
        <v>49</v>
      </c>
      <c r="AE4" s="43" t="s">
        <v>49</v>
      </c>
      <c r="AF4" t="s">
        <v>46</v>
      </c>
      <c r="AG4" s="14" t="s">
        <v>882</v>
      </c>
      <c r="AH4" s="14" t="s">
        <v>882</v>
      </c>
      <c r="AI4" s="14" t="s">
        <v>882</v>
      </c>
      <c r="AJ4" s="14" t="s">
        <v>882</v>
      </c>
    </row>
    <row r="5" spans="1:36" x14ac:dyDescent="0.25">
      <c r="A5" t="s">
        <v>50</v>
      </c>
      <c r="C5" s="28" t="s">
        <v>51</v>
      </c>
      <c r="D5" s="28" t="s">
        <v>51</v>
      </c>
      <c r="E5" s="33" t="s">
        <v>52</v>
      </c>
      <c r="F5" s="34"/>
      <c r="G5" s="28" t="s">
        <v>53</v>
      </c>
      <c r="H5" s="28" t="s">
        <v>53</v>
      </c>
      <c r="I5" s="33" t="s">
        <v>53</v>
      </c>
      <c r="N5" s="47"/>
      <c r="O5" s="28" t="s">
        <v>53</v>
      </c>
      <c r="P5" s="28" t="s">
        <v>51</v>
      </c>
      <c r="Q5" s="28" t="s">
        <v>53</v>
      </c>
      <c r="R5" s="28" t="s">
        <v>54</v>
      </c>
      <c r="S5" s="28" t="s">
        <v>54</v>
      </c>
      <c r="T5" s="28" t="s">
        <v>54</v>
      </c>
      <c r="U5" s="33" t="s">
        <v>54</v>
      </c>
      <c r="V5" s="49" t="s">
        <v>55</v>
      </c>
      <c r="W5" s="28" t="s">
        <v>2076</v>
      </c>
      <c r="X5" s="48"/>
      <c r="Y5" s="5" t="s">
        <v>57</v>
      </c>
      <c r="Z5" s="5" t="s">
        <v>57</v>
      </c>
      <c r="AA5" s="5" t="s">
        <v>57</v>
      </c>
      <c r="AB5" s="5" t="s">
        <v>57</v>
      </c>
      <c r="AC5" s="25" t="s">
        <v>58</v>
      </c>
      <c r="AD5" s="23" t="s">
        <v>58</v>
      </c>
      <c r="AE5" s="43" t="s">
        <v>58</v>
      </c>
      <c r="AF5" s="5" t="s">
        <v>56</v>
      </c>
      <c r="AG5" s="14" t="s">
        <v>883</v>
      </c>
      <c r="AH5" s="14" t="s">
        <v>883</v>
      </c>
      <c r="AI5" s="14" t="s">
        <v>883</v>
      </c>
      <c r="AJ5" s="14" t="s">
        <v>883</v>
      </c>
    </row>
    <row r="6" spans="1:36" x14ac:dyDescent="0.25">
      <c r="A6" t="s">
        <v>59</v>
      </c>
      <c r="B6" s="1" t="s">
        <v>60</v>
      </c>
      <c r="C6" s="1" t="s">
        <v>61</v>
      </c>
      <c r="D6" s="1" t="s">
        <v>60</v>
      </c>
      <c r="E6" s="8" t="s">
        <v>60</v>
      </c>
      <c r="F6" s="32" t="s">
        <v>62</v>
      </c>
      <c r="G6" s="1" t="s">
        <v>60</v>
      </c>
      <c r="H6" s="1" t="s">
        <v>60</v>
      </c>
      <c r="I6" s="8" t="s">
        <v>60</v>
      </c>
      <c r="J6" s="23" t="s">
        <v>63</v>
      </c>
      <c r="K6" s="23" t="s">
        <v>63</v>
      </c>
      <c r="L6" s="23" t="s">
        <v>63</v>
      </c>
      <c r="M6" s="23" t="s">
        <v>63</v>
      </c>
      <c r="N6" s="47" t="s">
        <v>63</v>
      </c>
      <c r="O6" s="1" t="s">
        <v>60</v>
      </c>
      <c r="P6" s="1" t="s">
        <v>60</v>
      </c>
      <c r="Q6" s="1" t="s">
        <v>60</v>
      </c>
      <c r="R6" s="1" t="s">
        <v>60</v>
      </c>
      <c r="S6" s="1" t="s">
        <v>60</v>
      </c>
      <c r="T6" s="1" t="s">
        <v>60</v>
      </c>
      <c r="U6" s="8" t="s">
        <v>60</v>
      </c>
      <c r="V6" s="15" t="s">
        <v>60</v>
      </c>
      <c r="X6" s="48" t="s">
        <v>60</v>
      </c>
      <c r="Y6" t="s">
        <v>64</v>
      </c>
      <c r="Z6" t="s">
        <v>64</v>
      </c>
      <c r="AA6" t="s">
        <v>64</v>
      </c>
      <c r="AB6" t="s">
        <v>64</v>
      </c>
      <c r="AC6" s="25" t="s">
        <v>65</v>
      </c>
      <c r="AD6" s="23" t="s">
        <v>65</v>
      </c>
      <c r="AE6" s="43" t="s">
        <v>65</v>
      </c>
      <c r="AF6" t="s">
        <v>66</v>
      </c>
      <c r="AG6" s="14" t="s">
        <v>881</v>
      </c>
      <c r="AH6" s="14" t="s">
        <v>881</v>
      </c>
      <c r="AI6" s="14" t="s">
        <v>881</v>
      </c>
      <c r="AJ6" s="14" t="s">
        <v>881</v>
      </c>
    </row>
    <row r="7" spans="1:36" x14ac:dyDescent="0.25">
      <c r="A7">
        <v>1900</v>
      </c>
      <c r="E7" s="8"/>
      <c r="F7" s="35">
        <v>3129</v>
      </c>
      <c r="I7" s="8"/>
      <c r="N7" s="47"/>
      <c r="R7">
        <v>5123503</v>
      </c>
      <c r="U7" s="8"/>
      <c r="V7" s="32"/>
      <c r="X7" s="48"/>
      <c r="Y7" s="18"/>
      <c r="Z7" s="18"/>
      <c r="AA7" s="18"/>
      <c r="AB7" s="18"/>
      <c r="AC7" s="25"/>
      <c r="AE7" s="43"/>
      <c r="AG7" s="14"/>
    </row>
    <row r="8" spans="1:36" x14ac:dyDescent="0.25">
      <c r="A8">
        <v>1901</v>
      </c>
      <c r="E8" s="8"/>
      <c r="F8" s="35">
        <v>3129</v>
      </c>
      <c r="I8" s="8"/>
      <c r="N8" s="47"/>
      <c r="R8">
        <v>5157047</v>
      </c>
      <c r="U8" s="8"/>
      <c r="V8" s="32"/>
      <c r="X8" s="48"/>
      <c r="Y8" s="18"/>
      <c r="Z8" s="18"/>
      <c r="AA8" s="18"/>
      <c r="AB8" s="18"/>
      <c r="AC8" s="25"/>
      <c r="AE8" s="43"/>
      <c r="AG8" s="14"/>
    </row>
    <row r="9" spans="1:36" x14ac:dyDescent="0.25">
      <c r="A9">
        <v>1902</v>
      </c>
      <c r="E9" s="8"/>
      <c r="F9" s="35">
        <v>3129</v>
      </c>
      <c r="I9" s="8"/>
      <c r="N9" s="47"/>
      <c r="R9">
        <v>5190268</v>
      </c>
      <c r="U9" s="8"/>
      <c r="V9" s="32"/>
      <c r="X9" s="48"/>
      <c r="Y9" s="18"/>
      <c r="Z9" s="18"/>
      <c r="AA9" s="18"/>
      <c r="AB9" s="18"/>
      <c r="AC9" s="25"/>
      <c r="AE9" s="43"/>
      <c r="AG9" s="14"/>
    </row>
    <row r="10" spans="1:36" x14ac:dyDescent="0.25">
      <c r="A10">
        <v>1903</v>
      </c>
      <c r="E10" s="8"/>
      <c r="F10" s="35">
        <v>3129</v>
      </c>
      <c r="I10" s="8"/>
      <c r="N10" s="47"/>
      <c r="R10">
        <v>5223160</v>
      </c>
      <c r="U10" s="8"/>
      <c r="V10" s="32"/>
      <c r="X10" s="48"/>
      <c r="Y10" s="18"/>
      <c r="Z10" s="18"/>
      <c r="AA10" s="18"/>
      <c r="AB10" s="18"/>
      <c r="AC10" s="25"/>
      <c r="AE10" s="43"/>
      <c r="AG10" s="14"/>
    </row>
    <row r="11" spans="1:36" x14ac:dyDescent="0.25">
      <c r="A11">
        <v>1904</v>
      </c>
      <c r="E11" s="8"/>
      <c r="F11" s="35">
        <v>3129</v>
      </c>
      <c r="I11" s="8"/>
      <c r="N11" s="47"/>
      <c r="R11">
        <v>5256260</v>
      </c>
      <c r="U11" s="8"/>
      <c r="V11" s="32"/>
      <c r="X11" s="48"/>
      <c r="Y11" s="18"/>
      <c r="Z11" s="18"/>
      <c r="AA11" s="18"/>
      <c r="AB11" s="18"/>
      <c r="AC11" s="25"/>
      <c r="AE11" s="43"/>
      <c r="AG11" s="14"/>
    </row>
    <row r="12" spans="1:36" x14ac:dyDescent="0.25">
      <c r="A12">
        <v>1905</v>
      </c>
      <c r="E12" s="8"/>
      <c r="F12" s="35">
        <v>3129</v>
      </c>
      <c r="I12" s="8"/>
      <c r="N12" s="47"/>
      <c r="R12">
        <v>5289570</v>
      </c>
      <c r="U12" s="8"/>
      <c r="V12" s="32"/>
      <c r="X12" s="48"/>
      <c r="Y12" s="18"/>
      <c r="Z12" s="18"/>
      <c r="AA12" s="18"/>
      <c r="AB12" s="18"/>
      <c r="AC12" s="25"/>
      <c r="AE12" s="43"/>
      <c r="AG12" s="14"/>
    </row>
    <row r="13" spans="1:36" x14ac:dyDescent="0.25">
      <c r="A13">
        <v>1906</v>
      </c>
      <c r="E13" s="8"/>
      <c r="F13" s="35">
        <v>3129</v>
      </c>
      <c r="I13" s="8"/>
      <c r="N13" s="47"/>
      <c r="R13">
        <v>5323091</v>
      </c>
      <c r="U13" s="8"/>
      <c r="V13" s="32"/>
      <c r="X13" s="48"/>
      <c r="Y13" s="18"/>
      <c r="Z13" s="18"/>
      <c r="AA13" s="18"/>
      <c r="AB13" s="18"/>
      <c r="AC13" s="25"/>
      <c r="AE13" s="43"/>
      <c r="AG13" s="14"/>
    </row>
    <row r="14" spans="1:36" x14ac:dyDescent="0.25">
      <c r="A14">
        <v>1907</v>
      </c>
      <c r="E14" s="8"/>
      <c r="F14" s="35">
        <v>3129</v>
      </c>
      <c r="I14" s="8"/>
      <c r="N14" s="47"/>
      <c r="R14">
        <v>5356825</v>
      </c>
      <c r="U14" s="8"/>
      <c r="V14" s="32"/>
      <c r="X14" s="48"/>
      <c r="Y14" s="18"/>
      <c r="Z14" s="18"/>
      <c r="AA14" s="18"/>
      <c r="AB14" s="18"/>
      <c r="AC14" s="25"/>
      <c r="AE14" s="43"/>
      <c r="AG14" s="14"/>
    </row>
    <row r="15" spans="1:36" x14ac:dyDescent="0.25">
      <c r="A15">
        <v>1908</v>
      </c>
      <c r="E15" s="8"/>
      <c r="F15" s="35">
        <v>3129</v>
      </c>
      <c r="I15" s="8"/>
      <c r="N15" s="47"/>
      <c r="R15">
        <v>5390772</v>
      </c>
      <c r="U15" s="8"/>
      <c r="V15" s="32"/>
      <c r="X15" s="48"/>
      <c r="Y15" s="18"/>
      <c r="Z15" s="18"/>
      <c r="AA15" s="18"/>
      <c r="AB15" s="18"/>
      <c r="AC15" s="25"/>
      <c r="AE15" s="43"/>
      <c r="AG15" s="14"/>
    </row>
    <row r="16" spans="1:36" x14ac:dyDescent="0.25">
      <c r="A16">
        <v>1909</v>
      </c>
      <c r="E16" s="8"/>
      <c r="F16" s="35">
        <v>3129</v>
      </c>
      <c r="I16" s="8"/>
      <c r="N16" s="47"/>
      <c r="R16">
        <v>5426317</v>
      </c>
      <c r="U16" s="8"/>
      <c r="V16" s="32"/>
      <c r="X16" s="48"/>
      <c r="Y16" s="18"/>
      <c r="Z16" s="18"/>
      <c r="AA16" s="18"/>
      <c r="AB16" s="18"/>
      <c r="AC16" s="25"/>
      <c r="AE16" s="43"/>
      <c r="AG16" s="14"/>
    </row>
    <row r="17" spans="1:33" x14ac:dyDescent="0.25">
      <c r="A17">
        <v>1910</v>
      </c>
      <c r="E17" s="8"/>
      <c r="F17" s="35">
        <v>3129</v>
      </c>
      <c r="I17" s="8"/>
      <c r="N17" s="47"/>
      <c r="R17">
        <v>5463482</v>
      </c>
      <c r="U17" s="8"/>
      <c r="V17" s="32"/>
      <c r="X17" s="48"/>
      <c r="Y17" s="18"/>
      <c r="Z17" s="18"/>
      <c r="AA17" s="18"/>
      <c r="AB17" s="18"/>
      <c r="AC17" s="25"/>
      <c r="AE17" s="43"/>
      <c r="AG17" s="14"/>
    </row>
    <row r="18" spans="1:33" x14ac:dyDescent="0.25">
      <c r="A18">
        <v>1911</v>
      </c>
      <c r="E18" s="8"/>
      <c r="F18" s="35">
        <v>3129</v>
      </c>
      <c r="I18" s="8"/>
      <c r="N18" s="47"/>
      <c r="R18">
        <v>5502286</v>
      </c>
      <c r="U18" s="8"/>
      <c r="V18" s="32"/>
      <c r="X18" s="48"/>
      <c r="Y18" s="18"/>
      <c r="Z18" s="18"/>
      <c r="AA18" s="18"/>
      <c r="AB18" s="18"/>
      <c r="AC18" s="25"/>
      <c r="AE18" s="43"/>
      <c r="AG18" s="14"/>
    </row>
    <row r="19" spans="1:33" x14ac:dyDescent="0.25">
      <c r="A19">
        <v>1912</v>
      </c>
      <c r="E19" s="8"/>
      <c r="F19" s="35">
        <v>3129</v>
      </c>
      <c r="I19" s="8"/>
      <c r="N19" s="47"/>
      <c r="R19">
        <v>5542751</v>
      </c>
      <c r="U19" s="8"/>
      <c r="V19" s="32"/>
      <c r="X19" s="48"/>
      <c r="Y19" s="18"/>
      <c r="Z19" s="18"/>
      <c r="AA19" s="18"/>
      <c r="AB19" s="18"/>
      <c r="AC19" s="25"/>
      <c r="AE19" s="43"/>
      <c r="AG19" s="14"/>
    </row>
    <row r="20" spans="1:33" x14ac:dyDescent="0.25">
      <c r="A20">
        <v>1913</v>
      </c>
      <c r="E20" s="8"/>
      <c r="F20" s="35">
        <v>3129</v>
      </c>
      <c r="I20" s="8"/>
      <c r="N20" s="47"/>
      <c r="R20">
        <v>5584898</v>
      </c>
      <c r="U20" s="8"/>
      <c r="V20" s="32"/>
      <c r="X20" s="48"/>
      <c r="Y20" s="18"/>
      <c r="Z20" s="18"/>
      <c r="AA20" s="18"/>
      <c r="AB20" s="18"/>
      <c r="AC20" s="25"/>
      <c r="AE20" s="43"/>
      <c r="AG20" s="14"/>
    </row>
    <row r="21" spans="1:33" x14ac:dyDescent="0.25">
      <c r="A21">
        <v>1914</v>
      </c>
      <c r="E21" s="8"/>
      <c r="F21" s="35">
        <v>3129</v>
      </c>
      <c r="I21" s="8"/>
      <c r="N21" s="47"/>
      <c r="R21">
        <v>5627365</v>
      </c>
      <c r="U21" s="8"/>
      <c r="V21" s="32"/>
      <c r="X21" s="48"/>
      <c r="Y21" s="18"/>
      <c r="Z21" s="18"/>
      <c r="AA21" s="18"/>
      <c r="AB21" s="18"/>
      <c r="AC21" s="25"/>
      <c r="AE21" s="43"/>
      <c r="AG21" s="14"/>
    </row>
    <row r="22" spans="1:33" x14ac:dyDescent="0.25">
      <c r="A22">
        <v>1915</v>
      </c>
      <c r="E22" s="8"/>
      <c r="F22" s="35">
        <v>3129</v>
      </c>
      <c r="I22" s="8"/>
      <c r="N22" s="47"/>
      <c r="R22">
        <v>5670156</v>
      </c>
      <c r="U22" s="8"/>
      <c r="V22" s="32"/>
      <c r="X22" s="48"/>
      <c r="Y22" s="18"/>
      <c r="Z22" s="18"/>
      <c r="AA22" s="18"/>
      <c r="AB22" s="18"/>
      <c r="AC22" s="25"/>
      <c r="AE22" s="43"/>
      <c r="AG22" s="14"/>
    </row>
    <row r="23" spans="1:33" x14ac:dyDescent="0.25">
      <c r="A23">
        <v>1916</v>
      </c>
      <c r="E23" s="8"/>
      <c r="F23" s="35">
        <v>3129</v>
      </c>
      <c r="I23" s="8"/>
      <c r="N23" s="47"/>
      <c r="R23">
        <v>5713272</v>
      </c>
      <c r="U23" s="8"/>
      <c r="V23" s="32"/>
      <c r="X23" s="48"/>
      <c r="Y23" s="18"/>
      <c r="Z23" s="18"/>
      <c r="AA23" s="18"/>
      <c r="AB23" s="18"/>
      <c r="AC23" s="25"/>
      <c r="AE23" s="43"/>
      <c r="AG23" s="14"/>
    </row>
    <row r="24" spans="1:33" x14ac:dyDescent="0.25">
      <c r="A24">
        <v>1917</v>
      </c>
      <c r="E24" s="8"/>
      <c r="F24" s="35">
        <v>3129</v>
      </c>
      <c r="I24" s="8"/>
      <c r="N24" s="47"/>
      <c r="R24">
        <v>5756715</v>
      </c>
      <c r="U24" s="8"/>
      <c r="V24" s="32"/>
      <c r="X24" s="48"/>
      <c r="Y24" s="18"/>
      <c r="Z24" s="18"/>
      <c r="AA24" s="18"/>
      <c r="AB24" s="18"/>
      <c r="AC24" s="25"/>
      <c r="AE24" s="43"/>
      <c r="AG24" s="14"/>
    </row>
    <row r="25" spans="1:33" x14ac:dyDescent="0.25">
      <c r="A25">
        <v>1918</v>
      </c>
      <c r="E25" s="8"/>
      <c r="F25" s="35">
        <v>3129</v>
      </c>
      <c r="I25" s="8"/>
      <c r="N25" s="47"/>
      <c r="R25">
        <v>5800311</v>
      </c>
      <c r="U25" s="8"/>
      <c r="V25" s="32"/>
      <c r="X25" s="48"/>
      <c r="Y25" s="18"/>
      <c r="Z25" s="18"/>
      <c r="AA25" s="18"/>
      <c r="AB25" s="18"/>
      <c r="AC25" s="25"/>
      <c r="AE25" s="43"/>
      <c r="AG25" s="14"/>
    </row>
    <row r="26" spans="1:33" x14ac:dyDescent="0.25">
      <c r="A26">
        <v>1919</v>
      </c>
      <c r="E26" s="8"/>
      <c r="F26" s="35">
        <v>3129</v>
      </c>
      <c r="I26" s="8"/>
      <c r="N26" s="47"/>
      <c r="R26">
        <v>5840331</v>
      </c>
      <c r="U26" s="8"/>
      <c r="V26" s="32"/>
      <c r="X26" s="48"/>
      <c r="Y26" s="18"/>
      <c r="Z26" s="18"/>
      <c r="AA26" s="18"/>
      <c r="AB26" s="18"/>
      <c r="AC26" s="25"/>
      <c r="AE26" s="43"/>
      <c r="AG26" s="14"/>
    </row>
    <row r="27" spans="1:33" x14ac:dyDescent="0.25">
      <c r="A27">
        <v>1920</v>
      </c>
      <c r="E27" s="8"/>
      <c r="F27" s="35">
        <v>3129</v>
      </c>
      <c r="I27" s="8"/>
      <c r="N27" s="47"/>
      <c r="R27">
        <v>5876734</v>
      </c>
      <c r="U27" s="8"/>
      <c r="V27" s="32"/>
      <c r="X27" s="48"/>
      <c r="Y27" s="18"/>
      <c r="Z27" s="18"/>
      <c r="AA27" s="18"/>
      <c r="AB27" s="18"/>
      <c r="AC27" s="25"/>
      <c r="AE27" s="43"/>
      <c r="AG27" s="14"/>
    </row>
    <row r="28" spans="1:33" x14ac:dyDescent="0.25">
      <c r="A28">
        <v>1921</v>
      </c>
      <c r="E28" s="8"/>
      <c r="F28" s="35">
        <v>3129</v>
      </c>
      <c r="I28" s="8"/>
      <c r="N28" s="47"/>
      <c r="R28">
        <v>5909474</v>
      </c>
      <c r="U28" s="8"/>
      <c r="V28" s="32"/>
      <c r="X28" s="48"/>
      <c r="Y28" s="18"/>
      <c r="Z28" s="18"/>
      <c r="AA28" s="18"/>
      <c r="AB28" s="18"/>
      <c r="AC28" s="25"/>
      <c r="AE28" s="43"/>
      <c r="AG28" s="14"/>
    </row>
    <row r="29" spans="1:33" x14ac:dyDescent="0.25">
      <c r="A29">
        <v>1922</v>
      </c>
      <c r="E29" s="8"/>
      <c r="F29" s="35">
        <v>3129</v>
      </c>
      <c r="I29" s="8"/>
      <c r="N29" s="47"/>
      <c r="R29">
        <v>5938507</v>
      </c>
      <c r="U29" s="8"/>
      <c r="V29" s="32"/>
      <c r="X29" s="48"/>
      <c r="Y29" s="18"/>
      <c r="Z29" s="18"/>
      <c r="AA29" s="18"/>
      <c r="AB29" s="18"/>
      <c r="AC29" s="25"/>
      <c r="AE29" s="43"/>
      <c r="AG29" s="14"/>
    </row>
    <row r="30" spans="1:33" x14ac:dyDescent="0.25">
      <c r="A30">
        <v>1923</v>
      </c>
      <c r="E30" s="8"/>
      <c r="F30" s="35">
        <v>3129</v>
      </c>
      <c r="I30" s="8"/>
      <c r="N30" s="47"/>
      <c r="R30">
        <v>5963789</v>
      </c>
      <c r="U30" s="8"/>
      <c r="V30" s="32"/>
      <c r="X30" s="48"/>
      <c r="Y30" s="18"/>
      <c r="Z30" s="18"/>
      <c r="AA30" s="18"/>
      <c r="AB30" s="18"/>
      <c r="AC30" s="25"/>
      <c r="AE30" s="43"/>
      <c r="AG30" s="14"/>
    </row>
    <row r="31" spans="1:33" x14ac:dyDescent="0.25">
      <c r="A31">
        <v>1924</v>
      </c>
      <c r="E31" s="8"/>
      <c r="F31" s="35">
        <v>3129</v>
      </c>
      <c r="I31" s="8"/>
      <c r="N31" s="47"/>
      <c r="R31">
        <v>5989178</v>
      </c>
      <c r="U31" s="8"/>
      <c r="V31" s="32"/>
      <c r="X31" s="48"/>
      <c r="Y31" s="18"/>
      <c r="Z31" s="18"/>
      <c r="AA31" s="18"/>
      <c r="AB31" s="18"/>
      <c r="AC31" s="25"/>
      <c r="AE31" s="43"/>
      <c r="AG31" s="14"/>
    </row>
    <row r="32" spans="1:33" x14ac:dyDescent="0.25">
      <c r="A32">
        <v>1925</v>
      </c>
      <c r="E32" s="8"/>
      <c r="F32" s="35">
        <v>3129</v>
      </c>
      <c r="I32" s="8"/>
      <c r="N32" s="47"/>
      <c r="R32">
        <v>6014675</v>
      </c>
      <c r="U32" s="8"/>
      <c r="V32" s="32"/>
      <c r="X32" s="48"/>
      <c r="Y32" s="18"/>
      <c r="Z32" s="18"/>
      <c r="AA32" s="18"/>
      <c r="AB32" s="18"/>
      <c r="AC32" s="25"/>
      <c r="AE32" s="43"/>
      <c r="AG32" s="14"/>
    </row>
    <row r="33" spans="1:33" x14ac:dyDescent="0.25">
      <c r="A33">
        <v>1926</v>
      </c>
      <c r="E33" s="8"/>
      <c r="F33" s="35">
        <v>3129</v>
      </c>
      <c r="I33" s="8"/>
      <c r="N33" s="47"/>
      <c r="R33">
        <v>6040280</v>
      </c>
      <c r="U33" s="8"/>
      <c r="V33" s="32"/>
      <c r="X33" s="48"/>
      <c r="Y33" s="18"/>
      <c r="Z33" s="18"/>
      <c r="AA33" s="18"/>
      <c r="AB33" s="18"/>
      <c r="AC33" s="25"/>
      <c r="AE33" s="43"/>
      <c r="AG33" s="14"/>
    </row>
    <row r="34" spans="1:33" x14ac:dyDescent="0.25">
      <c r="A34">
        <v>1927</v>
      </c>
      <c r="E34" s="8"/>
      <c r="F34" s="35">
        <v>3129</v>
      </c>
      <c r="I34" s="8"/>
      <c r="N34" s="47"/>
      <c r="R34">
        <v>6065995</v>
      </c>
      <c r="U34" s="8"/>
      <c r="V34" s="32"/>
      <c r="X34" s="48"/>
      <c r="Y34" s="18"/>
      <c r="Z34" s="18"/>
      <c r="AA34" s="18"/>
      <c r="AB34" s="18"/>
      <c r="AC34" s="25"/>
      <c r="AE34" s="43"/>
      <c r="AG34" s="14"/>
    </row>
    <row r="35" spans="1:33" x14ac:dyDescent="0.25">
      <c r="A35">
        <v>1928</v>
      </c>
      <c r="E35" s="8"/>
      <c r="F35" s="35">
        <v>3129</v>
      </c>
      <c r="I35" s="8"/>
      <c r="N35" s="47"/>
      <c r="R35">
        <v>6091819</v>
      </c>
      <c r="U35" s="8"/>
      <c r="V35" s="32"/>
      <c r="X35" s="48"/>
      <c r="Y35" s="18"/>
      <c r="Z35" s="18"/>
      <c r="AA35" s="18"/>
      <c r="AB35" s="18"/>
      <c r="AC35" s="25"/>
      <c r="AE35" s="43"/>
      <c r="AG35" s="14"/>
    </row>
    <row r="36" spans="1:33" x14ac:dyDescent="0.25">
      <c r="A36">
        <v>1929</v>
      </c>
      <c r="E36" s="8"/>
      <c r="F36" s="35">
        <v>3129</v>
      </c>
      <c r="I36" s="8"/>
      <c r="N36" s="47"/>
      <c r="R36">
        <v>6116959</v>
      </c>
      <c r="U36" s="8"/>
      <c r="V36" s="32"/>
      <c r="X36" s="48"/>
      <c r="Y36" s="18"/>
      <c r="Z36" s="18"/>
      <c r="AA36" s="18"/>
      <c r="AB36" s="18"/>
      <c r="AC36" s="25"/>
      <c r="AE36" s="43"/>
      <c r="AG36" s="14"/>
    </row>
    <row r="37" spans="1:33" x14ac:dyDescent="0.25">
      <c r="A37">
        <v>1930</v>
      </c>
      <c r="E37" s="8"/>
      <c r="F37" s="35">
        <v>3129</v>
      </c>
      <c r="I37" s="8"/>
      <c r="N37" s="47"/>
      <c r="R37">
        <v>6141408</v>
      </c>
      <c r="U37" s="8"/>
      <c r="V37" s="32"/>
      <c r="X37" s="48"/>
      <c r="Y37" s="18"/>
      <c r="Z37" s="18"/>
      <c r="AA37" s="18"/>
      <c r="AB37" s="18"/>
      <c r="AC37" s="25"/>
      <c r="AE37" s="43"/>
      <c r="AG37" s="14"/>
    </row>
    <row r="38" spans="1:33" x14ac:dyDescent="0.25">
      <c r="A38">
        <v>1931</v>
      </c>
      <c r="E38" s="8"/>
      <c r="F38" s="35">
        <v>3129</v>
      </c>
      <c r="I38" s="8"/>
      <c r="N38" s="47"/>
      <c r="R38">
        <v>6165161</v>
      </c>
      <c r="U38" s="8"/>
      <c r="V38" s="32"/>
      <c r="X38" s="48"/>
      <c r="Y38" s="18"/>
      <c r="Z38" s="18"/>
      <c r="AA38" s="18"/>
      <c r="AB38" s="18"/>
      <c r="AC38" s="25"/>
      <c r="AE38" s="43"/>
      <c r="AG38" s="14"/>
    </row>
    <row r="39" spans="1:33" x14ac:dyDescent="0.25">
      <c r="A39">
        <v>1932</v>
      </c>
      <c r="E39" s="8"/>
      <c r="F39" s="35">
        <v>3129</v>
      </c>
      <c r="I39" s="8"/>
      <c r="N39" s="47"/>
      <c r="R39">
        <v>6188213</v>
      </c>
      <c r="U39" s="8"/>
      <c r="V39" s="32"/>
      <c r="X39" s="48"/>
      <c r="Y39" s="18"/>
      <c r="Z39" s="18"/>
      <c r="AA39" s="18"/>
      <c r="AB39" s="18"/>
      <c r="AC39" s="25"/>
      <c r="AE39" s="43"/>
      <c r="AG39" s="14"/>
    </row>
    <row r="40" spans="1:33" x14ac:dyDescent="0.25">
      <c r="A40">
        <v>1933</v>
      </c>
      <c r="E40" s="8"/>
      <c r="F40" s="35">
        <v>3129</v>
      </c>
      <c r="I40" s="8"/>
      <c r="N40" s="47"/>
      <c r="R40">
        <v>6210556</v>
      </c>
      <c r="U40" s="8"/>
      <c r="V40" s="32"/>
      <c r="X40" s="48"/>
      <c r="Y40" s="18"/>
      <c r="Z40" s="18"/>
      <c r="AA40" s="18"/>
      <c r="AB40" s="18"/>
      <c r="AC40" s="25"/>
      <c r="AE40" s="43"/>
      <c r="AG40" s="14"/>
    </row>
    <row r="41" spans="1:33" x14ac:dyDescent="0.25">
      <c r="A41">
        <v>1934</v>
      </c>
      <c r="E41" s="8"/>
      <c r="F41" s="35">
        <v>3129</v>
      </c>
      <c r="I41" s="8"/>
      <c r="N41" s="47"/>
      <c r="R41">
        <v>6232980</v>
      </c>
      <c r="U41" s="8"/>
      <c r="V41" s="32"/>
      <c r="X41" s="48"/>
      <c r="Y41" s="18"/>
      <c r="Z41" s="18"/>
      <c r="AA41" s="18"/>
      <c r="AB41" s="18"/>
      <c r="AC41" s="25"/>
      <c r="AE41" s="43"/>
      <c r="AG41" s="14"/>
    </row>
    <row r="42" spans="1:33" x14ac:dyDescent="0.25">
      <c r="A42">
        <v>1935</v>
      </c>
      <c r="E42" s="8"/>
      <c r="F42" s="35">
        <v>3129</v>
      </c>
      <c r="I42" s="8"/>
      <c r="N42" s="47"/>
      <c r="R42">
        <v>6255485</v>
      </c>
      <c r="U42" s="8"/>
      <c r="V42" s="32"/>
      <c r="X42" s="48"/>
      <c r="Y42" s="18"/>
      <c r="Z42" s="18"/>
      <c r="AA42" s="18"/>
      <c r="AB42" s="18"/>
      <c r="AC42" s="25"/>
      <c r="AE42" s="43"/>
      <c r="AG42" s="14"/>
    </row>
    <row r="43" spans="1:33" x14ac:dyDescent="0.25">
      <c r="A43">
        <v>1936</v>
      </c>
      <c r="E43" s="8"/>
      <c r="F43" s="35">
        <v>3129</v>
      </c>
      <c r="I43" s="8"/>
      <c r="N43" s="47"/>
      <c r="R43">
        <v>6278071</v>
      </c>
      <c r="U43" s="8"/>
      <c r="V43" s="32"/>
      <c r="X43" s="48"/>
      <c r="Y43" s="18"/>
      <c r="Z43" s="18"/>
      <c r="AA43" s="18"/>
      <c r="AB43" s="18"/>
      <c r="AC43" s="25"/>
      <c r="AE43" s="43"/>
      <c r="AG43" s="14"/>
    </row>
    <row r="44" spans="1:33" x14ac:dyDescent="0.25">
      <c r="A44">
        <v>1937</v>
      </c>
      <c r="E44" s="8"/>
      <c r="F44" s="35">
        <v>3129</v>
      </c>
      <c r="I44" s="8"/>
      <c r="N44" s="47"/>
      <c r="R44">
        <v>6300739</v>
      </c>
      <c r="U44" s="8"/>
      <c r="V44" s="32"/>
      <c r="X44" s="48"/>
      <c r="Y44" s="18"/>
      <c r="Z44" s="18"/>
      <c r="AA44" s="18"/>
      <c r="AB44" s="18"/>
      <c r="AC44" s="25"/>
      <c r="AE44" s="43"/>
      <c r="AG44" s="14"/>
    </row>
    <row r="45" spans="1:33" x14ac:dyDescent="0.25">
      <c r="A45">
        <v>1938</v>
      </c>
      <c r="E45" s="8"/>
      <c r="F45" s="35">
        <v>3129</v>
      </c>
      <c r="I45" s="8"/>
      <c r="N45" s="47"/>
      <c r="R45">
        <v>6323489</v>
      </c>
      <c r="U45" s="8"/>
      <c r="V45" s="32"/>
      <c r="X45" s="48"/>
      <c r="Y45" s="18"/>
      <c r="Z45" s="18"/>
      <c r="AA45" s="18"/>
      <c r="AB45" s="18"/>
      <c r="AC45" s="25"/>
      <c r="AE45" s="43"/>
      <c r="AG45" s="14"/>
    </row>
    <row r="46" spans="1:33" x14ac:dyDescent="0.25">
      <c r="A46">
        <v>1939</v>
      </c>
      <c r="E46" s="8"/>
      <c r="F46" s="35">
        <v>3129</v>
      </c>
      <c r="I46" s="8"/>
      <c r="N46" s="47"/>
      <c r="R46">
        <v>6354332</v>
      </c>
      <c r="U46" s="8"/>
      <c r="V46" s="32"/>
      <c r="X46" s="48"/>
      <c r="Y46" s="18"/>
      <c r="Z46" s="18"/>
      <c r="AA46" s="18"/>
      <c r="AB46" s="18"/>
      <c r="AC46" s="25"/>
      <c r="AE46" s="43"/>
      <c r="AG46" s="14"/>
    </row>
    <row r="47" spans="1:33" x14ac:dyDescent="0.25">
      <c r="A47">
        <v>1940</v>
      </c>
      <c r="E47" s="8"/>
      <c r="F47" s="35">
        <v>3129</v>
      </c>
      <c r="I47" s="8"/>
      <c r="N47" s="47"/>
      <c r="R47">
        <v>6393377</v>
      </c>
      <c r="U47" s="8"/>
      <c r="V47" s="32"/>
      <c r="X47" s="48"/>
      <c r="Y47" s="18"/>
      <c r="Z47" s="18"/>
      <c r="AA47" s="18"/>
      <c r="AB47" s="18"/>
      <c r="AC47" s="25"/>
      <c r="AE47" s="43"/>
      <c r="AG47" s="14"/>
    </row>
    <row r="48" spans="1:33" x14ac:dyDescent="0.25">
      <c r="A48">
        <v>1941</v>
      </c>
      <c r="E48" s="8"/>
      <c r="F48" s="35">
        <v>3129</v>
      </c>
      <c r="I48" s="8"/>
      <c r="N48" s="47"/>
      <c r="R48">
        <v>6440733</v>
      </c>
      <c r="U48" s="8"/>
      <c r="V48" s="32"/>
      <c r="X48" s="48"/>
      <c r="Y48" s="18"/>
      <c r="Z48" s="18"/>
      <c r="AA48" s="18"/>
      <c r="AB48" s="18"/>
      <c r="AC48" s="25"/>
      <c r="AE48" s="43"/>
      <c r="AG48" s="14"/>
    </row>
    <row r="49" spans="1:33" x14ac:dyDescent="0.25">
      <c r="A49">
        <v>1942</v>
      </c>
      <c r="E49" s="8"/>
      <c r="F49" s="35">
        <v>3129</v>
      </c>
      <c r="I49" s="8"/>
      <c r="N49" s="47"/>
      <c r="R49">
        <v>6496512</v>
      </c>
      <c r="U49" s="8"/>
      <c r="V49" s="32"/>
      <c r="X49" s="48"/>
      <c r="Y49" s="18"/>
      <c r="Z49" s="18"/>
      <c r="AA49" s="18"/>
      <c r="AB49" s="18"/>
      <c r="AC49" s="25"/>
      <c r="AE49" s="43"/>
      <c r="AG49" s="14"/>
    </row>
    <row r="50" spans="1:33" x14ac:dyDescent="0.25">
      <c r="A50">
        <v>1943</v>
      </c>
      <c r="E50" s="8"/>
      <c r="F50" s="35">
        <v>3129</v>
      </c>
      <c r="I50" s="8"/>
      <c r="N50" s="47"/>
      <c r="R50">
        <v>6560825</v>
      </c>
      <c r="U50" s="8"/>
      <c r="V50" s="32"/>
      <c r="X50" s="48"/>
      <c r="Y50" s="18"/>
      <c r="Z50" s="18"/>
      <c r="AA50" s="18"/>
      <c r="AB50" s="18"/>
      <c r="AC50" s="25"/>
      <c r="AE50" s="43"/>
      <c r="AG50" s="14"/>
    </row>
    <row r="51" spans="1:33" x14ac:dyDescent="0.25">
      <c r="A51">
        <v>1944</v>
      </c>
      <c r="E51" s="8"/>
      <c r="F51" s="35">
        <v>3129</v>
      </c>
      <c r="I51" s="8"/>
      <c r="N51" s="47"/>
      <c r="R51">
        <v>6625775</v>
      </c>
      <c r="U51" s="8"/>
      <c r="V51" s="32"/>
      <c r="X51" s="48"/>
      <c r="Y51" s="18"/>
      <c r="Z51" s="18"/>
      <c r="AA51" s="18"/>
      <c r="AB51" s="18"/>
      <c r="AC51" s="25"/>
      <c r="AE51" s="43"/>
      <c r="AG51" s="14"/>
    </row>
    <row r="52" spans="1:33" x14ac:dyDescent="0.25">
      <c r="A52">
        <v>1945</v>
      </c>
      <c r="E52" s="8"/>
      <c r="F52" s="35">
        <v>3129</v>
      </c>
      <c r="I52" s="8"/>
      <c r="N52" s="47"/>
      <c r="R52">
        <v>6691367</v>
      </c>
      <c r="U52" s="8"/>
      <c r="V52" s="32"/>
      <c r="X52" s="48"/>
      <c r="Y52" s="18"/>
      <c r="Z52" s="18"/>
      <c r="AA52" s="18"/>
      <c r="AB52" s="18"/>
      <c r="AC52" s="25"/>
      <c r="AE52" s="43"/>
      <c r="AG52" s="14"/>
    </row>
    <row r="53" spans="1:33" x14ac:dyDescent="0.25">
      <c r="A53">
        <v>1946</v>
      </c>
      <c r="E53" s="8"/>
      <c r="F53" s="35">
        <v>3129</v>
      </c>
      <c r="I53" s="8"/>
      <c r="N53" s="47"/>
      <c r="R53">
        <v>6757610</v>
      </c>
      <c r="U53" s="8"/>
      <c r="V53" s="32"/>
      <c r="X53" s="48"/>
      <c r="Y53" s="18"/>
      <c r="Z53" s="18"/>
      <c r="AA53" s="18"/>
      <c r="AB53" s="18"/>
      <c r="AC53" s="25"/>
      <c r="AE53" s="43"/>
      <c r="AG53" s="14"/>
    </row>
    <row r="54" spans="1:33" x14ac:dyDescent="0.25">
      <c r="A54">
        <v>1947</v>
      </c>
      <c r="E54" s="8"/>
      <c r="F54" s="35">
        <v>3129</v>
      </c>
      <c r="I54" s="8"/>
      <c r="N54" s="47"/>
      <c r="R54">
        <v>6824507</v>
      </c>
      <c r="U54" s="8"/>
      <c r="V54" s="32"/>
      <c r="X54" s="48"/>
      <c r="Y54" s="18"/>
      <c r="Z54" s="18"/>
      <c r="AA54" s="18"/>
      <c r="AB54" s="18"/>
      <c r="AC54" s="25"/>
      <c r="AE54" s="43"/>
      <c r="AG54" s="14"/>
    </row>
    <row r="55" spans="1:33" x14ac:dyDescent="0.25">
      <c r="A55">
        <v>1948</v>
      </c>
      <c r="E55" s="8"/>
      <c r="F55" s="35">
        <v>3129</v>
      </c>
      <c r="I55" s="8"/>
      <c r="N55" s="47"/>
      <c r="R55">
        <v>6892068</v>
      </c>
      <c r="U55" s="8"/>
      <c r="V55" s="32"/>
      <c r="X55" s="48"/>
      <c r="Y55" s="18"/>
      <c r="Z55" s="18"/>
      <c r="AA55" s="18"/>
      <c r="AB55" s="18"/>
      <c r="AC55" s="25"/>
      <c r="AE55" s="43"/>
      <c r="AG55" s="14"/>
    </row>
    <row r="56" spans="1:33" x14ac:dyDescent="0.25">
      <c r="A56">
        <v>1949</v>
      </c>
      <c r="E56" s="8"/>
      <c r="F56" s="35">
        <v>3129</v>
      </c>
      <c r="I56" s="8"/>
      <c r="N56" s="47"/>
      <c r="R56">
        <v>6955459</v>
      </c>
      <c r="U56" s="8"/>
      <c r="V56" s="32"/>
      <c r="X56" s="48"/>
      <c r="Y56" s="18"/>
      <c r="Z56" s="18"/>
      <c r="AA56" s="18"/>
      <c r="AB56" s="18"/>
      <c r="AC56" s="25"/>
      <c r="AE56" s="43"/>
      <c r="AG56" s="14"/>
    </row>
    <row r="57" spans="1:33" x14ac:dyDescent="0.25">
      <c r="A57">
        <v>1950</v>
      </c>
      <c r="E57" s="8"/>
      <c r="F57" s="35">
        <v>3129</v>
      </c>
      <c r="I57" s="8"/>
      <c r="N57" s="47"/>
      <c r="R57">
        <v>7016565</v>
      </c>
      <c r="U57" s="8"/>
      <c r="V57" s="32"/>
      <c r="X57" s="48"/>
      <c r="Y57" s="18"/>
      <c r="Z57" s="18"/>
      <c r="AA57" s="18"/>
      <c r="AB57" s="18"/>
      <c r="AC57" s="25"/>
      <c r="AE57" s="43"/>
      <c r="AG57" s="14"/>
    </row>
    <row r="58" spans="1:33" x14ac:dyDescent="0.25">
      <c r="A58">
        <v>1951</v>
      </c>
      <c r="E58" s="8"/>
      <c r="F58" s="35">
        <v>3129</v>
      </c>
      <c r="I58" s="8"/>
      <c r="N58" s="47"/>
      <c r="R58">
        <v>7072884</v>
      </c>
      <c r="U58" s="8"/>
      <c r="V58" s="32"/>
      <c r="X58" s="48"/>
      <c r="Y58" s="18"/>
      <c r="Z58" s="18"/>
      <c r="AA58" s="18"/>
      <c r="AB58" s="18"/>
      <c r="AC58" s="25"/>
      <c r="AE58" s="43"/>
      <c r="AG58" s="14"/>
    </row>
    <row r="59" spans="1:33" x14ac:dyDescent="0.25">
      <c r="A59">
        <v>1952</v>
      </c>
      <c r="E59" s="8"/>
      <c r="F59" s="35">
        <v>3129</v>
      </c>
      <c r="I59" s="8"/>
      <c r="N59" s="47"/>
      <c r="R59">
        <v>7124675</v>
      </c>
      <c r="U59" s="8"/>
      <c r="V59" s="32"/>
      <c r="X59" s="48"/>
      <c r="Y59" s="18"/>
      <c r="Z59" s="18"/>
      <c r="AA59" s="18"/>
      <c r="AB59" s="18"/>
      <c r="AC59" s="25"/>
      <c r="AE59" s="43"/>
      <c r="AG59" s="14"/>
    </row>
    <row r="60" spans="1:33" x14ac:dyDescent="0.25">
      <c r="A60">
        <v>1953</v>
      </c>
      <c r="E60" s="8"/>
      <c r="F60" s="35">
        <v>3129</v>
      </c>
      <c r="I60" s="8"/>
      <c r="N60" s="47"/>
      <c r="R60">
        <v>7171425</v>
      </c>
      <c r="U60" s="8"/>
      <c r="V60" s="32"/>
      <c r="X60" s="48"/>
      <c r="Y60" s="18"/>
      <c r="Z60" s="18"/>
      <c r="AA60" s="18"/>
      <c r="AB60" s="18"/>
      <c r="AC60" s="25"/>
      <c r="AE60" s="43"/>
      <c r="AG60" s="14"/>
    </row>
    <row r="61" spans="1:33" x14ac:dyDescent="0.25">
      <c r="A61">
        <v>1954</v>
      </c>
      <c r="E61" s="8"/>
      <c r="F61" s="35">
        <v>3129</v>
      </c>
      <c r="I61" s="8"/>
      <c r="N61" s="47"/>
      <c r="R61">
        <v>7213461</v>
      </c>
      <c r="U61" s="8"/>
      <c r="V61" s="32"/>
      <c r="X61" s="48"/>
      <c r="Y61" s="18"/>
      <c r="Z61" s="18"/>
      <c r="AA61" s="18"/>
      <c r="AB61" s="18"/>
      <c r="AC61" s="25"/>
      <c r="AE61" s="43"/>
      <c r="AG61" s="14"/>
    </row>
    <row r="62" spans="1:33" x14ac:dyDescent="0.25">
      <c r="A62">
        <v>1955</v>
      </c>
      <c r="E62" s="8"/>
      <c r="F62" s="35">
        <v>3129</v>
      </c>
      <c r="I62" s="8"/>
      <c r="N62" s="47"/>
      <c r="R62">
        <v>7262328</v>
      </c>
      <c r="U62" s="8"/>
      <c r="V62" s="32"/>
      <c r="X62" s="48"/>
      <c r="Y62" s="18"/>
      <c r="Z62" s="18"/>
      <c r="AA62" s="18"/>
      <c r="AB62" s="18"/>
      <c r="AC62" s="25"/>
      <c r="AE62" s="43"/>
      <c r="AG62" s="14"/>
    </row>
    <row r="63" spans="1:33" x14ac:dyDescent="0.25">
      <c r="A63">
        <v>1956</v>
      </c>
      <c r="E63" s="8"/>
      <c r="F63" s="35">
        <v>3129</v>
      </c>
      <c r="I63" s="8"/>
      <c r="N63" s="47"/>
      <c r="R63">
        <v>7315523</v>
      </c>
      <c r="U63" s="8"/>
      <c r="V63" s="32"/>
      <c r="X63" s="48"/>
      <c r="Y63" s="18"/>
      <c r="Z63" s="18"/>
      <c r="AA63" s="18"/>
      <c r="AB63" s="18"/>
      <c r="AC63" s="25"/>
      <c r="AE63" s="43"/>
      <c r="AG63" s="14"/>
    </row>
    <row r="64" spans="1:33" x14ac:dyDescent="0.25">
      <c r="A64">
        <v>1957</v>
      </c>
      <c r="E64" s="8"/>
      <c r="F64" s="35">
        <v>3129</v>
      </c>
      <c r="I64" s="8"/>
      <c r="N64" s="47"/>
      <c r="R64">
        <v>7366883</v>
      </c>
      <c r="U64" s="8"/>
      <c r="V64" s="32"/>
      <c r="X64" s="48"/>
      <c r="Y64" s="18"/>
      <c r="Z64" s="18"/>
      <c r="AA64" s="18"/>
      <c r="AB64" s="18"/>
      <c r="AC64" s="25"/>
      <c r="AE64" s="43"/>
      <c r="AG64" s="14"/>
    </row>
    <row r="65" spans="1:33" x14ac:dyDescent="0.25">
      <c r="A65">
        <v>1958</v>
      </c>
      <c r="E65" s="8"/>
      <c r="F65" s="35">
        <v>3129</v>
      </c>
      <c r="I65" s="8"/>
      <c r="N65" s="47"/>
      <c r="R65">
        <v>7414352</v>
      </c>
      <c r="U65" s="8"/>
      <c r="V65" s="32"/>
      <c r="X65" s="48"/>
      <c r="Y65" s="18"/>
      <c r="Z65" s="18"/>
      <c r="AA65" s="18"/>
      <c r="AB65" s="18"/>
      <c r="AC65" s="25"/>
      <c r="AE65" s="43"/>
      <c r="AG65" s="14"/>
    </row>
    <row r="66" spans="1:33" x14ac:dyDescent="0.25">
      <c r="A66">
        <v>1959</v>
      </c>
      <c r="E66" s="8"/>
      <c r="F66" s="35">
        <v>3129</v>
      </c>
      <c r="I66" s="8"/>
      <c r="N66" s="47"/>
      <c r="R66">
        <v>7453561</v>
      </c>
      <c r="U66" s="8"/>
      <c r="V66" s="32"/>
      <c r="X66" s="48"/>
      <c r="Y66" s="18"/>
      <c r="Z66" s="18"/>
      <c r="AA66" s="18"/>
      <c r="AB66" s="18"/>
      <c r="AC66" s="25"/>
      <c r="AE66" s="43"/>
      <c r="AG66" s="14"/>
    </row>
    <row r="67" spans="1:33" x14ac:dyDescent="0.25">
      <c r="A67">
        <v>1960</v>
      </c>
      <c r="E67" s="8"/>
      <c r="F67" s="35">
        <v>3129</v>
      </c>
      <c r="I67" s="8"/>
      <c r="N67" s="47"/>
      <c r="R67">
        <v>7484597</v>
      </c>
      <c r="U67" s="8"/>
      <c r="V67" s="32"/>
      <c r="X67" s="48"/>
      <c r="Y67" s="18"/>
      <c r="Z67" s="18"/>
      <c r="AA67" s="18"/>
      <c r="AB67" s="18"/>
      <c r="AC67" s="25"/>
      <c r="AE67" s="43"/>
      <c r="AG67" s="14"/>
    </row>
    <row r="68" spans="1:33" x14ac:dyDescent="0.25">
      <c r="A68">
        <v>1961</v>
      </c>
      <c r="E68" s="8"/>
      <c r="F68" s="35">
        <v>3129</v>
      </c>
      <c r="I68" s="8"/>
      <c r="N68" s="47"/>
      <c r="R68">
        <v>7519997</v>
      </c>
      <c r="U68" s="8"/>
      <c r="V68" s="32"/>
      <c r="X68" s="48"/>
      <c r="Y68" s="18"/>
      <c r="Z68" s="18"/>
      <c r="AA68" s="18"/>
      <c r="AB68" s="18"/>
      <c r="AC68" s="25"/>
      <c r="AE68" s="43"/>
      <c r="AG68" s="14"/>
    </row>
    <row r="69" spans="1:33" x14ac:dyDescent="0.25">
      <c r="A69">
        <v>1962</v>
      </c>
      <c r="E69" s="8"/>
      <c r="F69" s="35">
        <v>3129</v>
      </c>
      <c r="I69" s="8"/>
      <c r="N69" s="47"/>
      <c r="R69">
        <v>7561517</v>
      </c>
      <c r="U69" s="8"/>
      <c r="V69" s="32"/>
      <c r="X69" s="48"/>
      <c r="Y69" s="18"/>
      <c r="Z69" s="18"/>
      <c r="AA69" s="18"/>
      <c r="AB69" s="18"/>
      <c r="AC69" s="25"/>
      <c r="AE69" s="43"/>
      <c r="AG69" s="14"/>
    </row>
    <row r="70" spans="1:33" x14ac:dyDescent="0.25">
      <c r="A70">
        <v>1963</v>
      </c>
      <c r="E70" s="8"/>
      <c r="F70" s="35">
        <v>3129</v>
      </c>
      <c r="I70" s="8"/>
      <c r="N70" s="47"/>
      <c r="R70">
        <v>7604207</v>
      </c>
      <c r="U70" s="8"/>
      <c r="V70" s="32"/>
      <c r="X70" s="48"/>
      <c r="Y70" s="18"/>
      <c r="Z70" s="18"/>
      <c r="AA70" s="18"/>
      <c r="AB70" s="18"/>
      <c r="AC70" s="25"/>
      <c r="AE70" s="43"/>
      <c r="AG70" s="14"/>
    </row>
    <row r="71" spans="1:33" x14ac:dyDescent="0.25">
      <c r="A71">
        <v>1964</v>
      </c>
      <c r="E71" s="8"/>
      <c r="F71" s="35">
        <v>3129</v>
      </c>
      <c r="I71" s="8"/>
      <c r="N71" s="47"/>
      <c r="R71">
        <v>7661190</v>
      </c>
      <c r="U71" s="8"/>
      <c r="V71" s="32"/>
      <c r="X71" s="48"/>
      <c r="Y71" s="18"/>
      <c r="Z71" s="18"/>
      <c r="AA71" s="18"/>
      <c r="AB71" s="18"/>
      <c r="AC71" s="25"/>
      <c r="AE71" s="43"/>
      <c r="AG71" s="14"/>
    </row>
    <row r="72" spans="1:33" x14ac:dyDescent="0.25">
      <c r="A72">
        <v>1965</v>
      </c>
      <c r="E72" s="8"/>
      <c r="F72" s="35">
        <v>3129</v>
      </c>
      <c r="I72" s="8"/>
      <c r="N72" s="47"/>
      <c r="R72">
        <v>7733011</v>
      </c>
      <c r="U72" s="8"/>
      <c r="V72" s="32"/>
      <c r="X72" s="48"/>
      <c r="Y72" s="18"/>
      <c r="Z72" s="18"/>
      <c r="AA72" s="18"/>
      <c r="AB72" s="18"/>
      <c r="AC72" s="25"/>
      <c r="AE72" s="43"/>
      <c r="AG72" s="14"/>
    </row>
    <row r="73" spans="1:33" x14ac:dyDescent="0.25">
      <c r="A73">
        <v>1966</v>
      </c>
      <c r="E73" s="8"/>
      <c r="F73" s="35">
        <v>3129</v>
      </c>
      <c r="I73" s="8"/>
      <c r="N73" s="47"/>
      <c r="R73">
        <v>7805586</v>
      </c>
      <c r="U73" s="8"/>
      <c r="V73" s="32"/>
      <c r="X73" s="48"/>
      <c r="Y73" s="18"/>
      <c r="Z73" s="18"/>
      <c r="AA73" s="18"/>
      <c r="AB73" s="18"/>
      <c r="AC73" s="25"/>
      <c r="AE73" s="43"/>
      <c r="AG73" s="14"/>
    </row>
    <row r="74" spans="1:33" x14ac:dyDescent="0.25">
      <c r="A74">
        <v>1967</v>
      </c>
      <c r="E74" s="8"/>
      <c r="F74" s="35">
        <v>3129</v>
      </c>
      <c r="I74" s="8"/>
      <c r="N74" s="47"/>
      <c r="R74">
        <v>7866404</v>
      </c>
      <c r="U74" s="8"/>
      <c r="V74" s="32"/>
      <c r="X74" s="48"/>
      <c r="Y74" s="18"/>
      <c r="Z74" s="18"/>
      <c r="AA74" s="18"/>
      <c r="AB74" s="18"/>
      <c r="AC74" s="25"/>
      <c r="AE74" s="43"/>
      <c r="AG74" s="14"/>
    </row>
    <row r="75" spans="1:33" x14ac:dyDescent="0.25">
      <c r="A75">
        <v>1968</v>
      </c>
      <c r="E75" s="8"/>
      <c r="F75" s="35">
        <v>3129</v>
      </c>
      <c r="I75" s="8"/>
      <c r="N75" s="47"/>
      <c r="R75">
        <v>7912122</v>
      </c>
      <c r="U75" s="8"/>
      <c r="V75" s="32"/>
      <c r="X75" s="48"/>
      <c r="Y75" s="18"/>
      <c r="Z75" s="18"/>
      <c r="AA75" s="18"/>
      <c r="AB75" s="18"/>
      <c r="AC75" s="25"/>
      <c r="AE75" s="43"/>
      <c r="AG75" s="14"/>
    </row>
    <row r="76" spans="1:33" x14ac:dyDescent="0.25">
      <c r="A76">
        <v>1969</v>
      </c>
      <c r="E76" s="8"/>
      <c r="F76" s="35">
        <v>3129</v>
      </c>
      <c r="I76" s="8"/>
      <c r="N76" s="47"/>
      <c r="R76">
        <v>7968013</v>
      </c>
      <c r="U76" s="8"/>
      <c r="V76" s="32"/>
      <c r="X76" s="48"/>
      <c r="Y76" s="18"/>
      <c r="Z76" s="18"/>
      <c r="AA76" s="18"/>
      <c r="AB76" s="18"/>
      <c r="AC76" s="25"/>
      <c r="AE76" s="43"/>
      <c r="AG76" s="14"/>
    </row>
    <row r="77" spans="1:33" x14ac:dyDescent="0.25">
      <c r="A77">
        <v>1970</v>
      </c>
      <c r="B77" s="1">
        <v>203211926</v>
      </c>
      <c r="C77" s="1">
        <f>'cohousing population'!D96</f>
        <v>78205102</v>
      </c>
      <c r="D77" s="1">
        <f>'cohousing population'!D22</f>
        <v>4928676</v>
      </c>
      <c r="E77" s="8"/>
      <c r="F77" s="35">
        <v>3129</v>
      </c>
      <c r="I77" s="8"/>
      <c r="J77" s="23">
        <f>'elm- g'!C21</f>
        <v>139.0301944</v>
      </c>
      <c r="K77" s="23">
        <f>'elm- j'!C21</f>
        <v>142.01987270000001</v>
      </c>
      <c r="L77" s="23">
        <f>'elm-i'!C21</f>
        <v>46.437518084999994</v>
      </c>
      <c r="M77" s="23">
        <f>'elm- uk'!C21</f>
        <v>148.55998020000001</v>
      </c>
      <c r="N77" s="47">
        <f>'elm- us'!C21</f>
        <v>210.22801709999999</v>
      </c>
      <c r="R77">
        <v>8042783</v>
      </c>
      <c r="U77" s="8"/>
      <c r="V77" s="32"/>
      <c r="X77" s="48"/>
      <c r="Y77" s="18"/>
      <c r="Z77" s="18"/>
      <c r="AA77" s="18"/>
      <c r="AB77" s="18"/>
      <c r="AC77" s="25"/>
      <c r="AE77" s="43"/>
      <c r="AG77" s="14"/>
    </row>
    <row r="78" spans="1:33" x14ac:dyDescent="0.25">
      <c r="A78">
        <v>1971</v>
      </c>
      <c r="B78" s="1">
        <v>202907917</v>
      </c>
      <c r="C78" s="1">
        <f>'cohousing population'!D97</f>
        <v>78345873</v>
      </c>
      <c r="D78" s="1">
        <f>'cohousing population'!D23</f>
        <v>4963062</v>
      </c>
      <c r="E78" s="8"/>
      <c r="F78" s="35">
        <v>3129</v>
      </c>
      <c r="I78" s="8"/>
      <c r="J78" s="23">
        <f>'elm- g'!C22</f>
        <v>140.86689796000002</v>
      </c>
      <c r="K78" s="23">
        <f>'elm- j'!C22</f>
        <v>147.91391300000001</v>
      </c>
      <c r="L78" s="23">
        <f>'elm-i'!C22</f>
        <v>47.267345169999999</v>
      </c>
      <c r="M78" s="23">
        <f>'elm- uk'!C22</f>
        <v>149.8921584</v>
      </c>
      <c r="N78" s="47">
        <f>'elm- us'!C22</f>
        <v>216.43922790000002</v>
      </c>
      <c r="R78">
        <v>8098105</v>
      </c>
      <c r="U78" s="8"/>
      <c r="V78" s="32"/>
      <c r="X78" s="48"/>
      <c r="Y78" s="18"/>
      <c r="Z78" s="18"/>
      <c r="AA78" s="18"/>
      <c r="AB78" s="18"/>
      <c r="AC78" s="25"/>
      <c r="AE78" s="43"/>
      <c r="AG78" s="14"/>
    </row>
    <row r="79" spans="1:33" x14ac:dyDescent="0.25">
      <c r="A79">
        <v>1972</v>
      </c>
      <c r="B79" s="1">
        <v>205238390</v>
      </c>
      <c r="C79" s="1">
        <f>'cohousing population'!D98</f>
        <v>78719923</v>
      </c>
      <c r="D79" s="1">
        <f>'cohousing population'!D24</f>
        <v>4991568</v>
      </c>
      <c r="E79" s="8"/>
      <c r="F79" s="35">
        <v>3129</v>
      </c>
      <c r="I79" s="8"/>
      <c r="J79" s="23">
        <f>'elm- g'!C23</f>
        <v>146.15464163000001</v>
      </c>
      <c r="K79" s="23">
        <f>'elm- j'!C23</f>
        <v>149.3046281</v>
      </c>
      <c r="L79" s="23">
        <f>'elm-i'!C23</f>
        <v>48.061273929999999</v>
      </c>
      <c r="M79" s="23">
        <f>'elm- uk'!C23</f>
        <v>147.39541485000001</v>
      </c>
      <c r="N79" s="47">
        <f>'elm- us'!C23</f>
        <v>215.37838379999999</v>
      </c>
      <c r="R79">
        <v>8122427</v>
      </c>
      <c r="U79" s="8"/>
      <c r="V79" s="32"/>
      <c r="X79" s="48"/>
      <c r="Y79" s="18"/>
      <c r="Z79" s="18"/>
      <c r="AA79" s="18"/>
      <c r="AB79" s="18"/>
      <c r="AC79" s="25"/>
      <c r="AE79" s="43"/>
      <c r="AG79" s="14"/>
    </row>
    <row r="80" spans="1:33" x14ac:dyDescent="0.25">
      <c r="A80">
        <v>1973</v>
      </c>
      <c r="B80" s="1">
        <v>207314764</v>
      </c>
      <c r="C80" s="1">
        <f>'cohousing population'!D99</f>
        <v>78966976</v>
      </c>
      <c r="D80" s="1">
        <f>'cohousing population'!D25</f>
        <v>5021765</v>
      </c>
      <c r="E80" s="8"/>
      <c r="F80" s="35">
        <v>3129</v>
      </c>
      <c r="I80" s="8"/>
      <c r="J80" s="23">
        <f>'elm- g'!C24</f>
        <v>147.98151799999999</v>
      </c>
      <c r="K80" s="23">
        <f>'elm- j'!C24</f>
        <v>145.9680395</v>
      </c>
      <c r="L80" s="23">
        <f>'elm-i'!C24</f>
        <v>48.533628049999997</v>
      </c>
      <c r="M80" s="23">
        <f>'elm- uk'!C24</f>
        <v>148.58977349999998</v>
      </c>
      <c r="N80" s="47">
        <f>'elm- us'!C24</f>
        <v>206.86047100000002</v>
      </c>
      <c r="R80">
        <v>8137164</v>
      </c>
      <c r="U80" s="8"/>
      <c r="V80" s="32"/>
      <c r="X80" s="48"/>
      <c r="Y80" s="18"/>
      <c r="Z80" s="18"/>
      <c r="AA80" s="18"/>
      <c r="AB80" s="18"/>
      <c r="AC80" s="25"/>
      <c r="AE80" s="43"/>
      <c r="AG80" s="14"/>
    </row>
    <row r="81" spans="1:33" x14ac:dyDescent="0.25">
      <c r="A81">
        <v>1974</v>
      </c>
      <c r="B81" s="1">
        <v>209277968</v>
      </c>
      <c r="C81" s="1">
        <f>'cohousing population'!D100</f>
        <v>78996693</v>
      </c>
      <c r="D81" s="1">
        <f>'cohousing population'!D26</f>
        <v>5045638</v>
      </c>
      <c r="E81" s="8"/>
      <c r="F81" s="35">
        <v>3129</v>
      </c>
      <c r="I81" s="8"/>
      <c r="J81" s="23">
        <f>'elm- g'!C25</f>
        <v>150.34412700000001</v>
      </c>
      <c r="K81" s="23">
        <f>'elm- j'!C25</f>
        <v>143.07277529999999</v>
      </c>
      <c r="L81" s="23">
        <f>'elm-i'!C25</f>
        <v>49.071265699999998</v>
      </c>
      <c r="M81" s="23">
        <f>'elm- uk'!C25</f>
        <v>151.05761036999996</v>
      </c>
      <c r="N81" s="47">
        <f>'elm- us'!C25</f>
        <v>217.57301810000001</v>
      </c>
      <c r="R81">
        <v>8160636</v>
      </c>
      <c r="U81" s="8"/>
      <c r="V81" s="32"/>
      <c r="X81" s="48"/>
      <c r="Y81" s="18"/>
      <c r="Z81" s="18"/>
      <c r="AA81" s="18"/>
      <c r="AB81" s="18"/>
      <c r="AC81" s="25"/>
      <c r="AE81" s="43"/>
      <c r="AG81" s="14"/>
    </row>
    <row r="82" spans="1:33" x14ac:dyDescent="0.25">
      <c r="A82">
        <v>1975</v>
      </c>
      <c r="B82" s="1">
        <v>211274535</v>
      </c>
      <c r="C82" s="1">
        <f>'cohousing population'!D101</f>
        <v>78701861</v>
      </c>
      <c r="D82" s="1">
        <f>'cohousing population'!D27</f>
        <v>5060403</v>
      </c>
      <c r="E82" s="8"/>
      <c r="F82" s="35">
        <v>3129</v>
      </c>
      <c r="I82" s="8"/>
      <c r="J82" s="23">
        <f>'elm- g'!C26</f>
        <v>150.21145909999998</v>
      </c>
      <c r="K82" s="23">
        <f>'elm- j'!C26</f>
        <v>142.55301879999999</v>
      </c>
      <c r="L82" s="23">
        <f>'elm-i'!C26</f>
        <v>49.427351439999995</v>
      </c>
      <c r="M82" s="23">
        <f>'elm- uk'!C26</f>
        <v>139.35071770000002</v>
      </c>
      <c r="N82" s="47">
        <f>'elm- us'!C26</f>
        <v>216.31834670000001</v>
      </c>
      <c r="R82">
        <v>8192642</v>
      </c>
      <c r="U82" s="8"/>
      <c r="V82" s="32"/>
      <c r="X82" s="48"/>
      <c r="Y82" s="18"/>
      <c r="Z82" s="18"/>
      <c r="AA82" s="18"/>
      <c r="AB82" s="18"/>
      <c r="AC82" s="25"/>
      <c r="AE82" s="43"/>
      <c r="AG82" s="14"/>
    </row>
    <row r="83" spans="1:33" x14ac:dyDescent="0.25">
      <c r="A83">
        <v>1976</v>
      </c>
      <c r="B83" s="1">
        <v>213270022</v>
      </c>
      <c r="C83" s="1">
        <f>'cohousing population'!D102</f>
        <v>78364503</v>
      </c>
      <c r="D83" s="1">
        <f>'cohousing population'!D28</f>
        <v>5072804</v>
      </c>
      <c r="E83" s="8"/>
      <c r="F83" s="35">
        <v>3129</v>
      </c>
      <c r="I83" s="8"/>
      <c r="J83" s="23">
        <f>'elm- g'!C27</f>
        <v>151.62391199999999</v>
      </c>
      <c r="K83" s="23">
        <f>'elm- j'!C27</f>
        <v>143.84402399999999</v>
      </c>
      <c r="L83" s="23">
        <f>'elm-i'!C27</f>
        <v>49.825605270000004</v>
      </c>
      <c r="M83" s="23">
        <f>'elm- uk'!C27</f>
        <v>133.00823415000002</v>
      </c>
      <c r="N83" s="47">
        <f>'elm- us'!C27</f>
        <v>218.8476282</v>
      </c>
      <c r="R83">
        <v>8222393</v>
      </c>
      <c r="U83" s="8"/>
      <c r="V83" s="32"/>
      <c r="X83" s="48"/>
      <c r="Y83" s="18"/>
      <c r="Z83" s="18"/>
      <c r="AA83" s="18"/>
      <c r="AB83" s="18"/>
      <c r="AC83" s="25"/>
      <c r="AE83" s="43"/>
      <c r="AG83" s="14"/>
    </row>
    <row r="84" spans="1:33" x14ac:dyDescent="0.25">
      <c r="A84">
        <v>1977</v>
      </c>
      <c r="B84" s="1">
        <v>215437405</v>
      </c>
      <c r="C84" s="1">
        <f>'cohousing population'!D103</f>
        <v>78185560</v>
      </c>
      <c r="D84" s="1">
        <f>'cohousing population'!D29</f>
        <v>5088574</v>
      </c>
      <c r="E84" s="8"/>
      <c r="F84" s="35">
        <v>3129</v>
      </c>
      <c r="I84" s="8"/>
      <c r="J84" s="23">
        <f>'elm- g'!C28</f>
        <v>157.21597109999999</v>
      </c>
      <c r="K84" s="23">
        <f>'elm- j'!C28</f>
        <v>149.87518560000001</v>
      </c>
      <c r="L84" s="23">
        <f>'elm-i'!C28</f>
        <v>50.279229874999999</v>
      </c>
      <c r="M84" s="23">
        <f>'elm- uk'!C28</f>
        <v>158.25167766999999</v>
      </c>
      <c r="N84" s="47">
        <f>'elm- us'!C28</f>
        <v>225.64587993999999</v>
      </c>
      <c r="R84">
        <v>8251698</v>
      </c>
      <c r="U84" s="8"/>
      <c r="V84" s="32"/>
      <c r="X84" s="48"/>
      <c r="Y84" s="18"/>
      <c r="Z84" s="18"/>
      <c r="AA84" s="18"/>
      <c r="AB84" s="18"/>
      <c r="AC84" s="25"/>
      <c r="AE84" s="43"/>
      <c r="AG84" s="14"/>
    </row>
    <row r="85" spans="1:33" x14ac:dyDescent="0.25">
      <c r="A85">
        <v>1978</v>
      </c>
      <c r="B85" s="1">
        <v>217881437</v>
      </c>
      <c r="C85" s="1">
        <f>'cohousing population'!D104</f>
        <v>78115357</v>
      </c>
      <c r="D85" s="1">
        <f>'cohousing population'!D30</f>
        <v>5104342</v>
      </c>
      <c r="E85" s="8"/>
      <c r="F85" s="35">
        <v>3129</v>
      </c>
      <c r="I85" s="8"/>
      <c r="J85" s="23">
        <f>'elm- g'!C29</f>
        <v>162.15526080000001</v>
      </c>
      <c r="K85" s="23">
        <f>'elm- j'!C29</f>
        <v>151.75552769999999</v>
      </c>
      <c r="L85" s="23">
        <f>'elm-i'!C29</f>
        <v>50.771495999999999</v>
      </c>
      <c r="M85" s="23">
        <f>'elm- uk'!C29</f>
        <v>147.97241982999998</v>
      </c>
      <c r="N85" s="47">
        <f>'elm- us'!C29</f>
        <v>223.04374309999997</v>
      </c>
      <c r="R85">
        <v>8275793</v>
      </c>
      <c r="U85" s="8"/>
      <c r="V85" s="32"/>
      <c r="X85" s="48"/>
      <c r="Y85" s="18"/>
      <c r="Z85" s="18"/>
      <c r="AA85" s="18"/>
      <c r="AB85" s="18"/>
      <c r="AC85" s="25"/>
      <c r="AE85" s="43"/>
      <c r="AG85" s="14"/>
    </row>
    <row r="86" spans="1:33" x14ac:dyDescent="0.25">
      <c r="A86">
        <v>1979</v>
      </c>
      <c r="B86" s="1">
        <v>220463115</v>
      </c>
      <c r="C86" s="1">
        <f>'cohousing population'!D105</f>
        <v>78147899</v>
      </c>
      <c r="D86" s="1">
        <f>'cohousing population'!D31</f>
        <v>5116861</v>
      </c>
      <c r="E86" s="8"/>
      <c r="F86" s="35">
        <v>3129</v>
      </c>
      <c r="I86" s="8"/>
      <c r="J86" s="23">
        <f>'elm- g'!C30</f>
        <v>164.33060800000001</v>
      </c>
      <c r="K86" s="23">
        <f>'elm- j'!C30</f>
        <v>151.38652056999999</v>
      </c>
      <c r="L86" s="23">
        <f>'elm-i'!C30</f>
        <v>51.043366059999997</v>
      </c>
      <c r="M86" s="23">
        <f>'elm- uk'!C30</f>
        <v>152.45412379999999</v>
      </c>
      <c r="N86" s="47">
        <f>'elm- us'!C30</f>
        <v>225.34363919999998</v>
      </c>
      <c r="R86">
        <v>8293749</v>
      </c>
      <c r="U86" s="8"/>
      <c r="V86" s="32"/>
      <c r="X86" s="48"/>
      <c r="Y86" s="18"/>
      <c r="Z86" s="18"/>
      <c r="AA86" s="18"/>
      <c r="AB86" s="18"/>
      <c r="AC86" s="25"/>
      <c r="AE86" s="43"/>
      <c r="AG86" s="14"/>
    </row>
    <row r="87" spans="1:33" x14ac:dyDescent="0.25">
      <c r="A87">
        <v>1980</v>
      </c>
      <c r="B87" s="1">
        <v>226545805</v>
      </c>
      <c r="C87" s="1">
        <f>'cohousing population'!D106</f>
        <v>78315374</v>
      </c>
      <c r="D87" s="1">
        <f>'cohousing population'!D32</f>
        <v>5123078</v>
      </c>
      <c r="E87" s="36">
        <v>528747</v>
      </c>
      <c r="F87" s="35">
        <v>3129</v>
      </c>
      <c r="I87" s="8"/>
      <c r="J87" s="23">
        <f>'elm- g'!C31</f>
        <v>164.55313169999999</v>
      </c>
      <c r="K87" s="23">
        <f>'elm- j'!C31</f>
        <v>150.56591035</v>
      </c>
      <c r="L87" s="23">
        <f>'elm-i'!C31</f>
        <v>51.397191100000001</v>
      </c>
      <c r="M87" s="23">
        <f>'elm- uk'!C31</f>
        <v>149.18804795</v>
      </c>
      <c r="N87" s="47">
        <f>'elm- us'!C31</f>
        <v>217.19930769999999</v>
      </c>
      <c r="R87">
        <v>8310470</v>
      </c>
      <c r="U87" s="8"/>
      <c r="V87" s="32">
        <f>'energy communities population'!D73</f>
        <v>14162687</v>
      </c>
      <c r="X87" s="48"/>
      <c r="Y87" s="18"/>
      <c r="Z87" s="18"/>
      <c r="AA87" s="18"/>
      <c r="AB87" s="18"/>
      <c r="AC87" s="25"/>
      <c r="AE87" s="43"/>
      <c r="AG87" s="14"/>
    </row>
    <row r="88" spans="1:33" x14ac:dyDescent="0.25">
      <c r="A88">
        <v>1981</v>
      </c>
      <c r="B88" s="1">
        <v>228670000</v>
      </c>
      <c r="C88" s="1">
        <f>'cohousing population'!D107</f>
        <v>78448044</v>
      </c>
      <c r="D88" s="1">
        <f>'cohousing population'!D33</f>
        <v>5121628</v>
      </c>
      <c r="E88" s="37">
        <f>(($E$97-$E$87)/10)+E87</f>
        <v>536053.9</v>
      </c>
      <c r="F88" s="38">
        <f>((F97-F87)/10)+F87</f>
        <v>3129</v>
      </c>
      <c r="I88" s="8"/>
      <c r="J88" s="23">
        <f>'elm- g'!C32</f>
        <v>170.217051</v>
      </c>
      <c r="K88" s="23">
        <f>'elm- j'!C32</f>
        <v>152.45924687000002</v>
      </c>
      <c r="L88" s="23">
        <f>'elm-i'!C32</f>
        <v>52.193175099999998</v>
      </c>
      <c r="M88" s="23">
        <f>'elm- uk'!C32</f>
        <v>147.39293616999998</v>
      </c>
      <c r="N88" s="47">
        <f>'elm- us'!C32</f>
        <v>216.37797215000001</v>
      </c>
      <c r="R88">
        <v>8320460</v>
      </c>
      <c r="U88" s="8"/>
      <c r="V88" s="32">
        <f>'energy communities population'!D74</f>
        <v>14262690</v>
      </c>
      <c r="X88" s="48"/>
      <c r="Y88" s="18"/>
      <c r="Z88" s="18"/>
      <c r="AA88" s="18"/>
      <c r="AB88" s="18"/>
      <c r="AC88" s="25"/>
      <c r="AE88" s="43"/>
      <c r="AG88" s="14"/>
    </row>
    <row r="89" spans="1:33" x14ac:dyDescent="0.25">
      <c r="A89">
        <v>1982</v>
      </c>
      <c r="B89" s="1">
        <v>230997000</v>
      </c>
      <c r="C89" s="1">
        <f>'cohousing population'!D108</f>
        <v>78393671</v>
      </c>
      <c r="D89" s="1">
        <f>'cohousing population'!D34</f>
        <v>5117897</v>
      </c>
      <c r="E89" s="37">
        <f>(($E$97-$E$87)/10)+E88</f>
        <v>543360.80000000005</v>
      </c>
      <c r="F89" s="35">
        <v>3129</v>
      </c>
      <c r="I89" s="8"/>
      <c r="J89" s="23">
        <f>'elm- g'!C33</f>
        <v>167.00540293</v>
      </c>
      <c r="K89" s="23">
        <f>'elm- j'!C33</f>
        <v>152.51014309999999</v>
      </c>
      <c r="L89" s="23">
        <f>'elm-i'!C33</f>
        <v>53.235543190000001</v>
      </c>
      <c r="M89" s="23">
        <f>'elm- uk'!C33</f>
        <v>154.86521519999999</v>
      </c>
      <c r="N89" s="47">
        <f>'elm- us'!C33</f>
        <v>224.61058009999999</v>
      </c>
      <c r="R89">
        <v>8325179</v>
      </c>
      <c r="U89" s="8"/>
      <c r="V89" s="32">
        <f>'energy communities population'!D75</f>
        <v>14333902</v>
      </c>
      <c r="X89" s="48"/>
      <c r="Y89" s="18"/>
      <c r="Z89" s="18"/>
      <c r="AA89" s="18"/>
      <c r="AB89" s="18"/>
      <c r="AC89" s="25"/>
      <c r="AE89" s="43"/>
      <c r="AG89" s="14"/>
    </row>
    <row r="90" spans="1:33" x14ac:dyDescent="0.25">
      <c r="A90">
        <v>1983</v>
      </c>
      <c r="B90" s="1">
        <v>233307000</v>
      </c>
      <c r="C90" s="1">
        <f>'cohousing population'!D109</f>
        <v>78224137</v>
      </c>
      <c r="D90" s="1">
        <f>'cohousing population'!D35</f>
        <v>5114468</v>
      </c>
      <c r="E90" s="37">
        <f t="shared" ref="E90:E95" si="0">(($E$97-$E$87)/10)+E89</f>
        <v>550667.70000000007</v>
      </c>
      <c r="F90" s="35">
        <v>3129</v>
      </c>
      <c r="I90" s="8"/>
      <c r="J90" s="23">
        <f>'elm- g'!C34</f>
        <v>166.1467561</v>
      </c>
      <c r="K90" s="23">
        <f>'elm- j'!C34</f>
        <v>148.22741445999998</v>
      </c>
      <c r="L90" s="23">
        <f>'elm-i'!C34</f>
        <v>54.16637686</v>
      </c>
      <c r="M90" s="23">
        <f>'elm- uk'!C34</f>
        <v>149.42382305999999</v>
      </c>
      <c r="N90" s="47">
        <f>'elm- us'!C34</f>
        <v>218.85576900000001</v>
      </c>
      <c r="R90">
        <v>8328917</v>
      </c>
      <c r="U90" s="8"/>
      <c r="V90" s="32">
        <f>'energy communities population'!D76</f>
        <v>14396901</v>
      </c>
      <c r="X90" s="48"/>
      <c r="Y90" s="18"/>
      <c r="Z90" s="18"/>
      <c r="AA90" s="18"/>
      <c r="AB90" s="18"/>
      <c r="AC90" s="25"/>
      <c r="AE90" s="43"/>
      <c r="AG90" s="14"/>
    </row>
    <row r="91" spans="1:33" x14ac:dyDescent="0.25">
      <c r="A91">
        <v>1984</v>
      </c>
      <c r="B91" s="1">
        <v>235825000</v>
      </c>
      <c r="C91" s="1">
        <f>'cohousing population'!D110</f>
        <v>77998199</v>
      </c>
      <c r="D91" s="1">
        <f>'cohousing population'!D36</f>
        <v>5111830</v>
      </c>
      <c r="E91" s="37">
        <f t="shared" si="0"/>
        <v>557974.60000000009</v>
      </c>
      <c r="F91" s="35">
        <v>3129</v>
      </c>
      <c r="I91" s="8"/>
      <c r="J91" s="23">
        <f>'elm- g'!C35</f>
        <v>172.89804950000001</v>
      </c>
      <c r="K91" s="23">
        <f>'elm- j'!C35</f>
        <v>153.16159935000002</v>
      </c>
      <c r="L91" s="23">
        <f>'elm-i'!C35</f>
        <v>54.662506799999996</v>
      </c>
      <c r="M91" s="23">
        <f>'elm- uk'!C35</f>
        <v>153.85589880999999</v>
      </c>
      <c r="N91" s="47">
        <f>'elm- us'!C35</f>
        <v>227.08407026</v>
      </c>
      <c r="R91">
        <v>8336484</v>
      </c>
      <c r="U91" s="8"/>
      <c r="V91" s="32">
        <f>'energy communities population'!D77</f>
        <v>14462810</v>
      </c>
      <c r="X91" s="48"/>
      <c r="Y91" s="18"/>
      <c r="Z91" s="18"/>
      <c r="AA91" s="18"/>
      <c r="AB91" s="18"/>
      <c r="AC91" s="25"/>
      <c r="AE91" s="43"/>
      <c r="AG91" s="14"/>
    </row>
    <row r="92" spans="1:33" x14ac:dyDescent="0.25">
      <c r="A92">
        <v>1985</v>
      </c>
      <c r="B92" s="1">
        <v>238466000</v>
      </c>
      <c r="C92" s="1">
        <f>'cohousing population'!D111</f>
        <v>77863423</v>
      </c>
      <c r="D92" s="1">
        <f>'cohousing population'!D37</f>
        <v>5113878</v>
      </c>
      <c r="E92" s="37">
        <f t="shared" si="0"/>
        <v>565281.50000000012</v>
      </c>
      <c r="F92" s="35">
        <v>3129</v>
      </c>
      <c r="I92" s="8"/>
      <c r="J92" s="23">
        <f>'elm- g'!C36</f>
        <v>172.06176994</v>
      </c>
      <c r="K92" s="23">
        <f>'elm- j'!C36</f>
        <v>151.79048076000001</v>
      </c>
      <c r="L92" s="23">
        <f>'elm-i'!C36</f>
        <v>54.774746180000001</v>
      </c>
      <c r="M92" s="23">
        <f>'elm- uk'!C36</f>
        <v>152.09297341999999</v>
      </c>
      <c r="N92" s="47">
        <f>'elm- us'!C36</f>
        <v>228.23477894000001</v>
      </c>
      <c r="R92">
        <v>8350249</v>
      </c>
      <c r="U92" s="8"/>
      <c r="V92" s="32">
        <f>'energy communities population'!D78</f>
        <v>14538958</v>
      </c>
      <c r="X92" s="48"/>
      <c r="Y92" s="18"/>
      <c r="Z92" s="18"/>
      <c r="AA92" s="18"/>
      <c r="AB92" s="18"/>
      <c r="AC92" s="25"/>
      <c r="AE92" s="43"/>
      <c r="AG92" s="14"/>
    </row>
    <row r="93" spans="1:33" x14ac:dyDescent="0.25">
      <c r="A93">
        <v>1986</v>
      </c>
      <c r="B93" s="1">
        <v>241116000</v>
      </c>
      <c r="C93" s="1">
        <f>'cohousing population'!D112</f>
        <v>77923807</v>
      </c>
      <c r="D93" s="1">
        <f>'cohousing population'!D38</f>
        <v>5120691</v>
      </c>
      <c r="E93" s="37">
        <f t="shared" si="0"/>
        <v>572588.40000000014</v>
      </c>
      <c r="F93" s="35">
        <v>3129</v>
      </c>
      <c r="I93" s="8"/>
      <c r="J93" s="23">
        <f>'elm- g'!C37</f>
        <v>173.8648973</v>
      </c>
      <c r="K93" s="23">
        <f>'elm- j'!C37</f>
        <v>155.72246509999999</v>
      </c>
      <c r="L93" s="23">
        <f>'elm-i'!C37</f>
        <v>55.263531349999994</v>
      </c>
      <c r="M93" s="23">
        <f>'elm- uk'!C37</f>
        <v>154.55767494999998</v>
      </c>
      <c r="N93" s="47">
        <f>'elm- us'!C37</f>
        <v>225.34664930999998</v>
      </c>
      <c r="R93">
        <v>8369682</v>
      </c>
      <c r="U93" s="8"/>
      <c r="V93" s="32">
        <f>'energy communities population'!D79</f>
        <v>14626489</v>
      </c>
      <c r="X93" s="48"/>
      <c r="Y93" s="18"/>
      <c r="Z93" s="18"/>
      <c r="AA93" s="18"/>
      <c r="AB93" s="18"/>
      <c r="AC93" s="25"/>
      <c r="AE93" s="43"/>
      <c r="AG93" s="14"/>
    </row>
    <row r="94" spans="1:33" x14ac:dyDescent="0.25">
      <c r="A94">
        <v>1987</v>
      </c>
      <c r="B94" s="1">
        <v>243829000</v>
      </c>
      <c r="C94" s="1">
        <f>'cohousing population'!D113</f>
        <v>78062321</v>
      </c>
      <c r="D94" s="1">
        <f>'cohousing population'!D39</f>
        <v>5127135</v>
      </c>
      <c r="E94" s="37">
        <f t="shared" si="0"/>
        <v>579895.30000000016</v>
      </c>
      <c r="F94" s="35">
        <v>3129</v>
      </c>
      <c r="I94" s="8"/>
      <c r="J94" s="23">
        <f>'elm- g'!C38</f>
        <v>175.35144150000002</v>
      </c>
      <c r="K94" s="23">
        <f>'elm- j'!C38</f>
        <v>156.7945489</v>
      </c>
      <c r="L94" s="23">
        <f>'elm-i'!C38</f>
        <v>56.242225429999998</v>
      </c>
      <c r="M94" s="23">
        <f>'elm- uk'!C38</f>
        <v>154.16370688000001</v>
      </c>
      <c r="N94" s="47">
        <f>'elm- us'!C38</f>
        <v>231.1359607</v>
      </c>
      <c r="R94">
        <v>8397651</v>
      </c>
      <c r="U94" s="8"/>
      <c r="V94" s="32">
        <f>'energy communities population'!D80</f>
        <v>14724947</v>
      </c>
      <c r="X94" s="48"/>
      <c r="Y94" s="18"/>
      <c r="Z94" s="18"/>
      <c r="AA94" s="18"/>
      <c r="AB94" s="18"/>
      <c r="AC94" s="25"/>
      <c r="AE94" s="43"/>
      <c r="AG94" s="14"/>
    </row>
    <row r="95" spans="1:33" x14ac:dyDescent="0.25">
      <c r="A95">
        <v>1988</v>
      </c>
      <c r="B95" s="1">
        <v>246551000</v>
      </c>
      <c r="C95" s="1">
        <f>'cohousing population'!D114</f>
        <v>78385993</v>
      </c>
      <c r="D95" s="1">
        <f>'cohousing population'!D40</f>
        <v>5129650</v>
      </c>
      <c r="E95" s="37">
        <f t="shared" si="0"/>
        <v>587202.20000000019</v>
      </c>
      <c r="F95" s="35">
        <v>3129</v>
      </c>
      <c r="I95" s="8"/>
      <c r="J95" s="23">
        <f>'elm- g'!C39</f>
        <v>177.0143716</v>
      </c>
      <c r="K95" s="23">
        <f>'elm- j'!C39</f>
        <v>155.79831332000001</v>
      </c>
      <c r="L95" s="23">
        <f>'elm-i'!C39</f>
        <v>56.247038490000001</v>
      </c>
      <c r="M95" s="23">
        <f>'elm- uk'!C39</f>
        <v>161.21136042999998</v>
      </c>
      <c r="N95" s="47">
        <f>'elm- us'!C39</f>
        <v>226.31839452999998</v>
      </c>
      <c r="R95">
        <v>8436358</v>
      </c>
      <c r="U95" s="8"/>
      <c r="V95" s="32">
        <f>'energy communities population'!D81</f>
        <v>14825916</v>
      </c>
      <c r="X95" s="48"/>
      <c r="Y95" s="18"/>
      <c r="Z95" s="18"/>
      <c r="AA95" s="18"/>
      <c r="AB95" s="18"/>
      <c r="AC95" s="25"/>
      <c r="AE95" s="43"/>
      <c r="AG95" s="14"/>
    </row>
    <row r="96" spans="1:33" x14ac:dyDescent="0.25">
      <c r="A96">
        <v>1989</v>
      </c>
      <c r="B96" s="1">
        <v>249439000</v>
      </c>
      <c r="C96" s="1">
        <f>'cohousing population'!D115</f>
        <v>79007063</v>
      </c>
      <c r="D96" s="1">
        <f>'cohousing population'!D41</f>
        <v>5132717</v>
      </c>
      <c r="E96" s="37">
        <f>(($E$97-$E$87)/10)+E95</f>
        <v>594509.10000000021</v>
      </c>
      <c r="F96" s="35">
        <v>3129</v>
      </c>
      <c r="I96" s="8"/>
      <c r="J96" s="23">
        <f>'elm- g'!C40</f>
        <v>173.00011740000002</v>
      </c>
      <c r="K96" s="23">
        <f>'elm- j'!C40</f>
        <v>156.91575740000002</v>
      </c>
      <c r="L96" s="23">
        <f>'elm-i'!C40</f>
        <v>56.068004679999994</v>
      </c>
      <c r="M96" s="23">
        <f>'elm- uk'!C40</f>
        <v>158.47102731000001</v>
      </c>
      <c r="N96" s="47">
        <f>'elm- us'!C40</f>
        <v>238.73135957</v>
      </c>
      <c r="R96">
        <v>8492819</v>
      </c>
      <c r="U96" s="8"/>
      <c r="V96" s="32">
        <f>'energy communities population'!D82</f>
        <v>14921107</v>
      </c>
      <c r="X96" s="48"/>
      <c r="Y96" s="18"/>
      <c r="Z96" s="18"/>
      <c r="AA96" s="18"/>
      <c r="AB96" s="18"/>
      <c r="AC96" s="25"/>
      <c r="AE96" s="43"/>
      <c r="AG96" s="14"/>
    </row>
    <row r="97" spans="1:36" x14ac:dyDescent="0.25">
      <c r="A97">
        <v>1990</v>
      </c>
      <c r="B97" s="1">
        <v>248709873</v>
      </c>
      <c r="C97" s="1">
        <f>'cohousing population'!D116</f>
        <v>79707964</v>
      </c>
      <c r="D97" s="1">
        <f>'cohousing population'!D42</f>
        <v>5141025</v>
      </c>
      <c r="E97" s="39">
        <v>601816</v>
      </c>
      <c r="F97" s="35">
        <v>3129</v>
      </c>
      <c r="I97" s="8"/>
      <c r="J97" s="23">
        <f>'elm- g'!C41</f>
        <v>170.22193783</v>
      </c>
      <c r="K97" s="23">
        <f>'elm- j'!C41</f>
        <v>153.22844333</v>
      </c>
      <c r="L97" s="23">
        <f>'elm-i'!C41</f>
        <v>56.079243740000003</v>
      </c>
      <c r="M97" s="23">
        <f>'elm- uk'!C41</f>
        <v>160.78072066999999</v>
      </c>
      <c r="N97" s="47">
        <f>'elm- us'!C41</f>
        <v>235.36003782999998</v>
      </c>
      <c r="R97">
        <v>8558569</v>
      </c>
      <c r="U97" s="8"/>
      <c r="V97" s="32">
        <f>'energy communities population'!D83</f>
        <v>15030884</v>
      </c>
      <c r="X97" s="48"/>
      <c r="Y97" s="18"/>
      <c r="Z97" s="18"/>
      <c r="AA97" s="18"/>
      <c r="AB97" s="18"/>
      <c r="AC97" s="25"/>
      <c r="AE97" s="43"/>
      <c r="AG97" s="14"/>
    </row>
    <row r="98" spans="1:36" x14ac:dyDescent="0.25">
      <c r="A98">
        <v>1991</v>
      </c>
      <c r="B98" s="1">
        <v>252153092</v>
      </c>
      <c r="C98" s="1">
        <f>'cohousing population'!D117</f>
        <v>80303189</v>
      </c>
      <c r="D98" s="1">
        <f>'cohousing population'!D43</f>
        <v>5154346</v>
      </c>
      <c r="E98" s="40">
        <f>(($E$107-$E$97)/10)+E97</f>
        <v>605700.1</v>
      </c>
      <c r="F98" s="35">
        <v>3129</v>
      </c>
      <c r="I98" s="8"/>
      <c r="J98" s="23">
        <f>'elm- g'!C42</f>
        <v>167.165277</v>
      </c>
      <c r="K98" s="23">
        <f>'elm- j'!C42</f>
        <v>151.5467232</v>
      </c>
      <c r="L98" s="23">
        <f>'elm-i'!C42</f>
        <v>56.016141359999999</v>
      </c>
      <c r="M98" s="23">
        <f>'elm- uk'!C42</f>
        <v>162.00051250999999</v>
      </c>
      <c r="N98" s="47">
        <f>'elm- us'!C42</f>
        <v>234.13447500000001</v>
      </c>
      <c r="R98">
        <v>8616954</v>
      </c>
      <c r="U98" s="8"/>
      <c r="V98" s="32">
        <f>'energy communities population'!D84</f>
        <v>15155091</v>
      </c>
      <c r="X98" s="48"/>
      <c r="Y98" s="18"/>
      <c r="Z98" s="18"/>
      <c r="AA98" s="18"/>
      <c r="AB98" s="18"/>
      <c r="AC98" s="25"/>
      <c r="AE98" s="43"/>
      <c r="AG98" s="14"/>
    </row>
    <row r="99" spans="1:36" x14ac:dyDescent="0.25">
      <c r="A99">
        <v>1992</v>
      </c>
      <c r="B99" s="1">
        <v>255029699</v>
      </c>
      <c r="C99" s="1">
        <f>'cohousing population'!D118</f>
        <v>80934901</v>
      </c>
      <c r="D99" s="1">
        <f>'cohousing population'!D44</f>
        <v>5171371</v>
      </c>
      <c r="E99" s="40">
        <f t="shared" ref="E99:E106" si="1">(($E$107-$E$97)/10)+E98</f>
        <v>609584.19999999995</v>
      </c>
      <c r="F99" s="35">
        <v>3129</v>
      </c>
      <c r="I99" s="8"/>
      <c r="J99" s="23">
        <f>'elm- g'!C43</f>
        <v>169.41723690000001</v>
      </c>
      <c r="K99" s="23">
        <f>'elm- j'!C43</f>
        <v>155.34506999000001</v>
      </c>
      <c r="L99" s="23">
        <f>'elm-i'!C43</f>
        <v>55.674420910000002</v>
      </c>
      <c r="M99" s="23">
        <f>'elm- uk'!C43</f>
        <v>167.21095958000001</v>
      </c>
      <c r="N99" s="47">
        <f>'elm- us'!C43</f>
        <v>234.18764319999997</v>
      </c>
      <c r="R99">
        <v>8667577</v>
      </c>
      <c r="U99" s="8"/>
      <c r="V99" s="32">
        <f>'energy communities population'!D85</f>
        <v>15276786</v>
      </c>
      <c r="X99" s="48"/>
      <c r="Y99" s="18"/>
      <c r="Z99" s="18"/>
      <c r="AA99" s="18"/>
      <c r="AB99" s="18"/>
      <c r="AC99" s="25"/>
      <c r="AE99" s="43"/>
      <c r="AG99" s="14"/>
    </row>
    <row r="100" spans="1:36" x14ac:dyDescent="0.25">
      <c r="A100">
        <v>1993</v>
      </c>
      <c r="B100" s="1">
        <v>257782608</v>
      </c>
      <c r="C100" s="1">
        <f>'cohousing population'!D119</f>
        <v>81486770</v>
      </c>
      <c r="D100" s="1">
        <f>'cohousing population'!D45</f>
        <v>5188639</v>
      </c>
      <c r="E100" s="40">
        <f t="shared" si="1"/>
        <v>613468.29999999993</v>
      </c>
      <c r="F100" s="35">
        <v>3129</v>
      </c>
      <c r="I100" s="8"/>
      <c r="J100" s="23">
        <f>'elm- g'!C44</f>
        <v>158.28927074000001</v>
      </c>
      <c r="K100" s="23">
        <f>'elm- j'!C44</f>
        <v>152.21069427</v>
      </c>
      <c r="L100" s="23">
        <f>'elm-i'!C44</f>
        <v>57.144713520000003</v>
      </c>
      <c r="M100" s="23">
        <f>'elm- uk'!C44</f>
        <v>162.26704308000001</v>
      </c>
      <c r="N100" s="47">
        <f>'elm- us'!C44</f>
        <v>232.84619007000001</v>
      </c>
      <c r="R100">
        <v>8718036</v>
      </c>
      <c r="U100" s="8"/>
      <c r="V100" s="32">
        <f>'energy communities population'!D86</f>
        <v>15389718</v>
      </c>
      <c r="X100" s="48"/>
      <c r="Y100" s="18"/>
      <c r="Z100" s="18"/>
      <c r="AA100" s="18"/>
      <c r="AB100" s="18"/>
      <c r="AC100" s="25"/>
      <c r="AE100" s="43"/>
      <c r="AG100" s="14"/>
    </row>
    <row r="101" spans="1:36" x14ac:dyDescent="0.25">
      <c r="A101">
        <v>1994</v>
      </c>
      <c r="B101" s="1">
        <v>260327021</v>
      </c>
      <c r="C101" s="1">
        <f>'cohousing population'!D120</f>
        <v>81773612</v>
      </c>
      <c r="D101" s="1">
        <f>'cohousing population'!D46</f>
        <v>5206190</v>
      </c>
      <c r="E101" s="40">
        <f t="shared" si="1"/>
        <v>617352.39999999991</v>
      </c>
      <c r="F101" s="35">
        <v>3129</v>
      </c>
      <c r="I101" s="8"/>
      <c r="J101" s="23">
        <f>'elm- g'!C45</f>
        <v>164.19633325000001</v>
      </c>
      <c r="K101" s="23">
        <f>'elm- j'!C45</f>
        <v>153.54141362999999</v>
      </c>
      <c r="L101" s="23">
        <f>'elm-i'!C45</f>
        <v>57.214877390000005</v>
      </c>
      <c r="M101" s="23">
        <f>'elm- uk'!C45</f>
        <v>155.67289848000001</v>
      </c>
      <c r="N101" s="47">
        <f>'elm- us'!C45</f>
        <v>249.73464588999997</v>
      </c>
      <c r="R101">
        <v>8780193</v>
      </c>
      <c r="U101" s="8"/>
      <c r="V101" s="32">
        <f>'energy communities population'!D87</f>
        <v>15485453</v>
      </c>
      <c r="X101" s="48"/>
      <c r="Y101" s="18"/>
      <c r="Z101" s="18"/>
      <c r="AA101" s="18"/>
      <c r="AB101" s="18"/>
      <c r="AC101" s="25"/>
      <c r="AE101" s="43"/>
      <c r="AG101" s="14"/>
    </row>
    <row r="102" spans="1:36" x14ac:dyDescent="0.25">
      <c r="A102">
        <v>1995</v>
      </c>
      <c r="B102" s="1">
        <v>262803276</v>
      </c>
      <c r="C102" s="1">
        <f>'cohousing population'!D121</f>
        <v>82019890</v>
      </c>
      <c r="D102" s="1">
        <f>'cohousing population'!D47</f>
        <v>5233363</v>
      </c>
      <c r="E102" s="40">
        <f t="shared" si="1"/>
        <v>621236.49999999988</v>
      </c>
      <c r="F102" s="35">
        <v>3129</v>
      </c>
      <c r="I102" s="8"/>
      <c r="J102" s="23">
        <f>'elm- g'!C46</f>
        <v>163.05044199999998</v>
      </c>
      <c r="K102" s="23">
        <f>'elm- j'!C46</f>
        <v>159.45189243999999</v>
      </c>
      <c r="L102" s="23">
        <f>'elm-i'!C46</f>
        <v>58.570655019999997</v>
      </c>
      <c r="M102" s="23">
        <f>'elm- uk'!C46</f>
        <v>151.17398079999998</v>
      </c>
      <c r="N102" s="47">
        <f>'elm- us'!C46</f>
        <v>243.13837960000001</v>
      </c>
      <c r="R102">
        <v>8826299</v>
      </c>
      <c r="U102" s="8"/>
      <c r="V102" s="32">
        <f>'energy communities population'!D88</f>
        <v>15565033</v>
      </c>
      <c r="X102" s="48"/>
      <c r="Y102" s="18"/>
      <c r="Z102" s="18"/>
      <c r="AA102" s="18"/>
      <c r="AB102" s="18"/>
      <c r="AC102" s="25"/>
      <c r="AE102" s="43"/>
      <c r="AF102">
        <f>'long distance travel'!D13</f>
        <v>954777000000</v>
      </c>
      <c r="AG102" s="14"/>
    </row>
    <row r="103" spans="1:36" x14ac:dyDescent="0.25">
      <c r="A103">
        <v>1996</v>
      </c>
      <c r="B103" s="1">
        <v>265228572</v>
      </c>
      <c r="C103" s="1">
        <f>'cohousing population'!D122</f>
        <v>82263195</v>
      </c>
      <c r="D103" s="1">
        <f>'cohousing population'!D48</f>
        <v>5263072</v>
      </c>
      <c r="E103" s="40">
        <f t="shared" si="1"/>
        <v>625120.59999999986</v>
      </c>
      <c r="F103" s="35">
        <v>3129</v>
      </c>
      <c r="I103" s="8"/>
      <c r="J103" s="23">
        <f>'elm- g'!C47</f>
        <v>174.39706639999997</v>
      </c>
      <c r="K103" s="23">
        <f>'elm- j'!C47</f>
        <v>158.8844</v>
      </c>
      <c r="L103" s="23">
        <f>'elm-i'!C47</f>
        <v>58.114863229999997</v>
      </c>
      <c r="M103" s="23">
        <f>'elm- uk'!C47</f>
        <v>154.92571819</v>
      </c>
      <c r="N103" s="47">
        <f>'elm- us'!C47</f>
        <v>244.1734232</v>
      </c>
      <c r="R103">
        <v>8840329</v>
      </c>
      <c r="U103" s="8"/>
      <c r="V103" s="32">
        <f>'energy communities population'!D89</f>
        <v>15640031</v>
      </c>
      <c r="X103" s="48"/>
      <c r="Y103" s="18"/>
      <c r="Z103" s="18"/>
      <c r="AA103" s="18"/>
      <c r="AB103" s="18"/>
      <c r="AC103" s="25"/>
      <c r="AE103" s="43"/>
      <c r="AF103">
        <f>'long distance travel'!D14</f>
        <v>956130000000</v>
      </c>
      <c r="AG103" s="14"/>
    </row>
    <row r="104" spans="1:36" x14ac:dyDescent="0.25">
      <c r="A104">
        <v>1997</v>
      </c>
      <c r="B104" s="1">
        <v>267783607</v>
      </c>
      <c r="C104" s="1">
        <f>'cohousing population'!D123</f>
        <v>82389631</v>
      </c>
      <c r="D104" s="1">
        <f>'cohousing population'!D49</f>
        <v>5285041</v>
      </c>
      <c r="E104" s="40">
        <f t="shared" si="1"/>
        <v>629004.69999999984</v>
      </c>
      <c r="F104" s="35">
        <v>3129</v>
      </c>
      <c r="I104" s="8"/>
      <c r="J104" s="23">
        <f>'elm- g'!C48</f>
        <v>168.72265399999998</v>
      </c>
      <c r="K104" s="23">
        <f>'elm- j'!C48</f>
        <v>153.74634980000002</v>
      </c>
      <c r="L104" s="23">
        <f>'elm-i'!C48</f>
        <v>54.249572810000004</v>
      </c>
      <c r="M104" s="23">
        <f>'elm- uk'!C48</f>
        <v>158.58515123999999</v>
      </c>
      <c r="N104" s="47">
        <f>'elm- us'!C48</f>
        <v>241.3932179</v>
      </c>
      <c r="R104">
        <v>8845524</v>
      </c>
      <c r="U104" s="8"/>
      <c r="V104" s="32">
        <f>'energy communities population'!D90</f>
        <v>15723620</v>
      </c>
      <c r="X104" s="48">
        <f>'cohousing population'!D123</f>
        <v>82389631</v>
      </c>
      <c r="Y104" s="18"/>
      <c r="Z104" s="18"/>
      <c r="AA104" s="18"/>
      <c r="AB104" s="18"/>
      <c r="AC104" s="25"/>
      <c r="AE104" s="43"/>
      <c r="AF104">
        <f>'long distance travel'!D15</f>
        <v>957503000000</v>
      </c>
      <c r="AG104" s="14">
        <f>'passive building (germany)'!H2</f>
        <v>1046790.0864197531</v>
      </c>
      <c r="AH104" s="1">
        <f>'passive building (austria)'!H2</f>
        <v>129521.01234567903</v>
      </c>
      <c r="AI104" s="1">
        <f>'passive building (belgium)'!H2</f>
        <v>86533.333333333328</v>
      </c>
      <c r="AJ104" s="1">
        <f>'passive building (ireland)'!H2</f>
        <v>59650.740740740737</v>
      </c>
    </row>
    <row r="105" spans="1:36" x14ac:dyDescent="0.25">
      <c r="A105">
        <v>1998</v>
      </c>
      <c r="B105" s="1">
        <v>270248003</v>
      </c>
      <c r="C105" s="1">
        <f>'cohousing population'!D124</f>
        <v>82011933</v>
      </c>
      <c r="D105" s="1">
        <f>'cohousing population'!D50</f>
        <v>5304264</v>
      </c>
      <c r="E105" s="40">
        <f t="shared" si="1"/>
        <v>632888.79999999981</v>
      </c>
      <c r="F105" s="35">
        <v>3129</v>
      </c>
      <c r="I105" s="8"/>
      <c r="J105" s="23">
        <f>'elm- g'!C49</f>
        <v>173.87594369999999</v>
      </c>
      <c r="K105" s="23">
        <f>'elm- j'!C49</f>
        <v>151.36167909</v>
      </c>
      <c r="L105" s="23">
        <f>'elm-i'!C49</f>
        <v>62.284036729999997</v>
      </c>
      <c r="M105" s="23">
        <f>'elm- uk'!C49</f>
        <v>165.53501413999999</v>
      </c>
      <c r="N105" s="47">
        <f>'elm- us'!C49</f>
        <v>240.69081569999997</v>
      </c>
      <c r="R105">
        <v>8850606</v>
      </c>
      <c r="U105" s="8"/>
      <c r="V105" s="32">
        <f>'energy communities population'!D91</f>
        <v>15827109</v>
      </c>
      <c r="X105" s="48">
        <f>'cohousing population'!D124</f>
        <v>82011933</v>
      </c>
      <c r="Y105" s="18"/>
      <c r="Z105" s="18"/>
      <c r="AA105" s="18"/>
      <c r="AB105" s="18"/>
      <c r="AC105" s="25"/>
      <c r="AE105" s="43"/>
      <c r="AF105">
        <f>'long distance travel'!D16</f>
        <v>968266000000</v>
      </c>
      <c r="AG105" s="14">
        <f>'passive building (germany)'!H3</f>
        <v>1042319.8148148148</v>
      </c>
      <c r="AH105" s="1">
        <f>'passive building (austria)'!H3</f>
        <v>127771.25925925927</v>
      </c>
      <c r="AI105" s="1">
        <f>'passive building (belgium)'!H3</f>
        <v>96413</v>
      </c>
      <c r="AJ105" s="1">
        <f>'passive building (ireland)'!H3</f>
        <v>58937.555555555555</v>
      </c>
    </row>
    <row r="106" spans="1:36" x14ac:dyDescent="0.25">
      <c r="A106">
        <v>1999</v>
      </c>
      <c r="B106" s="1">
        <v>272690813</v>
      </c>
      <c r="C106" s="1">
        <f>'cohousing population'!D125</f>
        <v>81678279</v>
      </c>
      <c r="D106" s="1">
        <f>'cohousing population'!D51</f>
        <v>5321814</v>
      </c>
      <c r="E106" s="40">
        <f t="shared" si="1"/>
        <v>636772.89999999979</v>
      </c>
      <c r="F106" s="35">
        <v>3129</v>
      </c>
      <c r="I106" s="8"/>
      <c r="J106" s="23">
        <f>'elm- g'!C50</f>
        <v>175.58740080000001</v>
      </c>
      <c r="K106" s="23">
        <f>'elm- j'!C50</f>
        <v>156.51033887</v>
      </c>
      <c r="L106" s="23">
        <f>'elm-i'!C50</f>
        <v>67.382049739999999</v>
      </c>
      <c r="M106" s="23">
        <f>'elm- uk'!C50</f>
        <v>169.19922414999996</v>
      </c>
      <c r="N106" s="47">
        <f>'elm- us'!C50</f>
        <v>259.32175280000001</v>
      </c>
      <c r="R106">
        <v>8857691</v>
      </c>
      <c r="U106" s="8"/>
      <c r="V106" s="32">
        <f>'energy communities population'!D92</f>
        <v>15940182</v>
      </c>
      <c r="X106" s="48">
        <f>'cohousing population'!D125</f>
        <v>81678279</v>
      </c>
      <c r="Y106" s="1">
        <f>'ESG firms'!O106</f>
        <v>1946.1538461538462</v>
      </c>
      <c r="Z106" s="1">
        <f>'ESG firms'!P106</f>
        <v>1848.0519480519481</v>
      </c>
      <c r="AA106" s="1">
        <f>'ESG firms'!Q106</f>
        <v>2653.0120481927711</v>
      </c>
      <c r="AB106" s="1">
        <f>'ESG firms'!R106</f>
        <v>263.46153846153845</v>
      </c>
      <c r="AC106" s="25"/>
      <c r="AE106" s="43"/>
      <c r="AF106">
        <f>'long distance travel'!D17</f>
        <v>990196000000</v>
      </c>
      <c r="AG106" s="14">
        <f>'passive building (germany)'!H4</f>
        <v>1050201.1111111112</v>
      </c>
      <c r="AH106" s="1">
        <f>'passive building (austria)'!H4</f>
        <v>129626.44444444445</v>
      </c>
      <c r="AI106" s="1">
        <f>'passive building (belgium)'!H4</f>
        <v>106389</v>
      </c>
      <c r="AJ106" s="1">
        <f>'passive building (ireland)'!H4</f>
        <v>59682.666666666664</v>
      </c>
    </row>
    <row r="107" spans="1:36" x14ac:dyDescent="0.25">
      <c r="A107">
        <v>2000</v>
      </c>
      <c r="B107" s="1">
        <v>281421906</v>
      </c>
      <c r="C107" s="1">
        <f>'cohousing population'!D126</f>
        <v>81797255</v>
      </c>
      <c r="D107" s="1">
        <f>'cohousing population'!D52</f>
        <v>5339660</v>
      </c>
      <c r="E107" s="36">
        <v>640657</v>
      </c>
      <c r="F107" s="35">
        <v>3129</v>
      </c>
      <c r="G107" s="1">
        <f>'microfinance population'!D246</f>
        <v>1057922728</v>
      </c>
      <c r="H107" s="1">
        <f>'microfinance population'!D112</f>
        <v>134544303</v>
      </c>
      <c r="I107" s="8">
        <f>'microfinance population'!D380</f>
        <v>126382491</v>
      </c>
      <c r="J107" s="23">
        <f>'elm- g'!C51</f>
        <v>176.14473839999999</v>
      </c>
      <c r="K107" s="23">
        <f>'elm- j'!C51</f>
        <v>156.70274319999999</v>
      </c>
      <c r="L107" s="23">
        <f>'elm-i'!C51</f>
        <v>67.150781749999993</v>
      </c>
      <c r="M107" s="23">
        <f>'elm- uk'!C51</f>
        <v>165.10220068000001</v>
      </c>
      <c r="N107" s="47">
        <f>'elm- us'!C51</f>
        <v>256.0351326</v>
      </c>
      <c r="O107" s="1">
        <f>'microfinance population'!D112</f>
        <v>134544303</v>
      </c>
      <c r="P107" s="1">
        <f>'cohousing population'!D126</f>
        <v>81797255</v>
      </c>
      <c r="Q107" s="1">
        <f>'microfinance population'!D246</f>
        <v>1057922728</v>
      </c>
      <c r="R107">
        <v>8872100</v>
      </c>
      <c r="S107" s="1">
        <f>'climate protest'!D93</f>
        <v>59057336</v>
      </c>
      <c r="T107" s="1">
        <f>'climate protest'!D208</f>
        <v>281484127</v>
      </c>
      <c r="U107" s="8">
        <f>'climate protest'!D286</f>
        <v>6171703018</v>
      </c>
      <c r="V107" s="32">
        <f>'energy communities population'!D93</f>
        <v>16058758</v>
      </c>
      <c r="X107" s="48">
        <f>'cohousing population'!D126</f>
        <v>81797255</v>
      </c>
      <c r="Y107" s="1">
        <f>'ESG firms'!O107</f>
        <v>1946.1538461538462</v>
      </c>
      <c r="Z107" s="1">
        <f>'ESG firms'!P107</f>
        <v>1848.0519480519481</v>
      </c>
      <c r="AA107" s="1">
        <f>'ESG firms'!Q107</f>
        <v>2653.0120481927711</v>
      </c>
      <c r="AB107" s="1">
        <f>'ESG firms'!R107</f>
        <v>263.46153846153845</v>
      </c>
      <c r="AC107" s="25"/>
      <c r="AE107" s="43"/>
      <c r="AF107">
        <f>'long distance travel'!D18</f>
        <v>975704000000</v>
      </c>
      <c r="AG107" s="14">
        <f>'passive building (germany)'!H5</f>
        <v>1047849.3333333334</v>
      </c>
      <c r="AH107" s="1">
        <f>'passive building (austria)'!H5</f>
        <v>131165.33333333334</v>
      </c>
      <c r="AI107" s="1">
        <f>'passive building (belgium)'!H5</f>
        <v>56798</v>
      </c>
      <c r="AJ107" s="1">
        <f>'passive building (ireland)'!H5</f>
        <v>60332</v>
      </c>
    </row>
    <row r="108" spans="1:36" x14ac:dyDescent="0.25">
      <c r="A108">
        <v>2001</v>
      </c>
      <c r="B108" s="1">
        <v>284968955</v>
      </c>
      <c r="C108" s="1">
        <f>'cohousing population'!D127</f>
        <v>81933883</v>
      </c>
      <c r="D108" s="1">
        <f>'cohousing population'!D53</f>
        <v>5358825</v>
      </c>
      <c r="E108" s="40">
        <f>(($E$117-$E$107)/10)+E107</f>
        <v>647919.4</v>
      </c>
      <c r="F108" s="35">
        <v>3129</v>
      </c>
      <c r="G108" s="1">
        <f>'microfinance population'!D247</f>
        <v>1077898572</v>
      </c>
      <c r="H108" s="1">
        <f>'microfinance population'!D113</f>
        <v>136805812</v>
      </c>
      <c r="I108" s="8">
        <f>'microfinance population'!D381</f>
        <v>129862594</v>
      </c>
      <c r="J108" s="23">
        <f>'elm- g'!C52</f>
        <v>176.97972164999999</v>
      </c>
      <c r="K108" s="23">
        <f>'elm- j'!C52</f>
        <v>155.08597115999999</v>
      </c>
      <c r="L108" s="23">
        <f>'elm-i'!C52</f>
        <v>71.456875189999991</v>
      </c>
      <c r="M108" s="23">
        <f>'elm- uk'!C52</f>
        <v>170.22394980000001</v>
      </c>
      <c r="N108" s="47">
        <f>'elm- us'!C52</f>
        <v>246.78018116999999</v>
      </c>
      <c r="O108" s="1">
        <f>'microfinance population'!D113</f>
        <v>136805812</v>
      </c>
      <c r="P108" s="1">
        <f>'cohousing population'!D127</f>
        <v>81933883</v>
      </c>
      <c r="Q108" s="1">
        <f>'microfinance population'!D247</f>
        <v>1077898572</v>
      </c>
      <c r="R108">
        <v>8896018</v>
      </c>
      <c r="S108" s="1">
        <f>'climate protest'!D94</f>
        <v>59288095</v>
      </c>
      <c r="T108" s="1">
        <f>'climate protest'!D209</f>
        <v>284279629</v>
      </c>
      <c r="U108" s="8">
        <f>'climate protest'!D287</f>
        <v>6254936479</v>
      </c>
      <c r="V108" s="32">
        <f>'energy communities population'!D94</f>
        <v>16182705</v>
      </c>
      <c r="X108" s="48">
        <f>'cohousing population'!D127</f>
        <v>81933883</v>
      </c>
      <c r="Y108" s="1">
        <f>'ESG firms'!O108</f>
        <v>1946.1538461538462</v>
      </c>
      <c r="Z108" s="1">
        <f>'ESG firms'!P108</f>
        <v>1848.0519480519481</v>
      </c>
      <c r="AA108" s="1">
        <f>'ESG firms'!Q108</f>
        <v>2653.0120481927711</v>
      </c>
      <c r="AB108" s="1">
        <f>'ESG firms'!R108</f>
        <v>263.46153846153845</v>
      </c>
      <c r="AC108" s="25"/>
      <c r="AE108" s="43"/>
      <c r="AF108">
        <f>'long distance travel'!D19</f>
        <v>997054000000</v>
      </c>
      <c r="AG108" s="14">
        <f>'passive building (germany)'!H6</f>
        <v>1028909</v>
      </c>
      <c r="AH108" s="1">
        <f>'passive building (austria)'!H6</f>
        <v>122522</v>
      </c>
      <c r="AI108" s="1">
        <f>'passive building (belgium)'!H6</f>
        <v>126052</v>
      </c>
      <c r="AJ108" s="1">
        <f>'passive building (ireland)'!H6</f>
        <v>56798</v>
      </c>
    </row>
    <row r="109" spans="1:36" x14ac:dyDescent="0.25">
      <c r="A109">
        <v>2002</v>
      </c>
      <c r="B109" s="1">
        <v>287625193</v>
      </c>
      <c r="C109" s="1">
        <f>'cohousing population'!D128</f>
        <v>82068328</v>
      </c>
      <c r="D109" s="1">
        <f>'cohousing population'!D54</f>
        <v>5375966</v>
      </c>
      <c r="E109" s="40">
        <f t="shared" ref="E109:E116" si="2">(($E$117-$E$107)/10)+E108</f>
        <v>655181.80000000005</v>
      </c>
      <c r="F109" s="35">
        <v>3129</v>
      </c>
      <c r="G109" s="1">
        <f>'microfinance population'!D248</f>
        <v>1097600381</v>
      </c>
      <c r="H109" s="1">
        <f>'microfinance population'!D114</f>
        <v>138933659</v>
      </c>
      <c r="I109" s="8">
        <f>'microfinance population'!D382</f>
        <v>133471994</v>
      </c>
      <c r="J109" s="23">
        <f>'elm- g'!C53</f>
        <v>175.92223233999999</v>
      </c>
      <c r="K109" s="23">
        <f>'elm- j'!C53</f>
        <v>150.93143891</v>
      </c>
      <c r="L109" s="23">
        <f>'elm-i'!C53</f>
        <v>62.103716009999999</v>
      </c>
      <c r="M109" s="23">
        <f>'elm- uk'!C53</f>
        <v>165.76831390000001</v>
      </c>
      <c r="N109" s="47">
        <f>'elm- us'!C53</f>
        <v>256.88899615000003</v>
      </c>
      <c r="O109" s="1">
        <f>'microfinance population'!D114</f>
        <v>138933659</v>
      </c>
      <c r="P109" s="1">
        <f>'cohousing population'!D128</f>
        <v>82068328</v>
      </c>
      <c r="Q109" s="1">
        <f>'microfinance population'!D248</f>
        <v>1097600381</v>
      </c>
      <c r="R109">
        <v>8925044</v>
      </c>
      <c r="S109" s="1">
        <f>'climate protest'!D95</f>
        <v>59540763</v>
      </c>
      <c r="T109" s="1">
        <f>'climate protest'!D210</f>
        <v>287084336</v>
      </c>
      <c r="U109" s="8">
        <f>'climate protest'!D288</f>
        <v>6337730319</v>
      </c>
      <c r="V109" s="32">
        <f>'energy communities population'!D95</f>
        <v>16288060</v>
      </c>
      <c r="X109" s="48">
        <f>'cohousing population'!D128</f>
        <v>82068328</v>
      </c>
      <c r="Y109" s="1">
        <f>'ESG firms'!O109</f>
        <v>1946.1538461538462</v>
      </c>
      <c r="Z109" s="1">
        <f>'ESG firms'!P109</f>
        <v>1848.0519480519481</v>
      </c>
      <c r="AA109" s="1">
        <f>'ESG firms'!Q109</f>
        <v>2653.0120481927711</v>
      </c>
      <c r="AB109" s="1">
        <f>'ESG firms'!R109</f>
        <v>263.46153846153845</v>
      </c>
      <c r="AC109" s="25"/>
      <c r="AE109" s="43"/>
      <c r="AF109">
        <f>'long distance travel'!D20</f>
        <v>1001866000000</v>
      </c>
      <c r="AG109" s="14">
        <f>'passive building (germany)'!H7</f>
        <v>1073845</v>
      </c>
      <c r="AH109" s="1">
        <f>'passive building (austria)'!H7</f>
        <v>135192</v>
      </c>
      <c r="AI109" s="1">
        <f>'passive building (belgium)'!H7</f>
        <v>136317</v>
      </c>
      <c r="AJ109" s="1">
        <f>'passive building (ireland)'!H7</f>
        <v>61918</v>
      </c>
    </row>
    <row r="110" spans="1:36" x14ac:dyDescent="0.25">
      <c r="A110">
        <v>2003</v>
      </c>
      <c r="B110" s="1">
        <v>290107933</v>
      </c>
      <c r="C110" s="1">
        <f>'cohousing population'!D129</f>
        <v>82111619</v>
      </c>
      <c r="D110" s="1">
        <f>'cohousing population'!D55</f>
        <v>5390622</v>
      </c>
      <c r="E110" s="40">
        <f t="shared" si="2"/>
        <v>662444.20000000007</v>
      </c>
      <c r="F110" s="35">
        <v>3129</v>
      </c>
      <c r="G110" s="1">
        <f>'microfinance population'!D249</f>
        <v>1116802997</v>
      </c>
      <c r="H110" s="1">
        <f>'microfinance population'!D115</f>
        <v>140970356</v>
      </c>
      <c r="I110" s="8">
        <f>'microfinance population'!D383</f>
        <v>137202647</v>
      </c>
      <c r="J110" s="23">
        <f>'elm- g'!C54</f>
        <v>177.12046735000001</v>
      </c>
      <c r="K110" s="23">
        <f>'elm- j'!C54</f>
        <v>151.52830711999999</v>
      </c>
      <c r="L110" s="23">
        <f>'elm-i'!C54</f>
        <v>68.911360250000001</v>
      </c>
      <c r="M110" s="23">
        <f>'elm- uk'!C54</f>
        <v>176.03010060000003</v>
      </c>
      <c r="N110" s="47">
        <f>'elm- us'!C54</f>
        <v>251.3718623</v>
      </c>
      <c r="O110" s="1">
        <f>'microfinance population'!D115</f>
        <v>140970356</v>
      </c>
      <c r="P110" s="1">
        <f>'cohousing population'!D129</f>
        <v>82111619</v>
      </c>
      <c r="Q110" s="1">
        <f>'microfinance population'!D249</f>
        <v>1116802997</v>
      </c>
      <c r="R110">
        <v>8958432</v>
      </c>
      <c r="S110" s="1">
        <f>'climate protest'!D96</f>
        <v>59820385</v>
      </c>
      <c r="T110" s="1">
        <f>'climate protest'!D211</f>
        <v>289908091</v>
      </c>
      <c r="U110" s="8">
        <f>'climate protest'!D289</f>
        <v>6420361649</v>
      </c>
      <c r="V110" s="32">
        <f>'energy communities population'!D96</f>
        <v>16366914</v>
      </c>
      <c r="X110" s="48">
        <f>'cohousing population'!D129</f>
        <v>82111619</v>
      </c>
      <c r="Y110" s="1">
        <f>'ESG firms'!O110</f>
        <v>1946.1538461538462</v>
      </c>
      <c r="Z110" s="1">
        <f>'ESG firms'!P110</f>
        <v>1848.0519480519481</v>
      </c>
      <c r="AA110" s="1">
        <f>'ESG firms'!Q110</f>
        <v>2653.0120481927711</v>
      </c>
      <c r="AB110" s="1">
        <f>'ESG firms'!R110</f>
        <v>263.46153846153845</v>
      </c>
      <c r="AC110" s="25"/>
      <c r="AE110" s="43"/>
      <c r="AF110">
        <f>'long distance travel'!D21</f>
        <v>996493000000</v>
      </c>
      <c r="AG110" s="14">
        <f>'passive building (germany)'!H8</f>
        <v>1040794</v>
      </c>
      <c r="AH110" s="1">
        <f>'passive building (austria)'!H8</f>
        <v>135782</v>
      </c>
      <c r="AI110" s="1">
        <f>'passive building (belgium)'!H8</f>
        <v>137330</v>
      </c>
      <c r="AJ110" s="1">
        <f>'passive building (ireland)'!H8</f>
        <v>62280</v>
      </c>
    </row>
    <row r="111" spans="1:36" x14ac:dyDescent="0.25">
      <c r="A111">
        <v>2004</v>
      </c>
      <c r="B111" s="1">
        <v>292805298</v>
      </c>
      <c r="C111" s="1">
        <f>'cohousing population'!D130</f>
        <v>82092706</v>
      </c>
      <c r="D111" s="1">
        <f>'cohousing population'!D56</f>
        <v>5404594</v>
      </c>
      <c r="E111" s="40">
        <f t="shared" si="2"/>
        <v>669706.60000000009</v>
      </c>
      <c r="F111" s="35">
        <v>3129</v>
      </c>
      <c r="G111" s="1">
        <f>'microfinance population'!D250</f>
        <v>1135991510</v>
      </c>
      <c r="H111" s="1">
        <f>'microfinance population'!D116</f>
        <v>142902855</v>
      </c>
      <c r="I111" s="8">
        <f>'microfinance population'!D384</f>
        <v>141057046</v>
      </c>
      <c r="J111" s="23">
        <f>'elm- g'!C55</f>
        <v>179.25044514000001</v>
      </c>
      <c r="K111" s="23">
        <f>'elm- j'!C55</f>
        <v>148.69635864</v>
      </c>
      <c r="L111" s="23">
        <f>'elm-i'!C55</f>
        <v>57.326626789999999</v>
      </c>
      <c r="M111" s="23">
        <f>'elm- uk'!C55</f>
        <v>175.89597320000001</v>
      </c>
      <c r="N111" s="47">
        <f>'elm- us'!C55</f>
        <v>259.47153686000001</v>
      </c>
      <c r="O111" s="1">
        <f>'microfinance population'!D116</f>
        <v>142902855</v>
      </c>
      <c r="P111" s="1">
        <f>'cohousing population'!D130</f>
        <v>82092706</v>
      </c>
      <c r="Q111" s="1">
        <f>'microfinance population'!D250</f>
        <v>1135991510</v>
      </c>
      <c r="R111">
        <v>8993806</v>
      </c>
      <c r="S111" s="1">
        <f>'climate protest'!D97</f>
        <v>60169964</v>
      </c>
      <c r="T111" s="1">
        <f>'climate protest'!D212</f>
        <v>292786247</v>
      </c>
      <c r="U111" s="8">
        <f>'climate protest'!D290</f>
        <v>6503377778</v>
      </c>
      <c r="V111" s="32">
        <f>'energy communities population'!D97</f>
        <v>16425561</v>
      </c>
      <c r="X111" s="48">
        <f>'cohousing population'!D130</f>
        <v>82092706</v>
      </c>
      <c r="Y111" s="1">
        <f>'ESG firms'!O111</f>
        <v>1946.1538461538462</v>
      </c>
      <c r="Z111" s="1">
        <f>'ESG firms'!P111</f>
        <v>1848.0519480519481</v>
      </c>
      <c r="AA111" s="1">
        <f>'ESG firms'!Q111</f>
        <v>2653.0120481927711</v>
      </c>
      <c r="AB111" s="1">
        <f>'ESG firms'!R111</f>
        <v>263.46153846153845</v>
      </c>
      <c r="AC111" s="25"/>
      <c r="AE111" s="43"/>
      <c r="AF111">
        <f>'long distance travel'!D22</f>
        <v>1024372000000</v>
      </c>
      <c r="AG111" s="14">
        <f>'passive building (germany)'!H9</f>
        <v>998488</v>
      </c>
      <c r="AH111" s="1">
        <f>'passive building (austria)'!H9</f>
        <v>91690</v>
      </c>
      <c r="AI111" s="1">
        <f>'passive building (belgium)'!H9</f>
        <v>136922</v>
      </c>
      <c r="AJ111" s="1">
        <f>'passive building (ireland)'!H9</f>
        <v>53403</v>
      </c>
    </row>
    <row r="112" spans="1:36" x14ac:dyDescent="0.25">
      <c r="A112">
        <v>2005</v>
      </c>
      <c r="B112" s="1">
        <v>295516599</v>
      </c>
      <c r="C112" s="1">
        <f>'cohousing population'!D131</f>
        <v>82046731</v>
      </c>
      <c r="D112" s="1">
        <f>'cohousing population'!D57</f>
        <v>5419551</v>
      </c>
      <c r="E112" s="40">
        <f t="shared" si="2"/>
        <v>676969.00000000012</v>
      </c>
      <c r="F112" s="35">
        <v>3129</v>
      </c>
      <c r="G112" s="1">
        <f>'microfinance population'!D251</f>
        <v>1154676319</v>
      </c>
      <c r="H112" s="1">
        <f>'microfinance population'!D117</f>
        <v>144715789</v>
      </c>
      <c r="I112" s="8">
        <f>'microfinance population'!D385</f>
        <v>145017255</v>
      </c>
      <c r="J112" s="23">
        <f>'elm- g'!C56</f>
        <v>173.62393830000002</v>
      </c>
      <c r="K112" s="23">
        <f>'elm- j'!C56</f>
        <v>153.54916894000002</v>
      </c>
      <c r="L112" s="23">
        <f>'elm-i'!C56</f>
        <v>60.7969668</v>
      </c>
      <c r="M112" s="23">
        <f>'elm- uk'!C56</f>
        <v>179.81263016000003</v>
      </c>
      <c r="N112" s="47">
        <f>'elm- us'!C56</f>
        <v>249.38685756000001</v>
      </c>
      <c r="O112" s="1">
        <f>'microfinance population'!D117</f>
        <v>144715789</v>
      </c>
      <c r="P112" s="1">
        <f>'cohousing population'!D131</f>
        <v>82046731</v>
      </c>
      <c r="Q112" s="1">
        <f>'microfinance population'!D251</f>
        <v>1154676319</v>
      </c>
      <c r="R112">
        <v>9029770</v>
      </c>
      <c r="S112" s="1">
        <f>'climate protest'!D98</f>
        <v>60596108</v>
      </c>
      <c r="T112" s="1">
        <f>'climate protest'!D213</f>
        <v>295716665</v>
      </c>
      <c r="U112" s="8">
        <f>'climate protest'!D291</f>
        <v>6586970145</v>
      </c>
      <c r="V112" s="32">
        <f>'energy communities population'!D98</f>
        <v>16465707</v>
      </c>
      <c r="W112" s="1">
        <f>'active mobility'!DL12</f>
        <v>161337.2550799507</v>
      </c>
      <c r="X112" s="48">
        <f>'cohousing population'!D131</f>
        <v>82046731</v>
      </c>
      <c r="Y112" s="1">
        <f>'ESG firms'!O112</f>
        <v>1946.1538461538462</v>
      </c>
      <c r="Z112" s="1">
        <f>'ESG firms'!P112</f>
        <v>1848.0519480519481</v>
      </c>
      <c r="AA112" s="1">
        <f>'ESG firms'!Q112</f>
        <v>2653.0120481927711</v>
      </c>
      <c r="AB112" s="1">
        <f>'ESG firms'!R112</f>
        <v>263.46153846153845</v>
      </c>
      <c r="AC112" s="25"/>
      <c r="AD112" s="23">
        <f>'e-bikes'!G8</f>
        <v>1.3559053497942388</v>
      </c>
      <c r="AE112" s="43"/>
      <c r="AF112">
        <f>'long distance travel'!D23</f>
        <v>1016213000000</v>
      </c>
      <c r="AG112" s="14">
        <f>'passive building (germany)'!H10</f>
        <v>990358</v>
      </c>
      <c r="AH112" s="1">
        <f>'passive building (austria)'!H10</f>
        <v>115656</v>
      </c>
      <c r="AI112" s="1">
        <f>'passive building (belgium)'!H10</f>
        <v>145416</v>
      </c>
      <c r="AJ112" s="1">
        <f>'passive building (ireland)'!H10</f>
        <v>77210</v>
      </c>
    </row>
    <row r="113" spans="1:36" x14ac:dyDescent="0.25">
      <c r="A113">
        <v>2006</v>
      </c>
      <c r="B113" s="1">
        <v>298379912</v>
      </c>
      <c r="C113" s="1">
        <f>'cohousing population'!D132</f>
        <v>81701971</v>
      </c>
      <c r="D113" s="1">
        <f>'cohousing population'!D58</f>
        <v>5437421</v>
      </c>
      <c r="E113" s="40">
        <f t="shared" si="2"/>
        <v>684231.40000000014</v>
      </c>
      <c r="F113" s="35">
        <v>3129</v>
      </c>
      <c r="G113" s="1">
        <f>'microfinance population'!D252</f>
        <v>1172878890</v>
      </c>
      <c r="H113" s="1">
        <f>'microfinance population'!D118</f>
        <v>146405982</v>
      </c>
      <c r="I113" s="8">
        <f>'microfinance population'!D386</f>
        <v>149077333</v>
      </c>
      <c r="J113" s="23">
        <f>'elm- g'!C57</f>
        <v>175.76794940000002</v>
      </c>
      <c r="K113" s="23">
        <f>'elm- j'!C57</f>
        <v>151.03978209000002</v>
      </c>
      <c r="L113" s="23">
        <f>'elm-i'!C57</f>
        <v>67.824572889999999</v>
      </c>
      <c r="M113" s="23">
        <f>'elm- uk'!C57</f>
        <v>179.2269694</v>
      </c>
      <c r="N113" s="47">
        <f>'elm- us'!C57</f>
        <v>252.44817395000001</v>
      </c>
      <c r="O113" s="1">
        <f>'microfinance population'!D118</f>
        <v>146405982</v>
      </c>
      <c r="P113" s="1">
        <f>'cohousing population'!D132</f>
        <v>81701971</v>
      </c>
      <c r="Q113" s="1">
        <f>'microfinance population'!D252</f>
        <v>1172878890</v>
      </c>
      <c r="R113">
        <v>9080626</v>
      </c>
      <c r="S113" s="1">
        <f>'climate protest'!D99</f>
        <v>61051093</v>
      </c>
      <c r="T113" s="1">
        <f>'climate protest'!D214</f>
        <v>298730210</v>
      </c>
      <c r="U113" s="8">
        <f>'climate protest'!D292</f>
        <v>6671452018</v>
      </c>
      <c r="V113" s="32">
        <f>'energy communities population'!D99</f>
        <v>16493851</v>
      </c>
      <c r="W113" s="1">
        <f>'active mobility'!DL13</f>
        <v>160499.09959784997</v>
      </c>
      <c r="X113" s="48">
        <f>'cohousing population'!D132</f>
        <v>81701971</v>
      </c>
      <c r="Y113" s="1">
        <f>'ESG firms'!O113</f>
        <v>1946.1538461538462</v>
      </c>
      <c r="Z113" s="1">
        <f>'ESG firms'!P113</f>
        <v>1848.0519480519481</v>
      </c>
      <c r="AA113" s="1">
        <f>'ESG firms'!Q113</f>
        <v>2653.0120481927711</v>
      </c>
      <c r="AB113" s="1">
        <f>'ESG firms'!R113</f>
        <v>263.46153846153845</v>
      </c>
      <c r="AC113" s="25"/>
      <c r="AD113" s="23">
        <f>'e-bikes'!G9</f>
        <v>1.3480123456790125</v>
      </c>
      <c r="AE113" s="43"/>
      <c r="AF113">
        <f>'long distance travel'!D24</f>
        <v>1024047000000</v>
      </c>
      <c r="AG113" s="14">
        <f>'passive building (germany)'!H11</f>
        <v>1208469</v>
      </c>
      <c r="AH113" s="1">
        <f>'passive building (austria)'!H11</f>
        <v>108286</v>
      </c>
      <c r="AI113" s="1">
        <f>'passive building (belgium)'!H11</f>
        <v>126020</v>
      </c>
      <c r="AJ113" s="1">
        <f>'passive building (ireland)'!H11</f>
        <v>62827</v>
      </c>
    </row>
    <row r="114" spans="1:36" x14ac:dyDescent="0.25">
      <c r="A114">
        <v>2007</v>
      </c>
      <c r="B114" s="1">
        <v>301231207</v>
      </c>
      <c r="C114" s="1">
        <f>'cohousing population'!D133</f>
        <v>81298546</v>
      </c>
      <c r="D114" s="1">
        <f>'cohousing population'!D59</f>
        <v>5461604</v>
      </c>
      <c r="E114" s="40">
        <f t="shared" si="2"/>
        <v>691493.80000000016</v>
      </c>
      <c r="F114" s="35">
        <v>3129</v>
      </c>
      <c r="G114" s="1">
        <f>'microfinance population'!D253</f>
        <v>1190676028</v>
      </c>
      <c r="H114" s="1">
        <f>'microfinance population'!D119</f>
        <v>147989283</v>
      </c>
      <c r="I114" s="8">
        <f>'microfinance population'!D387</f>
        <v>153267257</v>
      </c>
      <c r="J114" s="23">
        <f>'elm- g'!C58</f>
        <v>177.7848779</v>
      </c>
      <c r="K114" s="23">
        <f>'elm- j'!C58</f>
        <v>150.11645737999999</v>
      </c>
      <c r="L114" s="23">
        <f>'elm-i'!C58</f>
        <v>72.03838562</v>
      </c>
      <c r="M114" s="23">
        <f>'elm- uk'!C58</f>
        <v>176.58090379999999</v>
      </c>
      <c r="N114" s="47">
        <f>'elm- us'!C58</f>
        <v>255.10637370000001</v>
      </c>
      <c r="O114" s="1">
        <f>'microfinance population'!D119</f>
        <v>147989283</v>
      </c>
      <c r="P114" s="1">
        <f>'cohousing population'!D133</f>
        <v>81298546</v>
      </c>
      <c r="Q114" s="1">
        <f>'microfinance population'!D253</f>
        <v>1190676028</v>
      </c>
      <c r="R114">
        <v>9148277</v>
      </c>
      <c r="S114" s="1">
        <f>'climate protest'!D100</f>
        <v>61535860</v>
      </c>
      <c r="T114" s="1">
        <f>'climate protest'!D215</f>
        <v>301844227</v>
      </c>
      <c r="U114" s="8">
        <f>'climate protest'!D293</f>
        <v>6757308750</v>
      </c>
      <c r="V114" s="32">
        <f>'energy communities population'!D100</f>
        <v>16531360</v>
      </c>
      <c r="W114" s="1">
        <f>'active mobility'!DL14</f>
        <v>159660.94411574924</v>
      </c>
      <c r="X114" s="48">
        <f>'cohousing population'!D133</f>
        <v>81298546</v>
      </c>
      <c r="Y114" s="1">
        <f>'ESG firms'!O114</f>
        <v>1946.1538461538462</v>
      </c>
      <c r="Z114" s="1">
        <f>'ESG firms'!P114</f>
        <v>1848.0519480519481</v>
      </c>
      <c r="AA114" s="1">
        <f>'ESG firms'!Q114</f>
        <v>2653.0120481927711</v>
      </c>
      <c r="AB114" s="1">
        <f>'ESG firms'!R114</f>
        <v>263.46153846153845</v>
      </c>
      <c r="AC114" s="25"/>
      <c r="AD114" s="23">
        <f>'e-bikes'!G10</f>
        <v>1.3572592592592594</v>
      </c>
      <c r="AE114" s="43"/>
      <c r="AF114">
        <f>'long distance travel'!D25</f>
        <v>1026914000000</v>
      </c>
      <c r="AG114" s="14">
        <f>'passive building (germany)'!H12</f>
        <v>1136430</v>
      </c>
      <c r="AH114" s="1">
        <f>'passive building (austria)'!H12</f>
        <v>100273</v>
      </c>
      <c r="AI114" s="1">
        <f>'passive building (belgium)'!H12</f>
        <v>141811</v>
      </c>
      <c r="AJ114" s="1">
        <f>'passive building (ireland)'!H12</f>
        <v>87398</v>
      </c>
    </row>
    <row r="115" spans="1:36" x14ac:dyDescent="0.25">
      <c r="A115">
        <v>2008</v>
      </c>
      <c r="B115" s="1">
        <v>304093966</v>
      </c>
      <c r="C115" s="1">
        <f>'cohousing population'!D134</f>
        <v>81110781</v>
      </c>
      <c r="D115" s="1">
        <f>'cohousing population'!D60</f>
        <v>5493766</v>
      </c>
      <c r="E115" s="40">
        <f t="shared" si="2"/>
        <v>698756.20000000019</v>
      </c>
      <c r="F115" s="35">
        <v>3129</v>
      </c>
      <c r="G115" s="1">
        <f>'microfinance population'!D254</f>
        <v>1207930962</v>
      </c>
      <c r="H115" s="1">
        <f>'microfinance population'!D120</f>
        <v>149474264</v>
      </c>
      <c r="I115" s="8">
        <f>'microfinance population'!D388</f>
        <v>157595017</v>
      </c>
      <c r="J115" s="23">
        <f>'elm- g'!C59</f>
        <v>178.2120438</v>
      </c>
      <c r="K115" s="23">
        <f>'elm- j'!C59</f>
        <v>148.47530358</v>
      </c>
      <c r="L115" s="23">
        <f>'elm-i'!C59</f>
        <v>73.425206200000005</v>
      </c>
      <c r="M115" s="23">
        <f>'elm- uk'!C59</f>
        <v>174.0119565</v>
      </c>
      <c r="N115" s="47">
        <f>'elm- us'!C59</f>
        <v>239.77225320000002</v>
      </c>
      <c r="O115" s="1">
        <f>'microfinance population'!D120</f>
        <v>149474264</v>
      </c>
      <c r="P115" s="1">
        <f>'cohousing population'!D134</f>
        <v>81110781</v>
      </c>
      <c r="Q115" s="1">
        <f>'microfinance population'!D254</f>
        <v>1207930962</v>
      </c>
      <c r="R115">
        <v>9219903</v>
      </c>
      <c r="S115" s="1">
        <f>'climate protest'!D101</f>
        <v>62027303</v>
      </c>
      <c r="T115" s="1">
        <f>'climate protest'!D216</f>
        <v>304970328</v>
      </c>
      <c r="U115" s="8">
        <f>'climate protest'!D294</f>
        <v>6844457675</v>
      </c>
      <c r="V115" s="32">
        <f>'energy communities population'!D101</f>
        <v>16597257</v>
      </c>
      <c r="W115" s="1">
        <f>'active mobility'!DL15</f>
        <v>158822.78863364851</v>
      </c>
      <c r="X115" s="48">
        <f>'cohousing population'!D134</f>
        <v>81110781</v>
      </c>
      <c r="Y115" s="1">
        <f>'ESG firms'!O115</f>
        <v>1946.1538461538462</v>
      </c>
      <c r="Z115" s="1">
        <f>'ESG firms'!P115</f>
        <v>1848.0519480519481</v>
      </c>
      <c r="AA115" s="1">
        <f>'ESG firms'!Q115</f>
        <v>2653.0120481927711</v>
      </c>
      <c r="AB115" s="1">
        <f>'ESG firms'!R115</f>
        <v>263.46153846153845</v>
      </c>
      <c r="AC115" s="25"/>
      <c r="AD115" s="23">
        <f>'e-bikes'!G11</f>
        <v>1.3624444444444446</v>
      </c>
      <c r="AE115" s="43"/>
      <c r="AF115">
        <f>'long distance travel'!D26</f>
        <v>1033421000000</v>
      </c>
      <c r="AG115" s="14">
        <f>'passive building (germany)'!H13</f>
        <v>1295027</v>
      </c>
      <c r="AH115" s="1">
        <f>'passive building (austria)'!H13</f>
        <v>108763</v>
      </c>
      <c r="AI115" s="1">
        <f>'passive building (belgium)'!H13</f>
        <v>148808</v>
      </c>
      <c r="AJ115" s="1">
        <f>'passive building (ireland)'!H13</f>
        <v>97900</v>
      </c>
    </row>
    <row r="116" spans="1:36" x14ac:dyDescent="0.25">
      <c r="A116">
        <v>2009</v>
      </c>
      <c r="B116" s="1">
        <v>306771529</v>
      </c>
      <c r="C116" s="1">
        <f>'cohousing population'!D135</f>
        <v>80935275</v>
      </c>
      <c r="D116" s="1">
        <f>'cohousing population'!D61</f>
        <v>5523168</v>
      </c>
      <c r="E116" s="40">
        <f t="shared" si="2"/>
        <v>706018.60000000021</v>
      </c>
      <c r="F116" s="35">
        <v>3129</v>
      </c>
      <c r="G116" s="1">
        <f>'microfinance population'!D255</f>
        <v>1225524760</v>
      </c>
      <c r="H116" s="1">
        <f>'microfinance population'!D121</f>
        <v>150873716</v>
      </c>
      <c r="I116" s="8">
        <f>'microfinance population'!D389</f>
        <v>162049465</v>
      </c>
      <c r="J116" s="23">
        <f>'elm- g'!C60</f>
        <v>181.83217719999999</v>
      </c>
      <c r="K116" s="23">
        <f>'elm- j'!C60</f>
        <v>145.52692529000001</v>
      </c>
      <c r="L116" s="23">
        <f>'elm-i'!C60</f>
        <v>71.798866809999993</v>
      </c>
      <c r="M116" s="23">
        <f>'elm- uk'!C60</f>
        <v>168.6123388</v>
      </c>
      <c r="N116" s="47">
        <f>'elm- us'!C60</f>
        <v>241.24386382</v>
      </c>
      <c r="O116" s="1">
        <f>'microfinance population'!D121</f>
        <v>150873716</v>
      </c>
      <c r="P116" s="1">
        <f>'cohousing population'!D135</f>
        <v>80935275</v>
      </c>
      <c r="Q116" s="1">
        <f>'microfinance population'!D255</f>
        <v>1225524760</v>
      </c>
      <c r="R116">
        <v>9298738</v>
      </c>
      <c r="S116" s="1">
        <f>'climate protest'!D102</f>
        <v>62506221</v>
      </c>
      <c r="T116" s="1">
        <f>'climate protest'!D217</f>
        <v>308023451</v>
      </c>
      <c r="U116" s="8">
        <f>'climate protest'!D295</f>
        <v>6932766459</v>
      </c>
      <c r="V116" s="32">
        <f>'energy communities population'!D102</f>
        <v>16684147</v>
      </c>
      <c r="W116" s="1">
        <f>'active mobility'!DL16</f>
        <v>157984.63315154778</v>
      </c>
      <c r="X116" s="48">
        <f>'cohousing population'!D135</f>
        <v>80935275</v>
      </c>
      <c r="Y116" s="1">
        <f>'ESG firms'!O116</f>
        <v>1946.1538461538462</v>
      </c>
      <c r="Z116" s="1">
        <f>'ESG firms'!P116</f>
        <v>1848.0519480519481</v>
      </c>
      <c r="AA116" s="1">
        <f>'ESG firms'!Q116</f>
        <v>2653.0120481927711</v>
      </c>
      <c r="AB116" s="1">
        <f>'ESG firms'!R116</f>
        <v>263.46153846153845</v>
      </c>
      <c r="AC116" s="25"/>
      <c r="AD116" s="23">
        <f>'e-bikes'!G12</f>
        <v>1.3243333333333334</v>
      </c>
      <c r="AE116" s="43"/>
      <c r="AF116">
        <f>'long distance travel'!D27</f>
        <v>1041947000000</v>
      </c>
      <c r="AG116" s="14">
        <f>'passive building (germany)'!H14</f>
        <v>959755</v>
      </c>
      <c r="AH116" s="1">
        <f>'passive building (austria)'!H14</f>
        <v>105961</v>
      </c>
      <c r="AI116" s="1">
        <f>'passive building (belgium)'!H14</f>
        <v>166094</v>
      </c>
      <c r="AJ116" s="1">
        <f>'passive building (ireland)'!H14</f>
        <v>94163</v>
      </c>
    </row>
    <row r="117" spans="1:36" x14ac:dyDescent="0.25">
      <c r="A117">
        <v>2010</v>
      </c>
      <c r="B117" s="1">
        <v>308745538</v>
      </c>
      <c r="C117" s="1">
        <f>'cohousing population'!D136</f>
        <v>80830917</v>
      </c>
      <c r="D117" s="1">
        <f>'cohousing population'!D62</f>
        <v>5547866</v>
      </c>
      <c r="E117" s="39">
        <v>713281</v>
      </c>
      <c r="F117" s="35">
        <v>3129</v>
      </c>
      <c r="G117" s="1">
        <f>'microfinance population'!D256</f>
        <v>1243481564</v>
      </c>
      <c r="H117" s="1">
        <f>'microfinance population'!D122</f>
        <v>152201977</v>
      </c>
      <c r="I117" s="8">
        <f>'microfinance population'!D390</f>
        <v>166642887</v>
      </c>
      <c r="J117" s="23">
        <f>'elm- g'!C61</f>
        <v>215.06001739999999</v>
      </c>
      <c r="K117" s="23">
        <f>'elm- j'!C61</f>
        <v>166.76</v>
      </c>
      <c r="L117" s="23">
        <f>'elm-i'!C61</f>
        <v>76.569999999999993</v>
      </c>
      <c r="M117" s="23">
        <f>'elm- uk'!C61</f>
        <v>210.09997070000003</v>
      </c>
      <c r="N117" s="47">
        <f>'elm- us'!C61</f>
        <v>248.39</v>
      </c>
      <c r="O117" s="1">
        <f>'microfinance population'!D122</f>
        <v>152201977</v>
      </c>
      <c r="P117" s="1">
        <f>'cohousing population'!D136</f>
        <v>80830917</v>
      </c>
      <c r="Q117" s="1">
        <f>'microfinance population'!D256</f>
        <v>1243481564</v>
      </c>
      <c r="R117">
        <v>9378234</v>
      </c>
      <c r="S117" s="1">
        <f>'climate protest'!D103</f>
        <v>63006484</v>
      </c>
      <c r="T117" s="1">
        <f>'climate protest'!D218</f>
        <v>311062786</v>
      </c>
      <c r="U117" s="8">
        <f>'climate protest'!D296</f>
        <v>7021732131</v>
      </c>
      <c r="V117" s="32">
        <f>'energy communities population'!D103</f>
        <v>16771232</v>
      </c>
      <c r="W117" s="1">
        <f>'active mobility'!DL17</f>
        <v>157146.47766944711</v>
      </c>
      <c r="X117" s="48">
        <f>'cohousing population'!D136</f>
        <v>80830917</v>
      </c>
      <c r="Y117" s="1">
        <f>'ESG firms'!O117</f>
        <v>1946.1538461538462</v>
      </c>
      <c r="Z117" s="1">
        <f>'ESG firms'!P117</f>
        <v>1848.0519480519481</v>
      </c>
      <c r="AA117" s="1">
        <f>'ESG firms'!Q117</f>
        <v>2653.0120481927711</v>
      </c>
      <c r="AB117" s="1">
        <f>'ESG firms'!R117</f>
        <v>263.46153846153845</v>
      </c>
      <c r="AC117" s="25"/>
      <c r="AD117" s="23">
        <f>'e-bikes'!G13</f>
        <v>1.385</v>
      </c>
      <c r="AE117" s="43"/>
      <c r="AF117">
        <f>'long distance travel'!D28</f>
        <v>1046778000000</v>
      </c>
      <c r="AG117" s="14">
        <f>'passive building (germany)'!H15</f>
        <v>1107977</v>
      </c>
      <c r="AH117" s="1">
        <f>'passive building (austria)'!H15</f>
        <v>107141</v>
      </c>
      <c r="AI117" s="1">
        <f>'passive building (belgium)'!H15</f>
        <v>149443</v>
      </c>
      <c r="AJ117" s="1">
        <f>'passive building (ireland)'!H15</f>
        <v>67400</v>
      </c>
    </row>
    <row r="118" spans="1:36" x14ac:dyDescent="0.25">
      <c r="A118">
        <v>2011</v>
      </c>
      <c r="B118" s="1">
        <v>311556874</v>
      </c>
      <c r="C118" s="1">
        <f>'cohousing population'!D137</f>
        <v>80857877</v>
      </c>
      <c r="D118" s="1">
        <f>'cohousing population'!D63</f>
        <v>5570846</v>
      </c>
      <c r="E118" s="40">
        <f>(($E$127-$E$117)/10)+E117</f>
        <v>723429.1</v>
      </c>
      <c r="F118" s="35">
        <v>3129</v>
      </c>
      <c r="G118" s="1">
        <f>'microfinance population'!D257</f>
        <v>1261224952</v>
      </c>
      <c r="H118" s="1">
        <f>'microfinance population'!D123</f>
        <v>153591075</v>
      </c>
      <c r="I118" s="8">
        <f>'microfinance population'!D391</f>
        <v>171379601</v>
      </c>
      <c r="J118" s="23">
        <f>'elm- g'!C62</f>
        <v>216.15000000000003</v>
      </c>
      <c r="K118" s="23">
        <f>'elm- j'!C62</f>
        <v>168.16</v>
      </c>
      <c r="L118" s="23">
        <f>'elm-i'!C62</f>
        <v>80.88</v>
      </c>
      <c r="M118" s="23">
        <f>'elm- uk'!C62</f>
        <v>215.53000000000003</v>
      </c>
      <c r="N118" s="47">
        <f>'elm- us'!C62</f>
        <v>242.98001414000001</v>
      </c>
      <c r="O118" s="1">
        <f>'microfinance population'!D123</f>
        <v>153591075</v>
      </c>
      <c r="P118" s="1">
        <f>'cohousing population'!D137</f>
        <v>80857877</v>
      </c>
      <c r="Q118" s="1">
        <f>'microfinance population'!D257</f>
        <v>1261224952</v>
      </c>
      <c r="R118">
        <v>9449262</v>
      </c>
      <c r="S118" s="1">
        <f>'climate protest'!D104</f>
        <v>63509285</v>
      </c>
      <c r="T118" s="1">
        <f>'climate protest'!D219</f>
        <v>314105078</v>
      </c>
      <c r="U118" s="8">
        <f>'climate protest'!D297</f>
        <v>7110923797</v>
      </c>
      <c r="V118" s="32">
        <f>'energy communities population'!D104</f>
        <v>16851061</v>
      </c>
      <c r="W118" s="1">
        <f>'active mobility'!DL18</f>
        <v>157169.21894370404</v>
      </c>
      <c r="X118" s="48">
        <f>'cohousing population'!D137</f>
        <v>80857877</v>
      </c>
      <c r="Y118" s="1">
        <f>'ESG firms'!O118</f>
        <v>1946.1538461538462</v>
      </c>
      <c r="Z118" s="1">
        <f>'ESG firms'!P118</f>
        <v>1848.0519480519481</v>
      </c>
      <c r="AA118" s="1">
        <f>'ESG firms'!Q118</f>
        <v>2653.0120481927711</v>
      </c>
      <c r="AB118" s="1">
        <f>'ESG firms'!R118</f>
        <v>263.46153846153845</v>
      </c>
      <c r="AC118" s="25"/>
      <c r="AD118" s="23">
        <f>'e-bikes'!G14</f>
        <v>1.3779999999999999</v>
      </c>
      <c r="AE118" s="43"/>
      <c r="AF118">
        <f>'long distance travel'!D29</f>
        <v>1057771000000</v>
      </c>
      <c r="AG118" s="14">
        <f>'passive building (germany)'!H16</f>
        <v>895482</v>
      </c>
      <c r="AH118" s="1">
        <f>'passive building (austria)'!H16</f>
        <v>96509</v>
      </c>
      <c r="AI118" s="1">
        <f>'passive building (belgium)'!H16</f>
        <v>189330</v>
      </c>
      <c r="AJ118" s="1">
        <f>'passive building (ireland)'!H16</f>
        <v>36972</v>
      </c>
    </row>
    <row r="119" spans="1:36" x14ac:dyDescent="0.25">
      <c r="A119">
        <v>2012</v>
      </c>
      <c r="B119" s="1">
        <v>313830990</v>
      </c>
      <c r="C119" s="1">
        <f>'cohousing population'!D138</f>
        <v>80916393</v>
      </c>
      <c r="D119" s="1">
        <f>'cohousing population'!D64</f>
        <v>5591912</v>
      </c>
      <c r="E119" s="40">
        <f t="shared" ref="E119:E125" si="3">(($E$127-$E$117)/10)+E118</f>
        <v>733577.2</v>
      </c>
      <c r="F119" s="35">
        <v>3129</v>
      </c>
      <c r="G119" s="1">
        <f>'microfinance population'!D258</f>
        <v>1278674506</v>
      </c>
      <c r="H119" s="1">
        <f>'microfinance population'!D124</f>
        <v>155070111</v>
      </c>
      <c r="I119" s="8">
        <f>'microfinance population'!D392</f>
        <v>176200628</v>
      </c>
      <c r="J119" s="23">
        <f>'elm- g'!C63</f>
        <v>219.63</v>
      </c>
      <c r="K119" s="23">
        <f>'elm- j'!C63</f>
        <v>165.58</v>
      </c>
      <c r="L119" s="23">
        <f>'elm-i'!C63</f>
        <v>84.750010479999986</v>
      </c>
      <c r="M119" s="23">
        <f>'elm- uk'!C63</f>
        <v>209.2100021</v>
      </c>
      <c r="N119" s="47">
        <f>'elm- us'!C63</f>
        <v>243.29999691</v>
      </c>
      <c r="O119" s="1">
        <f>'microfinance population'!D124</f>
        <v>155070111</v>
      </c>
      <c r="P119" s="1">
        <f>'cohousing population'!D138</f>
        <v>80916393</v>
      </c>
      <c r="Q119" s="1">
        <f>'microfinance population'!D258</f>
        <v>1278674506</v>
      </c>
      <c r="R119">
        <v>9519479</v>
      </c>
      <c r="S119" s="1">
        <f>'climate protest'!D105</f>
        <v>63960487</v>
      </c>
      <c r="T119" s="1">
        <f>'climate protest'!D220</f>
        <v>317115348</v>
      </c>
      <c r="U119" s="8">
        <f>'climate protest'!D298</f>
        <v>7201202531</v>
      </c>
      <c r="V119" s="32">
        <f>'energy communities population'!D105</f>
        <v>16915191</v>
      </c>
      <c r="W119" s="1">
        <f>'active mobility'!DL19</f>
        <v>157191.96021796096</v>
      </c>
      <c r="X119" s="48">
        <f>'cohousing population'!D138</f>
        <v>80916393</v>
      </c>
      <c r="Y119" s="1">
        <f>'ESG firms'!O119</f>
        <v>1946.1538461538462</v>
      </c>
      <c r="Z119" s="1">
        <f>'ESG firms'!P119</f>
        <v>1848.0519480519481</v>
      </c>
      <c r="AA119" s="1">
        <f>'ESG firms'!Q119</f>
        <v>2653.0120481927711</v>
      </c>
      <c r="AB119" s="1">
        <f>'ESG firms'!R119</f>
        <v>263.46153846153845</v>
      </c>
      <c r="AC119" s="25"/>
      <c r="AD119" s="23">
        <f>'e-bikes'!G15</f>
        <v>1.21</v>
      </c>
      <c r="AE119" s="43"/>
      <c r="AF119">
        <f>'long distance travel'!D30</f>
        <v>1061115000000</v>
      </c>
      <c r="AG119" s="14">
        <f>'passive building (germany)'!H17</f>
        <v>1133426</v>
      </c>
      <c r="AH119" s="1">
        <f>'passive building (austria)'!H17</f>
        <v>102785</v>
      </c>
      <c r="AI119" s="1">
        <f>'passive building (belgium)'!H17</f>
        <v>130271</v>
      </c>
      <c r="AJ119" s="1">
        <f>'passive building (ireland)'!H17</f>
        <v>51978</v>
      </c>
    </row>
    <row r="120" spans="1:36" x14ac:dyDescent="0.25">
      <c r="A120">
        <v>2013</v>
      </c>
      <c r="B120" s="1">
        <v>315993715</v>
      </c>
      <c r="C120" s="1">
        <f>'cohousing population'!D139</f>
        <v>81041580</v>
      </c>
      <c r="D120" s="1">
        <f>'cohousing population'!D65</f>
        <v>5615334</v>
      </c>
      <c r="E120" s="40">
        <f t="shared" si="3"/>
        <v>743725.29999999993</v>
      </c>
      <c r="F120" s="35">
        <v>3129</v>
      </c>
      <c r="G120" s="1">
        <f>'microfinance population'!D259</f>
        <v>1295829506</v>
      </c>
      <c r="H120" s="1">
        <f>'microfinance population'!D125</f>
        <v>156532135</v>
      </c>
      <c r="I120" s="8">
        <f>'microfinance population'!D393</f>
        <v>181049443</v>
      </c>
      <c r="J120" s="23">
        <f>'elm- g'!C64</f>
        <v>215.02</v>
      </c>
      <c r="K120" s="23">
        <f>'elm- j'!C64</f>
        <v>165.66</v>
      </c>
      <c r="L120" s="23">
        <f>'elm-i'!C64</f>
        <v>88.45</v>
      </c>
      <c r="M120" s="23">
        <f>'elm- uk'!C64</f>
        <v>210.86001680000001</v>
      </c>
      <c r="N120" s="47">
        <f>'elm- us'!C64</f>
        <v>238.42998898000002</v>
      </c>
      <c r="O120" s="1">
        <f>'microfinance population'!D125</f>
        <v>156532135</v>
      </c>
      <c r="P120" s="1">
        <f>'cohousing population'!D139</f>
        <v>81041580</v>
      </c>
      <c r="Q120" s="1">
        <f>'microfinance population'!D259</f>
        <v>1295829506</v>
      </c>
      <c r="R120">
        <v>9600621</v>
      </c>
      <c r="S120" s="1">
        <f>'climate protest'!D106</f>
        <v>64389386</v>
      </c>
      <c r="T120" s="1">
        <f>'climate protest'!D221</f>
        <v>320110753</v>
      </c>
      <c r="U120" s="8">
        <f>'climate protest'!D299</f>
        <v>7291793608</v>
      </c>
      <c r="V120" s="32">
        <f>'energy communities population'!D106</f>
        <v>16967065</v>
      </c>
      <c r="W120" s="1">
        <f>'active mobility'!DL20</f>
        <v>157214.70149221789</v>
      </c>
      <c r="X120" s="48">
        <f>'cohousing population'!D139</f>
        <v>81041580</v>
      </c>
      <c r="Y120" s="1">
        <f>'ESG firms'!O120</f>
        <v>1946.1538461538462</v>
      </c>
      <c r="Z120" s="1">
        <f>'ESG firms'!P120</f>
        <v>1848.0519480519481</v>
      </c>
      <c r="AA120" s="1">
        <f>'ESG firms'!Q120</f>
        <v>2653.0120481927711</v>
      </c>
      <c r="AB120" s="1">
        <f>'ESG firms'!R120</f>
        <v>263.46153846153845</v>
      </c>
      <c r="AC120" s="25"/>
      <c r="AD120" s="23">
        <f>'e-bikes'!G16</f>
        <v>1.2</v>
      </c>
      <c r="AE120" s="43"/>
      <c r="AF120">
        <f>'long distance travel'!D31</f>
        <v>1069861000000</v>
      </c>
      <c r="AG120" s="14">
        <f>'passive building (germany)'!H18</f>
        <v>888534</v>
      </c>
      <c r="AH120" s="1">
        <f>'passive building (austria)'!H18</f>
        <v>126512</v>
      </c>
      <c r="AI120" s="1">
        <f>'passive building (belgium)'!H18</f>
        <v>129133</v>
      </c>
      <c r="AJ120" s="1">
        <f>'passive building (ireland)'!H18</f>
        <v>44215</v>
      </c>
    </row>
    <row r="121" spans="1:36" x14ac:dyDescent="0.25">
      <c r="A121">
        <v>2014</v>
      </c>
      <c r="B121" s="1">
        <v>318301008</v>
      </c>
      <c r="C121" s="1">
        <f>'cohousing population'!D140</f>
        <v>81376078</v>
      </c>
      <c r="D121" s="1">
        <f>'cohousing population'!D66</f>
        <v>5643793</v>
      </c>
      <c r="E121" s="40">
        <f t="shared" si="3"/>
        <v>753873.39999999991</v>
      </c>
      <c r="F121" s="35">
        <v>3129</v>
      </c>
      <c r="G121" s="1">
        <f>'microfinance population'!D260</f>
        <v>1312277184</v>
      </c>
      <c r="H121" s="1">
        <f>'microfinance population'!D126</f>
        <v>157964931</v>
      </c>
      <c r="I121" s="8">
        <f>'microfinance population'!D394</f>
        <v>185896917</v>
      </c>
      <c r="J121" s="23">
        <f>'elm- g'!C65</f>
        <v>216.26999394000001</v>
      </c>
      <c r="K121" s="23">
        <f>'elm- j'!C65</f>
        <v>162.87002053399999</v>
      </c>
      <c r="L121" s="23">
        <f>'elm-i'!C65</f>
        <v>91.67</v>
      </c>
      <c r="M121" s="23">
        <f>'elm- uk'!C65</f>
        <v>208.65998450000001</v>
      </c>
      <c r="N121" s="47">
        <f>'elm- us'!C65</f>
        <v>243.45001014000002</v>
      </c>
      <c r="O121" s="1">
        <f>'microfinance population'!D126</f>
        <v>157964931</v>
      </c>
      <c r="P121" s="1">
        <f>'cohousing population'!D140</f>
        <v>81376078</v>
      </c>
      <c r="Q121" s="1">
        <f>'microfinance population'!D260</f>
        <v>1312277184</v>
      </c>
      <c r="R121">
        <v>9696437</v>
      </c>
      <c r="S121" s="1">
        <f>'climate protest'!D107</f>
        <v>64865914</v>
      </c>
      <c r="T121" s="1">
        <f>'climate protest'!D222</f>
        <v>323115378</v>
      </c>
      <c r="U121" s="8">
        <f>'climate protest'!D300</f>
        <v>7381616239</v>
      </c>
      <c r="V121" s="32">
        <f>'energy communities population'!D107</f>
        <v>17030087</v>
      </c>
      <c r="W121" s="1">
        <f>'active mobility'!DL21</f>
        <v>157237.44276647482</v>
      </c>
      <c r="X121" s="48">
        <f>'cohousing population'!D140</f>
        <v>81376078</v>
      </c>
      <c r="Y121" s="1">
        <f>'ESG firms'!O121</f>
        <v>1946.1538461538462</v>
      </c>
      <c r="Z121" s="1">
        <f>'ESG firms'!P121</f>
        <v>1848.0519480519481</v>
      </c>
      <c r="AA121" s="1">
        <f>'ESG firms'!Q121</f>
        <v>2653.0120481927711</v>
      </c>
      <c r="AB121" s="1">
        <f>'ESG firms'!R121</f>
        <v>263.46153846153845</v>
      </c>
      <c r="AC121" s="25"/>
      <c r="AD121" s="23">
        <f>'e-bikes'!G17</f>
        <v>1.274</v>
      </c>
      <c r="AE121" s="43"/>
      <c r="AF121">
        <f>'long distance travel'!D32</f>
        <v>1086166000000</v>
      </c>
      <c r="AG121" s="14">
        <f>'passive building (germany)'!H19</f>
        <v>1084683</v>
      </c>
      <c r="AH121" s="1">
        <f>'passive building (austria)'!H19</f>
        <v>147434</v>
      </c>
      <c r="AI121" s="1">
        <f>'passive building (belgium)'!H19</f>
        <v>129655</v>
      </c>
      <c r="AJ121" s="1">
        <f>'passive building (ireland)'!H19</f>
        <v>46222</v>
      </c>
    </row>
    <row r="122" spans="1:36" x14ac:dyDescent="0.25">
      <c r="A122">
        <v>2015</v>
      </c>
      <c r="B122" s="1">
        <v>320635163</v>
      </c>
      <c r="C122" s="1">
        <f>'cohousing population'!D141</f>
        <v>82077546</v>
      </c>
      <c r="D122" s="1">
        <f>'cohousing population'!D67</f>
        <v>5683698</v>
      </c>
      <c r="E122" s="40">
        <f t="shared" si="3"/>
        <v>764021.49999999988</v>
      </c>
      <c r="F122" s="35">
        <v>3129</v>
      </c>
      <c r="G122" s="1">
        <f>'microfinance population'!D261</f>
        <v>1328024492</v>
      </c>
      <c r="H122" s="1">
        <f>'microfinance population'!D127</f>
        <v>159383180</v>
      </c>
      <c r="I122" s="8">
        <f>'microfinance population'!D395</f>
        <v>190671883</v>
      </c>
      <c r="J122" s="23">
        <f>'elm- g'!C66</f>
        <v>219.37997264000001</v>
      </c>
      <c r="K122" s="23">
        <f>'elm- j'!C66</f>
        <v>161.009987994</v>
      </c>
      <c r="L122" s="23">
        <f>'elm-i'!C66</f>
        <v>87.94999996</v>
      </c>
      <c r="M122" s="23">
        <f>'elm- uk'!C66</f>
        <v>209.99996949999999</v>
      </c>
      <c r="N122" s="47">
        <f>'elm- us'!C66</f>
        <v>242.32999999999998</v>
      </c>
      <c r="O122" s="1">
        <f>'microfinance population'!D127</f>
        <v>159383180</v>
      </c>
      <c r="P122" s="1">
        <f>'cohousing population'!D141</f>
        <v>82077546</v>
      </c>
      <c r="Q122" s="1">
        <f>'microfinance population'!D261</f>
        <v>1328024492</v>
      </c>
      <c r="R122">
        <v>9799482</v>
      </c>
      <c r="S122" s="1">
        <f>'climate protest'!D108</f>
        <v>65382107</v>
      </c>
      <c r="T122" s="1">
        <f>'climate protest'!D223</f>
        <v>326126498</v>
      </c>
      <c r="U122" s="8">
        <f>'climate protest'!D301</f>
        <v>7470491904</v>
      </c>
      <c r="V122" s="32">
        <f>'energy communities population'!D108</f>
        <v>17107427</v>
      </c>
      <c r="W122" s="1">
        <f>'active mobility'!DL22</f>
        <v>157260.18404073169</v>
      </c>
      <c r="X122" s="48">
        <f>'cohousing population'!D141</f>
        <v>82077546</v>
      </c>
      <c r="Y122" s="1">
        <f>'ESG firms'!O122</f>
        <v>1946.1538461538462</v>
      </c>
      <c r="Z122" s="1">
        <f>'ESG firms'!P122</f>
        <v>1848.0519480519481</v>
      </c>
      <c r="AA122" s="1">
        <f>'ESG firms'!Q122</f>
        <v>2653.0120481927711</v>
      </c>
      <c r="AB122" s="1">
        <f>'ESG firms'!R122</f>
        <v>263.46153846153845</v>
      </c>
      <c r="AC122" s="25"/>
      <c r="AD122" s="23">
        <f>'e-bikes'!G18</f>
        <v>1.2589999999999999</v>
      </c>
      <c r="AE122" s="43">
        <f>'e-bikes'!H18</f>
        <v>18.350000000000001</v>
      </c>
      <c r="AF122">
        <f>'long distance travel'!D33</f>
        <v>1100374000000</v>
      </c>
      <c r="AG122" s="14">
        <f>'passive building (germany)'!H20</f>
        <v>1424102</v>
      </c>
      <c r="AH122" s="1">
        <f>'passive building (austria)'!H20</f>
        <v>131829</v>
      </c>
      <c r="AI122" s="1">
        <f>'passive building (belgium)'!H20</f>
        <v>146828</v>
      </c>
      <c r="AJ122" s="1">
        <f>'passive building (ireland)'!H20</f>
        <v>50105</v>
      </c>
    </row>
    <row r="123" spans="1:36" x14ac:dyDescent="0.25">
      <c r="A123">
        <v>2016</v>
      </c>
      <c r="B123" s="1">
        <v>322941311</v>
      </c>
      <c r="C123" s="1">
        <f>'cohousing population'!D142</f>
        <v>82760100</v>
      </c>
      <c r="D123" s="1">
        <f>'cohousing population'!D68</f>
        <v>5728198</v>
      </c>
      <c r="E123" s="40">
        <f t="shared" si="3"/>
        <v>774169.59999999986</v>
      </c>
      <c r="F123" s="35">
        <v>3129</v>
      </c>
      <c r="G123" s="1">
        <f>'microfinance population'!D262</f>
        <v>1343944293</v>
      </c>
      <c r="H123" s="1">
        <f>'microfinance population'!D128</f>
        <v>160811935</v>
      </c>
      <c r="I123" s="8">
        <f>'microfinance population'!D396</f>
        <v>195443699</v>
      </c>
      <c r="J123" s="23">
        <f>'elm- g'!C67</f>
        <v>218.65998070000001</v>
      </c>
      <c r="K123" s="23">
        <f>'elm- j'!C67</f>
        <v>159.5</v>
      </c>
      <c r="L123" s="23">
        <f>'elm-i'!C67</f>
        <v>90.42001037</v>
      </c>
      <c r="M123" s="23">
        <f>'elm- uk'!C67</f>
        <v>217.23000000000002</v>
      </c>
      <c r="N123" s="47">
        <f>'elm- us'!C67</f>
        <v>244.17998391999998</v>
      </c>
      <c r="O123" s="1">
        <f>'microfinance population'!D128</f>
        <v>160811935</v>
      </c>
      <c r="P123" s="1">
        <f>'cohousing population'!D142</f>
        <v>82760100</v>
      </c>
      <c r="Q123" s="1">
        <f>'microfinance population'!D262</f>
        <v>1343944293</v>
      </c>
      <c r="R123">
        <v>9923281</v>
      </c>
      <c r="S123" s="1">
        <f>'climate protest'!D109</f>
        <v>65893359</v>
      </c>
      <c r="T123" s="1">
        <f>'climate protest'!D224</f>
        <v>329179421</v>
      </c>
      <c r="U123" s="8">
        <f>'climate protest'!D302</f>
        <v>7558554580</v>
      </c>
      <c r="V123" s="32">
        <f>'energy communities population'!D109</f>
        <v>17204694</v>
      </c>
      <c r="W123" s="1">
        <f>'active mobility'!DL23</f>
        <v>154276.42476190868</v>
      </c>
      <c r="X123" s="48">
        <f>'cohousing population'!D142</f>
        <v>82760100</v>
      </c>
      <c r="Y123" s="1">
        <f>'ESG firms'!O123</f>
        <v>1946.1538461538462</v>
      </c>
      <c r="Z123" s="1">
        <f>'ESG firms'!P123</f>
        <v>1848.0519480519481</v>
      </c>
      <c r="AA123" s="1">
        <f>'ESG firms'!Q123</f>
        <v>2653.0120481927711</v>
      </c>
      <c r="AB123" s="1">
        <f>'ESG firms'!R123</f>
        <v>263.46153846153845</v>
      </c>
      <c r="AC123" s="25">
        <f>'e-bikes'!F19</f>
        <v>31.49</v>
      </c>
      <c r="AD123" s="23">
        <f>'e-bikes'!G19</f>
        <v>1.1970000000000001</v>
      </c>
      <c r="AE123" s="43">
        <f>'e-bikes'!H19</f>
        <v>18.940000000000001</v>
      </c>
      <c r="AF123">
        <f>'long distance travel'!D34</f>
        <v>1121952000000</v>
      </c>
      <c r="AG123" s="14">
        <f>'passive building (germany)'!H21</f>
        <v>1165580</v>
      </c>
      <c r="AH123" s="1">
        <f>'passive building (austria)'!H21</f>
        <v>136465</v>
      </c>
      <c r="AI123" s="1">
        <f>'passive building (belgium)'!H21</f>
        <v>129318</v>
      </c>
      <c r="AJ123" s="1">
        <f>'passive building (ireland)'!H21</f>
        <v>56586</v>
      </c>
    </row>
    <row r="124" spans="1:36" x14ac:dyDescent="0.25">
      <c r="A124">
        <v>2017</v>
      </c>
      <c r="B124" s="1">
        <v>324985539</v>
      </c>
      <c r="C124" s="1">
        <f>'cohousing population'!D143</f>
        <v>83104012</v>
      </c>
      <c r="D124" s="1">
        <f>'cohousing population'!D69</f>
        <v>5765168</v>
      </c>
      <c r="E124" s="40">
        <f t="shared" si="3"/>
        <v>784317.69999999984</v>
      </c>
      <c r="F124" s="35">
        <v>3129</v>
      </c>
      <c r="G124" s="1">
        <f>'microfinance population'!D263</f>
        <v>1359657392</v>
      </c>
      <c r="H124" s="1">
        <f>'microfinance population'!D129</f>
        <v>162186147</v>
      </c>
      <c r="I124" s="8">
        <f>'microfinance population'!D397</f>
        <v>200254578</v>
      </c>
      <c r="J124" s="23">
        <f>'elm- g'!C68</f>
        <v>222.01999999999998</v>
      </c>
      <c r="K124" s="23">
        <f>'elm- j'!C68</f>
        <v>164.15000601</v>
      </c>
      <c r="L124" s="23">
        <f>'elm-i'!C68</f>
        <v>93.699994559999993</v>
      </c>
      <c r="M124" s="23">
        <f>'elm- uk'!C68</f>
        <v>214.23996770000002</v>
      </c>
      <c r="N124" s="47">
        <f>'elm- us'!C68</f>
        <v>240.51998992</v>
      </c>
      <c r="O124" s="1">
        <f>'microfinance population'!D129</f>
        <v>162186147</v>
      </c>
      <c r="P124" s="1">
        <f>'cohousing population'!D143</f>
        <v>83104012</v>
      </c>
      <c r="Q124" s="1">
        <f>'microfinance population'!D263</f>
        <v>1359657392</v>
      </c>
      <c r="R124">
        <v>10057864</v>
      </c>
      <c r="S124" s="1">
        <f>'climate protest'!D110</f>
        <v>66354474</v>
      </c>
      <c r="T124" s="1">
        <f>'climate protest'!D225</f>
        <v>332204656</v>
      </c>
      <c r="U124" s="8">
        <f>'climate protest'!D303</f>
        <v>7645618013</v>
      </c>
      <c r="V124" s="32">
        <f>'energy communities population'!D110</f>
        <v>17315375</v>
      </c>
      <c r="W124" s="1">
        <f>'active mobility'!DL24</f>
        <v>151292.66548308567</v>
      </c>
      <c r="X124" s="48">
        <f>'cohousing population'!D143</f>
        <v>83104012</v>
      </c>
      <c r="Y124" s="18"/>
      <c r="Z124" s="18"/>
      <c r="AA124" s="18"/>
      <c r="AB124" s="18"/>
      <c r="AC124" s="25">
        <f>'e-bikes'!F20</f>
        <v>41.2</v>
      </c>
      <c r="AD124" s="23">
        <f>'e-bikes'!G20</f>
        <v>1.2509999999999999</v>
      </c>
      <c r="AE124" s="43">
        <f>'e-bikes'!H20</f>
        <v>18.559999999999999</v>
      </c>
      <c r="AF124">
        <f>'long distance travel'!D35</f>
        <v>1072960000000</v>
      </c>
      <c r="AG124" s="14">
        <f>'passive building (germany)'!H22</f>
        <v>1263141</v>
      </c>
      <c r="AH124" s="1">
        <f>'passive building (austria)'!H22</f>
        <v>112783</v>
      </c>
      <c r="AI124" s="1">
        <f>'passive building (belgium)'!H22</f>
        <v>128103</v>
      </c>
      <c r="AJ124" s="1">
        <f>'passive building (ireland)'!H22</f>
        <v>77257</v>
      </c>
    </row>
    <row r="125" spans="1:36" x14ac:dyDescent="0.25">
      <c r="A125">
        <v>2018</v>
      </c>
      <c r="B125" s="1">
        <v>326687501</v>
      </c>
      <c r="C125" s="1">
        <f>'cohousing population'!D144</f>
        <v>83368506</v>
      </c>
      <c r="D125" s="1">
        <f>'cohousing population'!D70</f>
        <v>5793825</v>
      </c>
      <c r="E125" s="40">
        <f t="shared" si="3"/>
        <v>794465.79999999981</v>
      </c>
      <c r="F125" s="35">
        <v>3129</v>
      </c>
      <c r="G125" s="1">
        <f>'microfinance population'!D264</f>
        <v>1374659068</v>
      </c>
      <c r="H125" s="1">
        <f>'microfinance population'!D130</f>
        <v>163523108</v>
      </c>
      <c r="I125" s="8">
        <f>'microfinance population'!D398</f>
        <v>204938753</v>
      </c>
      <c r="J125" s="23">
        <f>'elm- g'!C69</f>
        <v>216.99001415000004</v>
      </c>
      <c r="K125" s="23">
        <f>'elm- j'!C69</f>
        <v>166.38998999400002</v>
      </c>
      <c r="L125" s="23">
        <f>'elm-i'!C69</f>
        <v>92.339999999999989</v>
      </c>
      <c r="M125" s="23">
        <f>'elm- uk'!C69</f>
        <v>209.21998924000002</v>
      </c>
      <c r="N125" s="47">
        <f>'elm- us'!C69</f>
        <v>244.4</v>
      </c>
      <c r="O125" s="1">
        <f>'microfinance population'!D130</f>
        <v>163523108</v>
      </c>
      <c r="P125" s="1">
        <f>'cohousing population'!D144</f>
        <v>83368506</v>
      </c>
      <c r="Q125" s="1">
        <f>'microfinance population'!D264</f>
        <v>1374659068</v>
      </c>
      <c r="R125">
        <v>10175401</v>
      </c>
      <c r="S125" s="1">
        <f>'climate protest'!D111</f>
        <v>66752473</v>
      </c>
      <c r="T125" s="1">
        <f>'climate protest'!D226</f>
        <v>335056495</v>
      </c>
      <c r="U125" s="8">
        <f>'climate protest'!D304</f>
        <v>7729902724</v>
      </c>
      <c r="V125" s="32">
        <f>'energy communities population'!D111</f>
        <v>17421284</v>
      </c>
      <c r="W125" s="1">
        <f>'active mobility'!DL25</f>
        <v>148308.90620426266</v>
      </c>
      <c r="X125" s="48">
        <f>'cohousing population'!D144</f>
        <v>83368506</v>
      </c>
      <c r="Y125" s="18"/>
      <c r="Z125" s="18"/>
      <c r="AA125" s="18"/>
      <c r="AB125" s="18"/>
      <c r="AC125" s="25">
        <f>'e-bikes'!F21</f>
        <v>43.2</v>
      </c>
      <c r="AD125" s="23">
        <f>'e-bikes'!G21</f>
        <v>1.42</v>
      </c>
      <c r="AE125" s="43">
        <f>'e-bikes'!H21</f>
        <v>20.490000000000002</v>
      </c>
      <c r="AF125">
        <f>'long distance travel'!D36</f>
        <v>1076872000000</v>
      </c>
      <c r="AG125" s="14">
        <f>'passive building (germany)'!H23</f>
        <v>1174220</v>
      </c>
      <c r="AH125" s="1">
        <f>'passive building (austria)'!H23</f>
        <v>124636</v>
      </c>
      <c r="AI125" s="1">
        <f>'passive building (belgium)'!H23</f>
        <v>146479</v>
      </c>
      <c r="AJ125" s="1">
        <f>'passive building (ireland)'!H23</f>
        <v>87602</v>
      </c>
    </row>
    <row r="126" spans="1:36" x14ac:dyDescent="0.25">
      <c r="A126">
        <v>2019</v>
      </c>
      <c r="B126" s="1">
        <v>328239523</v>
      </c>
      <c r="C126" s="1">
        <f>'cohousing population'!D145</f>
        <v>83559185</v>
      </c>
      <c r="D126" s="1">
        <f>'cohousing population'!D71</f>
        <v>5814619</v>
      </c>
      <c r="E126" s="40">
        <f>(($E$127-$E$117)/10)+E125</f>
        <v>804613.89999999979</v>
      </c>
      <c r="F126" s="35">
        <v>3129</v>
      </c>
      <c r="G126" s="1">
        <f>'microfinance population'!D265</f>
        <v>1389030303</v>
      </c>
      <c r="H126" s="1">
        <f>'microfinance population'!D131</f>
        <v>164913060</v>
      </c>
      <c r="I126" s="8">
        <f>'microfinance population'!D399</f>
        <v>209485636</v>
      </c>
      <c r="J126" s="23">
        <f>'elm- g'!C70</f>
        <v>216.7699988</v>
      </c>
      <c r="K126" s="23">
        <f>'elm- j'!C70</f>
        <v>169.93</v>
      </c>
      <c r="L126" s="23">
        <f>'elm-i'!C70</f>
        <v>92.959993800000007</v>
      </c>
      <c r="M126" s="23">
        <f>'elm- uk'!C70</f>
        <v>214.46999299999999</v>
      </c>
      <c r="N126" s="47">
        <f>'elm- us'!C70</f>
        <v>255.54996990000001</v>
      </c>
      <c r="O126" s="1">
        <f>'microfinance population'!D131</f>
        <v>164913060</v>
      </c>
      <c r="P126" s="1">
        <f>'cohousing population'!D145</f>
        <v>83559185</v>
      </c>
      <c r="Q126" s="1">
        <f>'microfinance population'!D265</f>
        <v>1389030303</v>
      </c>
      <c r="R126">
        <v>10279122</v>
      </c>
      <c r="S126" s="1">
        <f>'climate protest'!D112</f>
        <v>67110958</v>
      </c>
      <c r="T126" s="1">
        <f>'climate protest'!D227</f>
        <v>337790068</v>
      </c>
      <c r="U126" s="8">
        <f>'climate protest'!D305</f>
        <v>7811293714</v>
      </c>
      <c r="V126" s="32">
        <f>'energy communities population'!D112</f>
        <v>17537506</v>
      </c>
      <c r="W126" s="1">
        <f>'active mobility'!DL26</f>
        <v>145325.14692543965</v>
      </c>
      <c r="X126" s="48">
        <f>'cohousing population'!D145</f>
        <v>83559185</v>
      </c>
      <c r="Y126" s="18"/>
      <c r="Z126" s="18"/>
      <c r="AA126" s="18"/>
      <c r="AB126" s="18"/>
      <c r="AC126" s="25">
        <f>'e-bikes'!F22</f>
        <v>46.699999999999996</v>
      </c>
      <c r="AD126" s="23">
        <f>'e-bikes'!G22</f>
        <v>1.427</v>
      </c>
      <c r="AE126" s="43">
        <f>'e-bikes'!H22</f>
        <v>20.56</v>
      </c>
      <c r="AF126">
        <f>'long distance travel'!D37</f>
        <v>1083478000000</v>
      </c>
      <c r="AG126" s="14">
        <f>'passive building (germany)'!H24</f>
        <v>1034381</v>
      </c>
      <c r="AH126" s="1">
        <f>'passive building (austria)'!H24</f>
        <v>107159</v>
      </c>
      <c r="AI126" s="1">
        <f>'passive building (belgium)'!H24</f>
        <v>156283</v>
      </c>
      <c r="AJ126" s="1">
        <f>'passive building (ireland)'!H24</f>
        <v>63367</v>
      </c>
    </row>
    <row r="127" spans="1:36" x14ac:dyDescent="0.25">
      <c r="A127">
        <v>2020</v>
      </c>
      <c r="B127" s="1">
        <v>331449281</v>
      </c>
      <c r="C127" s="1">
        <f>'cohousing population'!D146</f>
        <v>83628711</v>
      </c>
      <c r="D127" s="1">
        <f>'cohousing population'!D72</f>
        <v>5831530</v>
      </c>
      <c r="E127" s="39">
        <v>814762</v>
      </c>
      <c r="F127" s="35">
        <v>3129</v>
      </c>
      <c r="I127" s="8"/>
      <c r="J127" s="23">
        <f>'elm- g'!C71</f>
        <v>220.29000000000002</v>
      </c>
      <c r="K127" s="23">
        <f>'elm- j'!C71</f>
        <v>170.58</v>
      </c>
      <c r="L127" s="23">
        <f>'elm-i'!C71</f>
        <v>95.820000320000005</v>
      </c>
      <c r="M127" s="23">
        <f>'elm- uk'!C71</f>
        <v>227.91999480000001</v>
      </c>
      <c r="N127" s="47">
        <f>'elm- us'!C71</f>
        <v>245.21998495000003</v>
      </c>
      <c r="O127" s="1">
        <f>'microfinance population'!D132</f>
        <v>166298024</v>
      </c>
      <c r="P127" s="1">
        <f>'cohousing population'!D146</f>
        <v>83628711</v>
      </c>
      <c r="Q127" s="1">
        <f>'microfinance population'!D266</f>
        <v>1402617692</v>
      </c>
      <c r="R127">
        <v>10353680</v>
      </c>
      <c r="S127" s="1">
        <f>'climate protest'!D113</f>
        <v>67351860</v>
      </c>
      <c r="T127" s="1">
        <f>'climate protest'!D228</f>
        <v>339436157</v>
      </c>
      <c r="U127" s="8">
        <f>'climate protest'!D306</f>
        <v>7887001284</v>
      </c>
      <c r="V127" s="32">
        <f>'energy communities population'!D113</f>
        <v>17636732</v>
      </c>
      <c r="W127" s="1">
        <f>'active mobility'!DL27</f>
        <v>142341.38764661664</v>
      </c>
      <c r="X127" s="48">
        <f>'cohousing population'!D146</f>
        <v>83628711</v>
      </c>
      <c r="Y127" s="18"/>
      <c r="Z127" s="18"/>
      <c r="AA127" s="18"/>
      <c r="AB127" s="18"/>
      <c r="AC127" s="25">
        <f>'e-bikes'!F23</f>
        <v>58.6</v>
      </c>
      <c r="AD127" s="23">
        <f>'e-bikes'!G23</f>
        <v>1.645</v>
      </c>
      <c r="AE127" s="43">
        <f>'e-bikes'!H23</f>
        <v>23.24</v>
      </c>
      <c r="AF127">
        <f>'long distance travel'!D38</f>
        <v>889963000000</v>
      </c>
      <c r="AG127" s="14">
        <f>'passive building (germany)'!H25</f>
        <v>923359</v>
      </c>
      <c r="AH127" s="1">
        <f>'passive building (austria)'!H25</f>
        <v>128808</v>
      </c>
      <c r="AI127" s="1">
        <f>'passive building (belgium)'!H25</f>
        <v>146280</v>
      </c>
      <c r="AJ127" s="1">
        <f>'passive building (ireland)'!H25</f>
        <v>84019</v>
      </c>
    </row>
    <row r="128" spans="1:36" x14ac:dyDescent="0.25">
      <c r="A128">
        <v>2021</v>
      </c>
      <c r="E128" s="40">
        <f>(($E$130-$E$127)/3)+E127</f>
        <v>825131.33333333337</v>
      </c>
      <c r="F128" s="35">
        <v>3129</v>
      </c>
      <c r="I128" s="8"/>
      <c r="J128" s="23">
        <f>'elm- g'!C72</f>
        <v>277.56995466000001</v>
      </c>
      <c r="K128" s="23">
        <f>'elm- j'!C72</f>
        <v>171.95</v>
      </c>
      <c r="L128" s="23">
        <f>'elm-i'!C72</f>
        <v>96.44</v>
      </c>
      <c r="M128" s="23">
        <f>'elm- uk'!C72</f>
        <v>252.37</v>
      </c>
      <c r="N128" s="47">
        <f>'elm- us'!C72</f>
        <v>253.3</v>
      </c>
      <c r="O128" s="1">
        <f>'microfinance population'!D133</f>
        <v>167658855</v>
      </c>
      <c r="P128" s="1">
        <f>'cohousing population'!D147</f>
        <v>83697082</v>
      </c>
      <c r="Q128" s="1">
        <f>'microfinance population'!D267</f>
        <v>1414203889</v>
      </c>
      <c r="R128">
        <v>10416136</v>
      </c>
      <c r="S128" s="1">
        <f>'climate protest'!D114</f>
        <v>67668789</v>
      </c>
      <c r="T128" s="1">
        <f>'climate protest'!D229</f>
        <v>340161441</v>
      </c>
      <c r="U128" s="8">
        <f>'climate protest'!D307</f>
        <v>7954448405</v>
      </c>
      <c r="V128" s="32">
        <f>'energy communities population'!D114</f>
        <v>17730564</v>
      </c>
      <c r="W128" s="1">
        <f>'active mobility'!DL28</f>
        <v>147786.39684341112</v>
      </c>
      <c r="X128" s="48">
        <f>'cohousing population'!D147</f>
        <v>83697082</v>
      </c>
      <c r="Y128" s="18"/>
      <c r="Z128" s="18"/>
      <c r="AA128" s="18"/>
      <c r="AB128" s="18"/>
      <c r="AC128" s="25">
        <f>'e-bikes'!F24</f>
        <v>52</v>
      </c>
      <c r="AD128" s="23">
        <f>'e-bikes'!G24</f>
        <v>1.401</v>
      </c>
      <c r="AE128" s="43">
        <f>'e-bikes'!H24</f>
        <v>23.979999999999997</v>
      </c>
      <c r="AG128" s="14">
        <f>'passive building (germany)'!H26</f>
        <v>928143</v>
      </c>
      <c r="AH128" s="1">
        <f>'passive building (austria)'!H26</f>
        <v>166552</v>
      </c>
      <c r="AI128" s="1">
        <f>'passive building (belgium)'!H26</f>
        <v>167921</v>
      </c>
      <c r="AJ128" s="1">
        <f>'passive building (ireland)'!H26</f>
        <v>62947</v>
      </c>
    </row>
    <row r="129" spans="1:36" x14ac:dyDescent="0.25">
      <c r="A129">
        <v>2022</v>
      </c>
      <c r="E129" s="40">
        <f>(($E$130-$E$127)/3)+E128</f>
        <v>835500.66666666674</v>
      </c>
      <c r="F129" s="35">
        <v>3129</v>
      </c>
      <c r="I129" s="8"/>
      <c r="N129" s="47"/>
      <c r="O129" s="1">
        <f>'microfinance population'!D134</f>
        <v>169384890</v>
      </c>
      <c r="P129" s="1">
        <f>'cohousing population'!D148</f>
        <v>84086228</v>
      </c>
      <c r="Q129" s="1">
        <f>'microfinance population'!D268</f>
        <v>1425423212</v>
      </c>
      <c r="R129">
        <v>10487333</v>
      </c>
      <c r="S129" s="1">
        <f>'climate protest'!D115</f>
        <v>68179315</v>
      </c>
      <c r="T129" s="1">
        <f>'climate protest'!D230</f>
        <v>341534041</v>
      </c>
      <c r="U129" s="8">
        <f>'climate protest'!D308</f>
        <v>8021407170</v>
      </c>
      <c r="V129" s="32">
        <f>'energy communities population'!D115</f>
        <v>17904422</v>
      </c>
      <c r="W129" s="1">
        <f>'active mobility'!DL29</f>
        <v>153231.40604020559</v>
      </c>
      <c r="X129" s="48">
        <f>'cohousing population'!D148</f>
        <v>84086228</v>
      </c>
      <c r="Y129" s="18"/>
      <c r="Z129" s="18"/>
      <c r="AA129" s="18"/>
      <c r="AB129" s="18"/>
      <c r="AC129" s="25">
        <f>'e-bikes'!F25</f>
        <v>54.47</v>
      </c>
      <c r="AD129" s="23">
        <f>'e-bikes'!G25</f>
        <v>1.341</v>
      </c>
      <c r="AE129" s="43">
        <f>'e-bikes'!H25</f>
        <v>23.720000000000002</v>
      </c>
      <c r="AG129" s="14">
        <f>'passive building (germany)'!H27</f>
        <v>961961</v>
      </c>
      <c r="AH129" s="1">
        <f>'passive building (austria)'!H27</f>
        <v>134173</v>
      </c>
      <c r="AI129" s="1">
        <f>'passive building (belgium)'!H27</f>
        <v>156828</v>
      </c>
      <c r="AJ129" s="1">
        <f>'passive building (ireland)'!H27</f>
        <v>70111</v>
      </c>
    </row>
    <row r="130" spans="1:36" x14ac:dyDescent="0.25">
      <c r="A130">
        <v>2023</v>
      </c>
      <c r="E130" s="39">
        <v>845870</v>
      </c>
      <c r="F130" s="35">
        <v>3129</v>
      </c>
      <c r="I130" s="8"/>
      <c r="N130" s="47"/>
      <c r="O130" s="1">
        <f>'microfinance population'!D135</f>
        <v>171466986</v>
      </c>
      <c r="P130" s="1">
        <f>'cohousing population'!D149</f>
        <v>84548234</v>
      </c>
      <c r="Q130" s="1">
        <f>'microfinance population'!D269</f>
        <v>1438069597</v>
      </c>
      <c r="R130">
        <v>10551493</v>
      </c>
      <c r="S130" s="1">
        <f>'climate protest'!D116</f>
        <v>68682965</v>
      </c>
      <c r="T130" s="1">
        <f>'climate protest'!D231</f>
        <v>343477332</v>
      </c>
      <c r="U130" s="8">
        <f>'climate protest'!D309</f>
        <v>8091734935</v>
      </c>
      <c r="V130" s="32">
        <f>'energy communities population'!D116</f>
        <v>18092525</v>
      </c>
      <c r="W130" s="1">
        <f>'active mobility'!DL30</f>
        <v>158676.41523700007</v>
      </c>
      <c r="X130" s="48">
        <f>'cohousing population'!D149</f>
        <v>84548234</v>
      </c>
      <c r="Y130" s="18"/>
      <c r="Z130" s="18"/>
      <c r="AA130" s="18"/>
      <c r="AB130" s="18"/>
      <c r="AC130" s="25"/>
      <c r="AE130" s="43">
        <f>'e-bikes'!H26</f>
        <v>22.9</v>
      </c>
      <c r="AG130" s="14">
        <f>'passive building (germany)'!H28</f>
        <v>937821</v>
      </c>
      <c r="AH130" s="1">
        <f>'passive building (austria)'!H28</f>
        <v>143177.66666666666</v>
      </c>
      <c r="AI130" s="1">
        <f>'passive building (belgium)'!H28</f>
        <v>157009.66666666666</v>
      </c>
      <c r="AJ130" s="1">
        <f>'passive building (ireland)'!H28</f>
        <v>72359</v>
      </c>
    </row>
    <row r="131" spans="1:36" x14ac:dyDescent="0.25">
      <c r="A131">
        <v>2024</v>
      </c>
      <c r="E131" s="8"/>
      <c r="F131" s="35">
        <v>3129</v>
      </c>
      <c r="I131" s="8"/>
      <c r="N131" s="47"/>
      <c r="U131" s="8"/>
      <c r="V131" s="32"/>
      <c r="W131" s="1">
        <f>'active mobility'!DL31</f>
        <v>164121.42443379454</v>
      </c>
      <c r="X131" s="48"/>
      <c r="Y131" s="18"/>
      <c r="Z131" s="18"/>
      <c r="AA131" s="18"/>
      <c r="AB131" s="18"/>
      <c r="AC131" s="25"/>
      <c r="AE131" s="43"/>
      <c r="AG131" s="14">
        <f>'passive building (germany)'!H29</f>
        <v>942641.66666666663</v>
      </c>
      <c r="AH131" s="1">
        <f>'passive building (austria)'!H29</f>
        <v>147967.55555555553</v>
      </c>
      <c r="AI131" s="1">
        <f>'passive building (belgium)'!H29</f>
        <v>160586.22222222222</v>
      </c>
      <c r="AJ131" s="1">
        <f>'passive building (ireland)'!H29</f>
        <v>68472.333333333328</v>
      </c>
    </row>
    <row r="132" spans="1:36" x14ac:dyDescent="0.25">
      <c r="A132">
        <v>2025</v>
      </c>
      <c r="E132" s="8"/>
      <c r="F132" s="35">
        <v>3129</v>
      </c>
      <c r="I132" s="8"/>
      <c r="N132" s="47"/>
      <c r="U132" s="8"/>
      <c r="V132" s="32"/>
      <c r="W132" s="1">
        <f>'active mobility'!DL32</f>
        <v>169566.43363058899</v>
      </c>
      <c r="X132" s="48"/>
      <c r="Y132" s="18"/>
      <c r="Z132" s="18"/>
      <c r="AA132" s="18"/>
      <c r="AB132" s="18"/>
      <c r="AC132" s="25"/>
      <c r="AE132" s="43"/>
      <c r="AG132" s="14"/>
    </row>
    <row r="133" spans="1:36" ht="15.75" customHeight="1" x14ac:dyDescent="0.25">
      <c r="Y133" s="18"/>
      <c r="Z133" s="18"/>
      <c r="AA133" s="18"/>
      <c r="AB133" s="18"/>
    </row>
    <row r="134" spans="1:36" ht="15.75" customHeight="1" x14ac:dyDescent="0.25">
      <c r="Y134" s="18"/>
      <c r="Z134" s="18"/>
      <c r="AA134" s="18"/>
      <c r="AB134" s="18"/>
    </row>
    <row r="135" spans="1:36" ht="15.75" customHeight="1" x14ac:dyDescent="0.25">
      <c r="Y135" s="18"/>
      <c r="Z135" s="18"/>
      <c r="AA135" s="18"/>
      <c r="AB135" s="18"/>
    </row>
    <row r="137" spans="1:36" ht="15.75" customHeight="1" x14ac:dyDescent="0.3">
      <c r="V137" s="50"/>
    </row>
  </sheetData>
  <hyperlinks>
    <hyperlink ref="C5" r:id="rId1" xr:uid="{64580053-72B6-459C-8960-BA8CE89682AF}"/>
    <hyperlink ref="D5" r:id="rId2" xr:uid="{7BA173AD-327F-451F-AF2D-D9E5135A67B5}"/>
    <hyperlink ref="G5" r:id="rId3" xr:uid="{C0669F6A-C52A-2F48-9E7F-B09FEAEEA11D}"/>
    <hyperlink ref="H5" r:id="rId4" xr:uid="{31964511-BCA3-AF45-A558-817C03995E27}"/>
    <hyperlink ref="I5" r:id="rId5" xr:uid="{F3AB3FA5-E445-4742-9093-4B7D9DBD71EF}"/>
    <hyperlink ref="O5" r:id="rId6" xr:uid="{20334E61-5FF7-D04A-9940-E9D0F9EFA045}"/>
    <hyperlink ref="P5" r:id="rId7" xr:uid="{411F3FBA-57EE-6048-94E8-6D60928C382B}"/>
    <hyperlink ref="Q5" r:id="rId8" xr:uid="{410290FE-6E3C-644F-863D-7CA458739D7C}"/>
    <hyperlink ref="S5" r:id="rId9" xr:uid="{77520EF4-1DFE-B849-9DB0-1A8FBF383EA0}"/>
    <hyperlink ref="T5" r:id="rId10" xr:uid="{58AB537A-EFBA-7C42-9DEC-1CFF45B37F6F}"/>
    <hyperlink ref="U5" r:id="rId11" xr:uid="{CEFEE3E5-E81A-644D-8D54-1B88CD9BAAC5}"/>
    <hyperlink ref="V5" r:id="rId12" xr:uid="{77637861-8B11-E14E-8716-1CCB4EB5EA5C}"/>
    <hyperlink ref="E5" r:id="rId13" xr:uid="{846F29B4-333F-4BC6-B7B2-7CE815A890C7}"/>
    <hyperlink ref="Y5" r:id="rId14" xr:uid="{6DB06A58-9462-4514-9C74-027736738B0B}"/>
    <hyperlink ref="Z5" r:id="rId15" xr:uid="{5ACB71EE-24A7-4368-B9E6-2ACC3E018F6B}"/>
    <hyperlink ref="AA5" r:id="rId16" xr:uid="{6D5B839C-C29F-4417-A169-A0D523DDBFC8}"/>
    <hyperlink ref="AB5" r:id="rId17" xr:uid="{D53C416B-7A20-46E7-BEAC-E85EBCE7DB69}"/>
    <hyperlink ref="R5" r:id="rId18" xr:uid="{CD3F1AAE-89C6-4DC2-B479-2C9BD8C551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915E-6F6A-6042-8E85-B193E580898F}">
  <dimension ref="A1:FF38"/>
  <sheetViews>
    <sheetView topLeftCell="DC1" workbookViewId="0">
      <selection activeCell="DL11" sqref="DL11"/>
    </sheetView>
  </sheetViews>
  <sheetFormatPr defaultColWidth="11" defaultRowHeight="15.75" x14ac:dyDescent="0.25"/>
  <cols>
    <col min="1" max="1" width="20.625" customWidth="1"/>
    <col min="2" max="2" width="15.5" customWidth="1"/>
    <col min="3" max="3" width="13.625" customWidth="1"/>
    <col min="4" max="4" width="19" bestFit="1" customWidth="1"/>
    <col min="5" max="5" width="8.875" customWidth="1"/>
    <col min="6" max="6" width="10.625" customWidth="1"/>
    <col min="7" max="7" width="14" customWidth="1"/>
    <col min="8" max="8" width="14.375" customWidth="1"/>
    <col min="9" max="9" width="30.5" bestFit="1" customWidth="1"/>
    <col min="10" max="10" width="18.875" bestFit="1" customWidth="1"/>
    <col min="11" max="11" width="32.5" bestFit="1" customWidth="1"/>
    <col min="12" max="12" width="29.875" bestFit="1" customWidth="1"/>
    <col min="13" max="13" width="18.875" bestFit="1" customWidth="1"/>
    <col min="14" max="14" width="39.875" bestFit="1" customWidth="1"/>
    <col min="15" max="15" width="30.875" bestFit="1" customWidth="1"/>
    <col min="16" max="16" width="18.875" bestFit="1" customWidth="1"/>
    <col min="17" max="17" width="32.875" bestFit="1" customWidth="1"/>
    <col min="18" max="18" width="30.125" bestFit="1" customWidth="1"/>
    <col min="19" max="19" width="18.875" bestFit="1" customWidth="1"/>
    <col min="20" max="20" width="39.625" bestFit="1" customWidth="1"/>
    <col min="21" max="21" width="30.625" bestFit="1" customWidth="1"/>
    <col min="22" max="22" width="18.875" bestFit="1" customWidth="1"/>
    <col min="23" max="23" width="32.625" bestFit="1" customWidth="1"/>
    <col min="24" max="24" width="30" bestFit="1" customWidth="1"/>
    <col min="25" max="25" width="18.875" bestFit="1" customWidth="1"/>
    <col min="26" max="26" width="39.625" bestFit="1" customWidth="1"/>
    <col min="27" max="27" width="30.625" bestFit="1" customWidth="1"/>
    <col min="28" max="28" width="17.875" bestFit="1" customWidth="1"/>
    <col min="29" max="29" width="32.625" bestFit="1" customWidth="1"/>
    <col min="30" max="30" width="30" bestFit="1" customWidth="1"/>
    <col min="31" max="31" width="18.875" bestFit="1" customWidth="1"/>
    <col min="32" max="32" width="39.625" bestFit="1" customWidth="1"/>
    <col min="33" max="33" width="30.625" bestFit="1" customWidth="1"/>
    <col min="34" max="34" width="18.875" bestFit="1" customWidth="1"/>
    <col min="35" max="35" width="32.625" bestFit="1" customWidth="1"/>
    <col min="36" max="36" width="30" bestFit="1" customWidth="1"/>
    <col min="37" max="37" width="18" bestFit="1" customWidth="1"/>
    <col min="38" max="38" width="39.375" bestFit="1" customWidth="1"/>
    <col min="39" max="39" width="30.375" bestFit="1" customWidth="1"/>
    <col min="40" max="40" width="19.875" bestFit="1" customWidth="1"/>
    <col min="41" max="41" width="32.375" bestFit="1" customWidth="1"/>
    <col min="42" max="42" width="29.625" bestFit="1" customWidth="1"/>
    <col min="43" max="43" width="18.875" bestFit="1" customWidth="1"/>
    <col min="44" max="44" width="38.875" bestFit="1" customWidth="1"/>
    <col min="45" max="45" width="29.875" bestFit="1" customWidth="1"/>
    <col min="46" max="46" width="18.875" bestFit="1" customWidth="1"/>
    <col min="47" max="47" width="31.875" bestFit="1" customWidth="1"/>
    <col min="48" max="48" width="29.125" bestFit="1" customWidth="1"/>
    <col min="49" max="49" width="18.875" bestFit="1" customWidth="1"/>
    <col min="50" max="50" width="39.125" bestFit="1" customWidth="1"/>
    <col min="51" max="51" width="30.125" bestFit="1" customWidth="1"/>
    <col min="52" max="52" width="18.875" bestFit="1" customWidth="1"/>
    <col min="53" max="53" width="32.125" bestFit="1" customWidth="1"/>
    <col min="54" max="54" width="29.5" bestFit="1" customWidth="1"/>
    <col min="55" max="55" width="18.875" bestFit="1" customWidth="1"/>
    <col min="56" max="56" width="39.375" bestFit="1" customWidth="1"/>
    <col min="57" max="57" width="30.375" bestFit="1" customWidth="1"/>
    <col min="58" max="58" width="18.875" bestFit="1" customWidth="1"/>
    <col min="59" max="59" width="32.375" bestFit="1" customWidth="1"/>
    <col min="60" max="60" width="29.625" bestFit="1" customWidth="1"/>
    <col min="61" max="61" width="18.875" bestFit="1" customWidth="1"/>
    <col min="62" max="62" width="39.5" bestFit="1" customWidth="1"/>
    <col min="63" max="63" width="30.5" bestFit="1" customWidth="1"/>
    <col min="64" max="64" width="18.875" bestFit="1" customWidth="1"/>
    <col min="65" max="65" width="32.5" bestFit="1" customWidth="1"/>
    <col min="66" max="66" width="29.875" bestFit="1" customWidth="1"/>
    <col min="67" max="67" width="17.875" bestFit="1" customWidth="1"/>
    <col min="68" max="68" width="39.875" bestFit="1" customWidth="1"/>
    <col min="69" max="69" width="30.875" bestFit="1" customWidth="1"/>
    <col min="70" max="70" width="18.875" bestFit="1" customWidth="1"/>
    <col min="71" max="71" width="32.875" bestFit="1" customWidth="1"/>
    <col min="72" max="72" width="30.125" bestFit="1" customWidth="1"/>
    <col min="73" max="73" width="18.875" bestFit="1" customWidth="1"/>
    <col min="74" max="74" width="38.625" bestFit="1" customWidth="1"/>
    <col min="75" max="75" width="29.625" bestFit="1" customWidth="1"/>
    <col min="76" max="76" width="18.875" bestFit="1" customWidth="1"/>
    <col min="77" max="77" width="31.5" bestFit="1" customWidth="1"/>
    <col min="78" max="78" width="29" bestFit="1" customWidth="1"/>
    <col min="79" max="79" width="17.875" bestFit="1" customWidth="1"/>
    <col min="80" max="80" width="39.625" bestFit="1" customWidth="1"/>
    <col min="81" max="81" width="32.625" bestFit="1" customWidth="1"/>
    <col min="82" max="82" width="30" bestFit="1" customWidth="1"/>
    <col min="83" max="83" width="18" bestFit="1" customWidth="1"/>
    <col min="84" max="84" width="39.125" bestFit="1" customWidth="1"/>
    <col min="85" max="85" width="18.875" bestFit="1" customWidth="1"/>
    <col min="86" max="86" width="32.125" bestFit="1" customWidth="1"/>
    <col min="87" max="87" width="29.5" bestFit="1" customWidth="1"/>
    <col min="88" max="88" width="18.875" bestFit="1" customWidth="1"/>
    <col min="89" max="89" width="39" bestFit="1" customWidth="1"/>
    <col min="90" max="90" width="30" bestFit="1" customWidth="1"/>
    <col min="91" max="91" width="19.875" bestFit="1" customWidth="1"/>
    <col min="92" max="92" width="32" bestFit="1" customWidth="1"/>
    <col min="93" max="93" width="29.375" bestFit="1" customWidth="1"/>
    <col min="94" max="94" width="18.875" bestFit="1" customWidth="1"/>
    <col min="95" max="95" width="39.375" bestFit="1" customWidth="1"/>
    <col min="96" max="96" width="19.875" bestFit="1" customWidth="1"/>
    <col min="97" max="97" width="32.375" bestFit="1" customWidth="1"/>
    <col min="98" max="98" width="29.625" bestFit="1" customWidth="1"/>
    <col min="99" max="99" width="17.875" bestFit="1" customWidth="1"/>
    <col min="100" max="100" width="39.875" bestFit="1" customWidth="1"/>
    <col min="101" max="101" width="18.875" bestFit="1" customWidth="1"/>
    <col min="102" max="102" width="32.875" bestFit="1" customWidth="1"/>
    <col min="103" max="103" width="30.125" bestFit="1" customWidth="1"/>
    <col min="104" max="104" width="18.875" bestFit="1" customWidth="1"/>
    <col min="105" max="105" width="39.625" bestFit="1" customWidth="1"/>
    <col min="106" max="106" width="32.625" bestFit="1" customWidth="1"/>
    <col min="107" max="107" width="17.625" customWidth="1"/>
    <col min="108" max="108" width="4.375" customWidth="1"/>
    <col min="109" max="109" width="39.5" bestFit="1" customWidth="1"/>
    <col min="110" max="110" width="30.5" bestFit="1" customWidth="1"/>
    <col min="111" max="111" width="18.875" bestFit="1" customWidth="1"/>
    <col min="112" max="112" width="32.5" bestFit="1" customWidth="1"/>
    <col min="113" max="113" width="29.875" bestFit="1" customWidth="1"/>
    <col min="114" max="116" width="19.125" customWidth="1"/>
    <col min="117" max="117" width="39.125" bestFit="1" customWidth="1"/>
    <col min="118" max="118" width="30.125" bestFit="1" customWidth="1"/>
    <col min="119" max="119" width="18.875" bestFit="1" customWidth="1"/>
    <col min="120" max="120" width="32.125" bestFit="1" customWidth="1"/>
    <col min="121" max="121" width="29.5" bestFit="1" customWidth="1"/>
    <col min="122" max="122" width="17.875" bestFit="1" customWidth="1"/>
    <col min="123" max="123" width="39.125" bestFit="1" customWidth="1"/>
    <col min="124" max="124" width="30.125" bestFit="1" customWidth="1"/>
    <col min="125" max="125" width="18.875" bestFit="1" customWidth="1"/>
    <col min="126" max="126" width="32.125" bestFit="1" customWidth="1"/>
    <col min="127" max="127" width="29.5" bestFit="1" customWidth="1"/>
    <col min="128" max="128" width="18.875" bestFit="1" customWidth="1"/>
    <col min="129" max="129" width="39.125" bestFit="1" customWidth="1"/>
    <col min="130" max="130" width="30.125" bestFit="1" customWidth="1"/>
    <col min="131" max="131" width="18.875" bestFit="1" customWidth="1"/>
    <col min="132" max="132" width="32.125" bestFit="1" customWidth="1"/>
    <col min="133" max="133" width="29.5" bestFit="1" customWidth="1"/>
    <col min="134" max="134" width="17.875" bestFit="1" customWidth="1"/>
    <col min="135" max="135" width="39.875" bestFit="1" customWidth="1"/>
    <col min="136" max="136" width="30.875" bestFit="1" customWidth="1"/>
    <col min="137" max="137" width="18.875" bestFit="1" customWidth="1"/>
    <col min="138" max="138" width="32.875" bestFit="1" customWidth="1"/>
    <col min="139" max="139" width="30.125" bestFit="1" customWidth="1"/>
    <col min="140" max="140" width="18.875" bestFit="1" customWidth="1"/>
    <col min="141" max="141" width="38.875" bestFit="1" customWidth="1"/>
    <col min="142" max="142" width="18.875" bestFit="1" customWidth="1"/>
    <col min="143" max="143" width="31.875" bestFit="1" customWidth="1"/>
    <col min="144" max="144" width="29.125" bestFit="1" customWidth="1"/>
    <col min="145" max="145" width="18.875" bestFit="1" customWidth="1"/>
    <col min="146" max="146" width="39.375" bestFit="1" customWidth="1"/>
    <col min="147" max="147" width="18.875" bestFit="1" customWidth="1"/>
    <col min="148" max="148" width="32.375" bestFit="1" customWidth="1"/>
    <col min="149" max="149" width="29.625" bestFit="1" customWidth="1"/>
    <col min="150" max="150" width="18.875" bestFit="1" customWidth="1"/>
    <col min="151" max="151" width="38.875" bestFit="1" customWidth="1"/>
    <col min="152" max="152" width="29.875" bestFit="1" customWidth="1"/>
    <col min="153" max="153" width="18.875" bestFit="1" customWidth="1"/>
    <col min="154" max="154" width="31.875" bestFit="1" customWidth="1"/>
    <col min="155" max="155" width="29.125" bestFit="1" customWidth="1"/>
    <col min="156" max="156" width="17.875" bestFit="1" customWidth="1"/>
    <col min="157" max="157" width="39.375" bestFit="1" customWidth="1"/>
    <col min="158" max="158" width="30.375" bestFit="1" customWidth="1"/>
    <col min="159" max="159" width="18.875" bestFit="1" customWidth="1"/>
    <col min="160" max="160" width="32.375" bestFit="1" customWidth="1"/>
    <col min="161" max="161" width="29.625" bestFit="1" customWidth="1"/>
    <col min="162" max="162" width="18.875" bestFit="1" customWidth="1"/>
  </cols>
  <sheetData>
    <row r="1" spans="1:162" x14ac:dyDescent="0.25">
      <c r="A1" t="s">
        <v>109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  <c r="AI1" t="s">
        <v>150</v>
      </c>
      <c r="AJ1" t="s">
        <v>595</v>
      </c>
      <c r="AK1" t="s">
        <v>596</v>
      </c>
      <c r="AL1" t="s">
        <v>597</v>
      </c>
      <c r="AM1" t="s">
        <v>598</v>
      </c>
      <c r="AN1" t="s">
        <v>599</v>
      </c>
      <c r="AO1" t="s">
        <v>600</v>
      </c>
      <c r="AP1" t="s">
        <v>601</v>
      </c>
      <c r="AQ1" t="s">
        <v>244</v>
      </c>
      <c r="AR1" t="s">
        <v>602</v>
      </c>
      <c r="AS1" t="s">
        <v>603</v>
      </c>
      <c r="AT1" t="s">
        <v>604</v>
      </c>
      <c r="AU1" t="s">
        <v>605</v>
      </c>
      <c r="AV1" t="s">
        <v>606</v>
      </c>
      <c r="AW1" t="s">
        <v>607</v>
      </c>
      <c r="AX1" t="s">
        <v>608</v>
      </c>
      <c r="AY1" t="s">
        <v>252</v>
      </c>
      <c r="AZ1" t="s">
        <v>609</v>
      </c>
      <c r="BA1" t="s">
        <v>610</v>
      </c>
      <c r="BB1" t="s">
        <v>611</v>
      </c>
      <c r="BC1" t="s">
        <v>612</v>
      </c>
      <c r="BD1" t="s">
        <v>613</v>
      </c>
      <c r="BE1" t="s">
        <v>614</v>
      </c>
      <c r="BF1" t="s">
        <v>615</v>
      </c>
      <c r="BG1" t="s">
        <v>260</v>
      </c>
      <c r="BH1" t="s">
        <v>616</v>
      </c>
      <c r="BI1" t="s">
        <v>262</v>
      </c>
      <c r="BJ1" t="s">
        <v>617</v>
      </c>
      <c r="BK1" t="s">
        <v>618</v>
      </c>
      <c r="BL1" t="s">
        <v>619</v>
      </c>
      <c r="BM1" t="s">
        <v>620</v>
      </c>
      <c r="BN1" t="s">
        <v>621</v>
      </c>
      <c r="BO1" t="s">
        <v>622</v>
      </c>
      <c r="BP1" t="s">
        <v>623</v>
      </c>
      <c r="BQ1" t="s">
        <v>624</v>
      </c>
      <c r="BR1" t="s">
        <v>625</v>
      </c>
      <c r="BS1" t="s">
        <v>626</v>
      </c>
      <c r="BT1" t="s">
        <v>627</v>
      </c>
      <c r="BU1" t="s">
        <v>628</v>
      </c>
      <c r="BV1" t="s">
        <v>629</v>
      </c>
      <c r="BW1" t="s">
        <v>630</v>
      </c>
      <c r="BX1" t="s">
        <v>631</v>
      </c>
      <c r="BY1" t="s">
        <v>278</v>
      </c>
      <c r="BZ1" t="s">
        <v>632</v>
      </c>
      <c r="CA1" t="s">
        <v>633</v>
      </c>
      <c r="CB1" t="s">
        <v>634</v>
      </c>
      <c r="CC1" t="s">
        <v>635</v>
      </c>
      <c r="CD1" t="s">
        <v>636</v>
      </c>
      <c r="CE1" t="s">
        <v>637</v>
      </c>
      <c r="CF1" t="s">
        <v>638</v>
      </c>
      <c r="CG1" t="s">
        <v>286</v>
      </c>
      <c r="CH1" t="s">
        <v>639</v>
      </c>
      <c r="CI1" t="s">
        <v>640</v>
      </c>
      <c r="CJ1" t="s">
        <v>641</v>
      </c>
      <c r="CK1" t="s">
        <v>642</v>
      </c>
      <c r="CL1" t="s">
        <v>643</v>
      </c>
      <c r="CM1" t="s">
        <v>644</v>
      </c>
      <c r="CN1" t="s">
        <v>645</v>
      </c>
      <c r="CO1" t="s">
        <v>294</v>
      </c>
      <c r="CP1" t="s">
        <v>646</v>
      </c>
      <c r="CQ1" t="s">
        <v>296</v>
      </c>
      <c r="CR1" t="s">
        <v>647</v>
      </c>
      <c r="CS1" t="s">
        <v>648</v>
      </c>
      <c r="CT1" t="s">
        <v>649</v>
      </c>
      <c r="CU1" t="s">
        <v>650</v>
      </c>
      <c r="CV1" t="s">
        <v>651</v>
      </c>
      <c r="CW1" t="s">
        <v>652</v>
      </c>
      <c r="CX1" t="s">
        <v>653</v>
      </c>
      <c r="CY1" t="s">
        <v>304</v>
      </c>
      <c r="CZ1" t="s">
        <v>654</v>
      </c>
      <c r="DA1" t="s">
        <v>655</v>
      </c>
      <c r="DB1" t="s">
        <v>884</v>
      </c>
      <c r="DC1" t="s">
        <v>885</v>
      </c>
      <c r="DD1" t="s">
        <v>886</v>
      </c>
      <c r="DE1" t="s">
        <v>310</v>
      </c>
      <c r="DF1" t="s">
        <v>887</v>
      </c>
      <c r="DG1" t="s">
        <v>888</v>
      </c>
      <c r="DH1" t="s">
        <v>889</v>
      </c>
      <c r="DI1" t="s">
        <v>890</v>
      </c>
      <c r="DJ1" t="s">
        <v>891</v>
      </c>
      <c r="DK1" t="s">
        <v>2073</v>
      </c>
      <c r="DL1" t="s">
        <v>2075</v>
      </c>
      <c r="DM1" t="s">
        <v>892</v>
      </c>
      <c r="DN1" t="s">
        <v>893</v>
      </c>
      <c r="DO1" t="s">
        <v>318</v>
      </c>
      <c r="DP1" t="s">
        <v>894</v>
      </c>
      <c r="DQ1" t="s">
        <v>895</v>
      </c>
      <c r="DR1" t="s">
        <v>896</v>
      </c>
      <c r="DS1" t="s">
        <v>897</v>
      </c>
      <c r="DT1" t="s">
        <v>898</v>
      </c>
      <c r="DU1" t="s">
        <v>324</v>
      </c>
      <c r="DV1" t="s">
        <v>325</v>
      </c>
      <c r="DW1" t="s">
        <v>326</v>
      </c>
      <c r="DX1" t="s">
        <v>899</v>
      </c>
      <c r="DY1" t="s">
        <v>900</v>
      </c>
      <c r="DZ1" t="s">
        <v>901</v>
      </c>
      <c r="EA1" t="s">
        <v>902</v>
      </c>
      <c r="EB1" t="s">
        <v>903</v>
      </c>
      <c r="EC1" t="s">
        <v>904</v>
      </c>
      <c r="ED1" t="s">
        <v>905</v>
      </c>
      <c r="EE1" t="s">
        <v>334</v>
      </c>
      <c r="EF1" t="s">
        <v>906</v>
      </c>
      <c r="EG1" t="s">
        <v>907</v>
      </c>
      <c r="EH1" t="s">
        <v>908</v>
      </c>
      <c r="EI1" t="s">
        <v>909</v>
      </c>
      <c r="EJ1" t="s">
        <v>910</v>
      </c>
      <c r="EK1" t="s">
        <v>340</v>
      </c>
      <c r="EL1" t="s">
        <v>911</v>
      </c>
      <c r="EM1" t="s">
        <v>912</v>
      </c>
      <c r="EN1" t="s">
        <v>913</v>
      </c>
      <c r="EO1" t="s">
        <v>914</v>
      </c>
      <c r="EP1" t="s">
        <v>915</v>
      </c>
      <c r="EQ1" t="s">
        <v>916</v>
      </c>
      <c r="ER1" t="s">
        <v>917</v>
      </c>
      <c r="ES1" t="s">
        <v>348</v>
      </c>
      <c r="ET1" t="s">
        <v>349</v>
      </c>
      <c r="EU1" t="s">
        <v>350</v>
      </c>
      <c r="EV1" t="s">
        <v>918</v>
      </c>
      <c r="EW1" t="s">
        <v>919</v>
      </c>
      <c r="EX1" t="s">
        <v>920</v>
      </c>
      <c r="EY1" t="s">
        <v>921</v>
      </c>
      <c r="EZ1" t="s">
        <v>922</v>
      </c>
      <c r="FA1" t="s">
        <v>923</v>
      </c>
      <c r="FB1" t="s">
        <v>924</v>
      </c>
      <c r="FC1" t="s">
        <v>358</v>
      </c>
      <c r="FD1" t="s">
        <v>925</v>
      </c>
      <c r="FE1" t="s">
        <v>926</v>
      </c>
      <c r="FF1" t="s">
        <v>927</v>
      </c>
    </row>
    <row r="2" spans="1:162" x14ac:dyDescent="0.25">
      <c r="A2" t="s">
        <v>928</v>
      </c>
      <c r="B2" t="s">
        <v>929</v>
      </c>
      <c r="C2" t="s">
        <v>929</v>
      </c>
      <c r="D2" t="s">
        <v>929</v>
      </c>
      <c r="E2" t="s">
        <v>929</v>
      </c>
      <c r="F2" t="s">
        <v>929</v>
      </c>
      <c r="G2" t="s">
        <v>929</v>
      </c>
      <c r="H2" t="s">
        <v>929</v>
      </c>
      <c r="I2" t="s">
        <v>929</v>
      </c>
      <c r="J2" t="s">
        <v>929</v>
      </c>
      <c r="K2" t="s">
        <v>929</v>
      </c>
      <c r="L2" t="s">
        <v>929</v>
      </c>
      <c r="M2" t="s">
        <v>929</v>
      </c>
      <c r="N2" t="s">
        <v>929</v>
      </c>
      <c r="O2" t="s">
        <v>929</v>
      </c>
      <c r="P2" t="s">
        <v>929</v>
      </c>
      <c r="Q2" t="s">
        <v>929</v>
      </c>
      <c r="R2" t="s">
        <v>929</v>
      </c>
      <c r="S2" t="s">
        <v>929</v>
      </c>
      <c r="T2" t="s">
        <v>929</v>
      </c>
      <c r="U2" t="s">
        <v>929</v>
      </c>
      <c r="V2" t="s">
        <v>929</v>
      </c>
      <c r="W2" t="s">
        <v>929</v>
      </c>
      <c r="X2" t="s">
        <v>929</v>
      </c>
      <c r="Y2" t="s">
        <v>929</v>
      </c>
      <c r="Z2" t="s">
        <v>929</v>
      </c>
      <c r="AA2" t="s">
        <v>929</v>
      </c>
      <c r="AB2" t="s">
        <v>929</v>
      </c>
      <c r="AC2" t="s">
        <v>929</v>
      </c>
      <c r="AD2" t="s">
        <v>929</v>
      </c>
      <c r="AE2" t="s">
        <v>929</v>
      </c>
      <c r="AF2" t="s">
        <v>929</v>
      </c>
      <c r="AG2" t="s">
        <v>929</v>
      </c>
      <c r="AH2" t="s">
        <v>929</v>
      </c>
      <c r="AI2" t="s">
        <v>929</v>
      </c>
      <c r="AJ2" t="s">
        <v>929</v>
      </c>
      <c r="AK2" t="s">
        <v>929</v>
      </c>
      <c r="AL2" t="s">
        <v>929</v>
      </c>
      <c r="AM2" t="s">
        <v>929</v>
      </c>
      <c r="AN2" t="s">
        <v>929</v>
      </c>
      <c r="AO2" t="s">
        <v>929</v>
      </c>
      <c r="AP2" t="s">
        <v>929</v>
      </c>
      <c r="AQ2" t="s">
        <v>929</v>
      </c>
      <c r="AR2" t="s">
        <v>929</v>
      </c>
      <c r="AS2" t="s">
        <v>929</v>
      </c>
      <c r="AT2" t="s">
        <v>929</v>
      </c>
      <c r="AU2" t="s">
        <v>929</v>
      </c>
      <c r="AV2" t="s">
        <v>929</v>
      </c>
      <c r="AW2" t="s">
        <v>929</v>
      </c>
      <c r="AX2" t="s">
        <v>929</v>
      </c>
      <c r="AY2" t="s">
        <v>929</v>
      </c>
      <c r="AZ2" t="s">
        <v>929</v>
      </c>
      <c r="BA2" t="s">
        <v>929</v>
      </c>
      <c r="BB2" t="s">
        <v>929</v>
      </c>
      <c r="BC2" t="s">
        <v>929</v>
      </c>
      <c r="BD2" t="s">
        <v>929</v>
      </c>
      <c r="BE2" t="s">
        <v>929</v>
      </c>
      <c r="BF2" t="s">
        <v>929</v>
      </c>
      <c r="BG2" t="s">
        <v>929</v>
      </c>
      <c r="BH2" t="s">
        <v>929</v>
      </c>
      <c r="BI2" t="s">
        <v>929</v>
      </c>
      <c r="BJ2" t="s">
        <v>929</v>
      </c>
      <c r="BK2" t="s">
        <v>929</v>
      </c>
      <c r="BL2" t="s">
        <v>929</v>
      </c>
      <c r="BM2" t="s">
        <v>929</v>
      </c>
      <c r="BN2" t="s">
        <v>929</v>
      </c>
      <c r="BO2" t="s">
        <v>929</v>
      </c>
      <c r="BP2" t="s">
        <v>929</v>
      </c>
      <c r="BQ2" t="s">
        <v>929</v>
      </c>
      <c r="BR2" t="s">
        <v>929</v>
      </c>
      <c r="BS2" t="s">
        <v>929</v>
      </c>
      <c r="BT2" t="s">
        <v>929</v>
      </c>
      <c r="BU2" t="s">
        <v>929</v>
      </c>
      <c r="BV2" t="s">
        <v>929</v>
      </c>
      <c r="BW2" t="s">
        <v>929</v>
      </c>
      <c r="BX2" t="s">
        <v>929</v>
      </c>
      <c r="BY2" t="s">
        <v>929</v>
      </c>
      <c r="BZ2" t="s">
        <v>929</v>
      </c>
      <c r="CA2" t="s">
        <v>929</v>
      </c>
      <c r="CB2" t="s">
        <v>929</v>
      </c>
      <c r="CC2" t="s">
        <v>929</v>
      </c>
      <c r="CD2" t="s">
        <v>929</v>
      </c>
      <c r="CE2" t="s">
        <v>929</v>
      </c>
      <c r="CF2" t="s">
        <v>929</v>
      </c>
      <c r="CG2" t="s">
        <v>929</v>
      </c>
      <c r="CH2" t="s">
        <v>929</v>
      </c>
      <c r="CI2" t="s">
        <v>929</v>
      </c>
      <c r="CJ2" t="s">
        <v>929</v>
      </c>
      <c r="CK2" t="s">
        <v>929</v>
      </c>
      <c r="CL2" t="s">
        <v>929</v>
      </c>
      <c r="CM2" t="s">
        <v>929</v>
      </c>
      <c r="CN2" t="s">
        <v>929</v>
      </c>
      <c r="CO2" t="s">
        <v>929</v>
      </c>
      <c r="CP2" t="s">
        <v>929</v>
      </c>
      <c r="CQ2" t="s">
        <v>929</v>
      </c>
      <c r="CR2" t="s">
        <v>929</v>
      </c>
      <c r="CS2" t="s">
        <v>929</v>
      </c>
      <c r="CT2" t="s">
        <v>929</v>
      </c>
      <c r="CU2" t="s">
        <v>929</v>
      </c>
      <c r="CV2" t="s">
        <v>929</v>
      </c>
      <c r="CW2" t="s">
        <v>929</v>
      </c>
      <c r="CX2" t="s">
        <v>929</v>
      </c>
      <c r="CY2" t="s">
        <v>929</v>
      </c>
      <c r="CZ2" t="s">
        <v>929</v>
      </c>
      <c r="DA2" t="s">
        <v>929</v>
      </c>
      <c r="DB2" t="s">
        <v>929</v>
      </c>
      <c r="DC2" t="s">
        <v>929</v>
      </c>
      <c r="DD2" t="s">
        <v>929</v>
      </c>
      <c r="DE2" t="s">
        <v>929</v>
      </c>
      <c r="DF2" t="s">
        <v>929</v>
      </c>
      <c r="DG2" t="s">
        <v>929</v>
      </c>
      <c r="DH2" t="s">
        <v>929</v>
      </c>
      <c r="DI2" t="s">
        <v>929</v>
      </c>
      <c r="DJ2" t="s">
        <v>929</v>
      </c>
      <c r="DM2" t="s">
        <v>929</v>
      </c>
      <c r="DN2" t="s">
        <v>929</v>
      </c>
      <c r="DO2" t="s">
        <v>929</v>
      </c>
      <c r="DP2" t="s">
        <v>929</v>
      </c>
      <c r="DQ2" t="s">
        <v>929</v>
      </c>
      <c r="DR2" t="s">
        <v>929</v>
      </c>
      <c r="DS2" t="s">
        <v>929</v>
      </c>
      <c r="DT2" t="s">
        <v>929</v>
      </c>
      <c r="DU2" t="s">
        <v>929</v>
      </c>
      <c r="DV2" t="s">
        <v>929</v>
      </c>
      <c r="DW2" t="s">
        <v>929</v>
      </c>
      <c r="DX2" t="s">
        <v>929</v>
      </c>
      <c r="DY2" t="s">
        <v>929</v>
      </c>
      <c r="DZ2" t="s">
        <v>929</v>
      </c>
      <c r="EA2" t="s">
        <v>929</v>
      </c>
      <c r="EB2" t="s">
        <v>929</v>
      </c>
      <c r="EC2" t="s">
        <v>929</v>
      </c>
      <c r="ED2" t="s">
        <v>929</v>
      </c>
      <c r="EE2" t="s">
        <v>929</v>
      </c>
      <c r="EF2" t="s">
        <v>929</v>
      </c>
      <c r="EG2" t="s">
        <v>929</v>
      </c>
      <c r="EH2" t="s">
        <v>929</v>
      </c>
      <c r="EI2" t="s">
        <v>929</v>
      </c>
      <c r="EJ2" t="s">
        <v>929</v>
      </c>
      <c r="EK2" t="s">
        <v>929</v>
      </c>
      <c r="EL2" t="s">
        <v>929</v>
      </c>
      <c r="EM2" t="s">
        <v>929</v>
      </c>
      <c r="EN2" t="s">
        <v>929</v>
      </c>
      <c r="EO2" t="s">
        <v>929</v>
      </c>
      <c r="EP2" t="s">
        <v>929</v>
      </c>
      <c r="EQ2" t="s">
        <v>929</v>
      </c>
      <c r="ER2" t="s">
        <v>929</v>
      </c>
      <c r="ES2" t="s">
        <v>929</v>
      </c>
      <c r="ET2" t="s">
        <v>929</v>
      </c>
      <c r="EU2" t="s">
        <v>929</v>
      </c>
      <c r="EV2" t="s">
        <v>929</v>
      </c>
      <c r="EW2" t="s">
        <v>929</v>
      </c>
      <c r="EX2" t="s">
        <v>929</v>
      </c>
      <c r="EY2" t="s">
        <v>929</v>
      </c>
      <c r="EZ2" t="s">
        <v>929</v>
      </c>
      <c r="FA2" t="s">
        <v>929</v>
      </c>
      <c r="FB2" t="s">
        <v>929</v>
      </c>
      <c r="FC2" t="s">
        <v>929</v>
      </c>
      <c r="FD2" t="s">
        <v>929</v>
      </c>
      <c r="FE2" t="s">
        <v>929</v>
      </c>
      <c r="FF2" t="s">
        <v>929</v>
      </c>
    </row>
    <row r="3" spans="1:162" x14ac:dyDescent="0.25">
      <c r="A3" t="s">
        <v>929</v>
      </c>
      <c r="B3" t="s">
        <v>929</v>
      </c>
      <c r="C3" t="s">
        <v>929</v>
      </c>
      <c r="D3" t="s">
        <v>929</v>
      </c>
      <c r="E3" t="s">
        <v>929</v>
      </c>
      <c r="F3" t="s">
        <v>929</v>
      </c>
      <c r="G3" t="s">
        <v>929</v>
      </c>
      <c r="H3" t="s">
        <v>929</v>
      </c>
      <c r="I3" t="s">
        <v>929</v>
      </c>
      <c r="J3" t="s">
        <v>929</v>
      </c>
      <c r="K3" t="s">
        <v>929</v>
      </c>
      <c r="L3" t="s">
        <v>929</v>
      </c>
      <c r="M3" t="s">
        <v>929</v>
      </c>
      <c r="N3" t="s">
        <v>929</v>
      </c>
      <c r="O3" t="s">
        <v>929</v>
      </c>
      <c r="P3" t="s">
        <v>929</v>
      </c>
      <c r="Q3" t="s">
        <v>929</v>
      </c>
      <c r="R3" t="s">
        <v>929</v>
      </c>
      <c r="S3" t="s">
        <v>929</v>
      </c>
      <c r="T3" t="s">
        <v>929</v>
      </c>
      <c r="U3" t="s">
        <v>929</v>
      </c>
      <c r="V3" t="s">
        <v>929</v>
      </c>
      <c r="W3" t="s">
        <v>929</v>
      </c>
      <c r="X3" t="s">
        <v>929</v>
      </c>
      <c r="Y3" t="s">
        <v>929</v>
      </c>
      <c r="Z3" t="s">
        <v>929</v>
      </c>
      <c r="AA3" t="s">
        <v>929</v>
      </c>
      <c r="AB3" t="s">
        <v>929</v>
      </c>
      <c r="AC3" t="s">
        <v>929</v>
      </c>
      <c r="AD3" t="s">
        <v>929</v>
      </c>
      <c r="AE3" t="s">
        <v>929</v>
      </c>
      <c r="AF3" t="s">
        <v>929</v>
      </c>
      <c r="AG3" t="s">
        <v>929</v>
      </c>
      <c r="AH3" t="s">
        <v>929</v>
      </c>
      <c r="AI3" t="s">
        <v>929</v>
      </c>
      <c r="AJ3" t="s">
        <v>929</v>
      </c>
      <c r="AK3" t="s">
        <v>929</v>
      </c>
      <c r="AL3" t="s">
        <v>929</v>
      </c>
      <c r="AM3" t="s">
        <v>929</v>
      </c>
      <c r="AN3" t="s">
        <v>929</v>
      </c>
      <c r="AO3" t="s">
        <v>929</v>
      </c>
      <c r="AP3" t="s">
        <v>929</v>
      </c>
      <c r="AQ3" t="s">
        <v>929</v>
      </c>
      <c r="AR3" t="s">
        <v>929</v>
      </c>
      <c r="AS3" t="s">
        <v>929</v>
      </c>
      <c r="AT3" t="s">
        <v>929</v>
      </c>
      <c r="AU3" t="s">
        <v>929</v>
      </c>
      <c r="AV3" t="s">
        <v>929</v>
      </c>
      <c r="AW3" t="s">
        <v>929</v>
      </c>
      <c r="AX3" t="s">
        <v>929</v>
      </c>
      <c r="AY3" t="s">
        <v>929</v>
      </c>
      <c r="AZ3" t="s">
        <v>929</v>
      </c>
      <c r="BA3" t="s">
        <v>929</v>
      </c>
      <c r="BB3" t="s">
        <v>929</v>
      </c>
      <c r="BC3" t="s">
        <v>929</v>
      </c>
      <c r="BD3" t="s">
        <v>929</v>
      </c>
      <c r="BE3" t="s">
        <v>929</v>
      </c>
      <c r="BF3" t="s">
        <v>929</v>
      </c>
      <c r="BG3" t="s">
        <v>929</v>
      </c>
      <c r="BH3" t="s">
        <v>929</v>
      </c>
      <c r="BI3" t="s">
        <v>929</v>
      </c>
      <c r="BJ3" t="s">
        <v>929</v>
      </c>
      <c r="BK3" t="s">
        <v>929</v>
      </c>
      <c r="BL3" t="s">
        <v>929</v>
      </c>
      <c r="BM3" t="s">
        <v>929</v>
      </c>
      <c r="BN3" t="s">
        <v>929</v>
      </c>
      <c r="BO3" t="s">
        <v>929</v>
      </c>
      <c r="BP3" t="s">
        <v>929</v>
      </c>
      <c r="BQ3" t="s">
        <v>929</v>
      </c>
      <c r="BR3" t="s">
        <v>929</v>
      </c>
      <c r="BS3" t="s">
        <v>929</v>
      </c>
      <c r="BT3" t="s">
        <v>929</v>
      </c>
      <c r="BU3" t="s">
        <v>929</v>
      </c>
      <c r="BV3" t="s">
        <v>929</v>
      </c>
      <c r="BW3" t="s">
        <v>929</v>
      </c>
      <c r="BX3" t="s">
        <v>929</v>
      </c>
      <c r="BY3" t="s">
        <v>929</v>
      </c>
      <c r="BZ3" t="s">
        <v>929</v>
      </c>
      <c r="CA3" t="s">
        <v>929</v>
      </c>
      <c r="CB3" t="s">
        <v>929</v>
      </c>
      <c r="CC3" t="s">
        <v>929</v>
      </c>
      <c r="CD3" t="s">
        <v>929</v>
      </c>
      <c r="CE3" t="s">
        <v>929</v>
      </c>
      <c r="CF3" t="s">
        <v>929</v>
      </c>
      <c r="CG3" t="s">
        <v>929</v>
      </c>
      <c r="CH3" t="s">
        <v>929</v>
      </c>
      <c r="CI3" t="s">
        <v>929</v>
      </c>
      <c r="CJ3" t="s">
        <v>929</v>
      </c>
      <c r="CK3" t="s">
        <v>929</v>
      </c>
      <c r="CL3" t="s">
        <v>929</v>
      </c>
      <c r="CM3" t="s">
        <v>929</v>
      </c>
      <c r="CN3" t="s">
        <v>929</v>
      </c>
      <c r="CO3" t="s">
        <v>929</v>
      </c>
      <c r="CP3" t="s">
        <v>929</v>
      </c>
      <c r="CQ3" t="s">
        <v>929</v>
      </c>
      <c r="CR3" t="s">
        <v>929</v>
      </c>
      <c r="CS3" t="s">
        <v>929</v>
      </c>
      <c r="CT3" t="s">
        <v>929</v>
      </c>
      <c r="CU3" t="s">
        <v>929</v>
      </c>
      <c r="CV3" t="s">
        <v>929</v>
      </c>
      <c r="CW3" t="s">
        <v>929</v>
      </c>
      <c r="CX3" t="s">
        <v>929</v>
      </c>
      <c r="CY3" t="s">
        <v>929</v>
      </c>
      <c r="CZ3" t="s">
        <v>929</v>
      </c>
      <c r="DA3" t="s">
        <v>929</v>
      </c>
      <c r="DB3" t="s">
        <v>929</v>
      </c>
      <c r="DC3" t="s">
        <v>929</v>
      </c>
      <c r="DD3" t="s">
        <v>929</v>
      </c>
      <c r="DE3" t="s">
        <v>929</v>
      </c>
      <c r="DF3" t="s">
        <v>929</v>
      </c>
      <c r="DG3" t="s">
        <v>929</v>
      </c>
      <c r="DH3" t="s">
        <v>929</v>
      </c>
      <c r="DI3" t="s">
        <v>929</v>
      </c>
      <c r="DJ3" t="s">
        <v>929</v>
      </c>
      <c r="DM3" t="s">
        <v>929</v>
      </c>
      <c r="DN3" t="s">
        <v>929</v>
      </c>
      <c r="DO3" t="s">
        <v>929</v>
      </c>
      <c r="DP3" t="s">
        <v>929</v>
      </c>
      <c r="DQ3" t="s">
        <v>929</v>
      </c>
      <c r="DR3" t="s">
        <v>929</v>
      </c>
      <c r="DS3" t="s">
        <v>929</v>
      </c>
      <c r="DT3" t="s">
        <v>929</v>
      </c>
      <c r="DU3" t="s">
        <v>929</v>
      </c>
      <c r="DV3" t="s">
        <v>929</v>
      </c>
      <c r="DW3" t="s">
        <v>929</v>
      </c>
      <c r="DX3" t="s">
        <v>929</v>
      </c>
      <c r="DY3" t="s">
        <v>929</v>
      </c>
      <c r="DZ3" t="s">
        <v>929</v>
      </c>
      <c r="EA3" t="s">
        <v>929</v>
      </c>
      <c r="EB3" t="s">
        <v>929</v>
      </c>
      <c r="EC3" t="s">
        <v>929</v>
      </c>
      <c r="ED3" t="s">
        <v>929</v>
      </c>
      <c r="EE3" t="s">
        <v>929</v>
      </c>
      <c r="EF3" t="s">
        <v>929</v>
      </c>
      <c r="EG3" t="s">
        <v>929</v>
      </c>
      <c r="EH3" t="s">
        <v>929</v>
      </c>
      <c r="EI3" t="s">
        <v>929</v>
      </c>
      <c r="EJ3" t="s">
        <v>929</v>
      </c>
      <c r="EK3" t="s">
        <v>929</v>
      </c>
      <c r="EL3" t="s">
        <v>929</v>
      </c>
      <c r="EM3" t="s">
        <v>929</v>
      </c>
      <c r="EN3" t="s">
        <v>929</v>
      </c>
      <c r="EO3" t="s">
        <v>929</v>
      </c>
      <c r="EP3" t="s">
        <v>929</v>
      </c>
      <c r="EQ3" t="s">
        <v>929</v>
      </c>
      <c r="ER3" t="s">
        <v>929</v>
      </c>
      <c r="ES3" t="s">
        <v>929</v>
      </c>
      <c r="ET3" t="s">
        <v>929</v>
      </c>
      <c r="EU3" t="s">
        <v>929</v>
      </c>
      <c r="EV3" t="s">
        <v>929</v>
      </c>
      <c r="EW3" t="s">
        <v>929</v>
      </c>
      <c r="EX3" t="s">
        <v>929</v>
      </c>
      <c r="EY3" t="s">
        <v>929</v>
      </c>
      <c r="EZ3" t="s">
        <v>929</v>
      </c>
      <c r="FA3" t="s">
        <v>929</v>
      </c>
      <c r="FB3" t="s">
        <v>929</v>
      </c>
      <c r="FC3" t="s">
        <v>929</v>
      </c>
      <c r="FD3" t="s">
        <v>929</v>
      </c>
      <c r="FE3" t="s">
        <v>929</v>
      </c>
      <c r="FF3" t="s">
        <v>929</v>
      </c>
    </row>
    <row r="4" spans="1:162" x14ac:dyDescent="0.25">
      <c r="A4" t="s">
        <v>930</v>
      </c>
      <c r="B4" t="s">
        <v>931</v>
      </c>
      <c r="C4" t="s">
        <v>932</v>
      </c>
      <c r="D4" t="s">
        <v>929</v>
      </c>
      <c r="E4" t="s">
        <v>929</v>
      </c>
      <c r="F4" t="s">
        <v>929</v>
      </c>
      <c r="G4" t="s">
        <v>929</v>
      </c>
      <c r="H4" t="s">
        <v>929</v>
      </c>
      <c r="I4" t="s">
        <v>929</v>
      </c>
      <c r="J4" t="s">
        <v>929</v>
      </c>
      <c r="K4" t="s">
        <v>929</v>
      </c>
      <c r="L4" t="s">
        <v>929</v>
      </c>
      <c r="M4" t="s">
        <v>929</v>
      </c>
      <c r="N4" t="s">
        <v>929</v>
      </c>
      <c r="O4" t="s">
        <v>929</v>
      </c>
      <c r="P4" t="s">
        <v>929</v>
      </c>
      <c r="Q4" t="s">
        <v>929</v>
      </c>
      <c r="R4" t="s">
        <v>929</v>
      </c>
      <c r="S4" t="s">
        <v>929</v>
      </c>
      <c r="T4" t="s">
        <v>929</v>
      </c>
      <c r="U4" t="s">
        <v>929</v>
      </c>
      <c r="V4" t="s">
        <v>929</v>
      </c>
      <c r="W4" t="s">
        <v>929</v>
      </c>
      <c r="X4" t="s">
        <v>929</v>
      </c>
      <c r="Y4" t="s">
        <v>929</v>
      </c>
      <c r="Z4" t="s">
        <v>929</v>
      </c>
      <c r="AA4" t="s">
        <v>929</v>
      </c>
      <c r="AB4" t="s">
        <v>929</v>
      </c>
      <c r="AC4" t="s">
        <v>929</v>
      </c>
      <c r="AD4" t="s">
        <v>929</v>
      </c>
      <c r="AE4" t="s">
        <v>929</v>
      </c>
      <c r="AF4" t="s">
        <v>929</v>
      </c>
      <c r="AG4" t="s">
        <v>929</v>
      </c>
      <c r="AH4" t="s">
        <v>929</v>
      </c>
      <c r="AI4" t="s">
        <v>929</v>
      </c>
      <c r="AJ4" t="s">
        <v>929</v>
      </c>
      <c r="AK4" t="s">
        <v>929</v>
      </c>
      <c r="AL4" t="s">
        <v>929</v>
      </c>
      <c r="AM4" t="s">
        <v>929</v>
      </c>
      <c r="AN4" t="s">
        <v>929</v>
      </c>
      <c r="AO4" t="s">
        <v>929</v>
      </c>
      <c r="AP4" t="s">
        <v>929</v>
      </c>
      <c r="AQ4" t="s">
        <v>929</v>
      </c>
      <c r="AR4" t="s">
        <v>929</v>
      </c>
      <c r="AS4" t="s">
        <v>929</v>
      </c>
      <c r="AT4" t="s">
        <v>929</v>
      </c>
      <c r="AU4" t="s">
        <v>929</v>
      </c>
      <c r="AV4" t="s">
        <v>929</v>
      </c>
      <c r="AW4" t="s">
        <v>929</v>
      </c>
      <c r="AX4" t="s">
        <v>929</v>
      </c>
      <c r="AY4" t="s">
        <v>929</v>
      </c>
      <c r="AZ4" t="s">
        <v>929</v>
      </c>
      <c r="BA4" t="s">
        <v>929</v>
      </c>
      <c r="BB4" t="s">
        <v>929</v>
      </c>
      <c r="BC4" t="s">
        <v>929</v>
      </c>
      <c r="BD4" t="s">
        <v>929</v>
      </c>
      <c r="BE4" t="s">
        <v>929</v>
      </c>
      <c r="BF4" t="s">
        <v>929</v>
      </c>
      <c r="BG4" t="s">
        <v>929</v>
      </c>
      <c r="BH4" t="s">
        <v>929</v>
      </c>
      <c r="BI4" t="s">
        <v>929</v>
      </c>
      <c r="BJ4" t="s">
        <v>929</v>
      </c>
      <c r="BK4" t="s">
        <v>929</v>
      </c>
      <c r="BL4" t="s">
        <v>929</v>
      </c>
      <c r="BM4" t="s">
        <v>929</v>
      </c>
      <c r="BN4" t="s">
        <v>929</v>
      </c>
      <c r="BO4" t="s">
        <v>929</v>
      </c>
      <c r="BP4" t="s">
        <v>929</v>
      </c>
      <c r="BQ4" t="s">
        <v>929</v>
      </c>
      <c r="BR4" t="s">
        <v>929</v>
      </c>
      <c r="BS4" t="s">
        <v>929</v>
      </c>
      <c r="BT4" t="s">
        <v>929</v>
      </c>
      <c r="BU4" t="s">
        <v>929</v>
      </c>
      <c r="BV4" t="s">
        <v>929</v>
      </c>
      <c r="BW4" t="s">
        <v>929</v>
      </c>
      <c r="BX4" t="s">
        <v>929</v>
      </c>
      <c r="BY4" t="s">
        <v>929</v>
      </c>
      <c r="BZ4" t="s">
        <v>929</v>
      </c>
      <c r="CA4" t="s">
        <v>929</v>
      </c>
      <c r="CB4" t="s">
        <v>929</v>
      </c>
      <c r="CC4" t="s">
        <v>929</v>
      </c>
      <c r="CD4" t="s">
        <v>929</v>
      </c>
      <c r="CE4" t="s">
        <v>929</v>
      </c>
      <c r="CF4" t="s">
        <v>929</v>
      </c>
      <c r="CG4" t="s">
        <v>929</v>
      </c>
      <c r="CH4" t="s">
        <v>929</v>
      </c>
      <c r="CI4" t="s">
        <v>929</v>
      </c>
      <c r="CJ4" t="s">
        <v>929</v>
      </c>
      <c r="CK4" t="s">
        <v>929</v>
      </c>
      <c r="CL4" t="s">
        <v>929</v>
      </c>
      <c r="CM4" t="s">
        <v>929</v>
      </c>
      <c r="CN4" t="s">
        <v>929</v>
      </c>
      <c r="CO4" t="s">
        <v>929</v>
      </c>
      <c r="CP4" t="s">
        <v>929</v>
      </c>
      <c r="CQ4" t="s">
        <v>929</v>
      </c>
      <c r="CR4" t="s">
        <v>929</v>
      </c>
      <c r="CS4" t="s">
        <v>929</v>
      </c>
      <c r="CT4" t="s">
        <v>929</v>
      </c>
      <c r="CU4" t="s">
        <v>929</v>
      </c>
      <c r="CV4" t="s">
        <v>929</v>
      </c>
      <c r="CW4" t="s">
        <v>929</v>
      </c>
      <c r="CX4" t="s">
        <v>929</v>
      </c>
      <c r="CY4" t="s">
        <v>929</v>
      </c>
      <c r="CZ4" t="s">
        <v>929</v>
      </c>
      <c r="DA4" t="s">
        <v>929</v>
      </c>
      <c r="DB4" t="s">
        <v>929</v>
      </c>
      <c r="DC4" t="s">
        <v>929</v>
      </c>
      <c r="DD4" t="s">
        <v>929</v>
      </c>
      <c r="DE4" t="s">
        <v>929</v>
      </c>
      <c r="DF4" t="s">
        <v>929</v>
      </c>
      <c r="DG4" t="s">
        <v>929</v>
      </c>
      <c r="DH4" t="s">
        <v>929</v>
      </c>
      <c r="DI4" t="s">
        <v>929</v>
      </c>
      <c r="DJ4" t="s">
        <v>929</v>
      </c>
      <c r="DM4" t="s">
        <v>929</v>
      </c>
      <c r="DN4" t="s">
        <v>929</v>
      </c>
      <c r="DO4" t="s">
        <v>929</v>
      </c>
      <c r="DP4" t="s">
        <v>929</v>
      </c>
      <c r="DQ4" t="s">
        <v>929</v>
      </c>
      <c r="DR4" t="s">
        <v>929</v>
      </c>
      <c r="DS4" t="s">
        <v>929</v>
      </c>
      <c r="DT4" t="s">
        <v>929</v>
      </c>
      <c r="DU4" t="s">
        <v>929</v>
      </c>
      <c r="DV4" t="s">
        <v>929</v>
      </c>
      <c r="DW4" t="s">
        <v>929</v>
      </c>
      <c r="DX4" t="s">
        <v>929</v>
      </c>
      <c r="DY4" t="s">
        <v>929</v>
      </c>
      <c r="DZ4" t="s">
        <v>929</v>
      </c>
      <c r="EA4" t="s">
        <v>929</v>
      </c>
      <c r="EB4" t="s">
        <v>929</v>
      </c>
      <c r="EC4" t="s">
        <v>929</v>
      </c>
      <c r="ED4" t="s">
        <v>929</v>
      </c>
      <c r="EE4" t="s">
        <v>929</v>
      </c>
      <c r="EF4" t="s">
        <v>929</v>
      </c>
      <c r="EG4" t="s">
        <v>929</v>
      </c>
      <c r="EH4" t="s">
        <v>929</v>
      </c>
      <c r="EI4" t="s">
        <v>929</v>
      </c>
      <c r="EJ4" t="s">
        <v>929</v>
      </c>
      <c r="EK4" t="s">
        <v>929</v>
      </c>
      <c r="EL4" t="s">
        <v>929</v>
      </c>
      <c r="EM4" t="s">
        <v>929</v>
      </c>
      <c r="EN4" t="s">
        <v>929</v>
      </c>
      <c r="EO4" t="s">
        <v>929</v>
      </c>
      <c r="EP4" t="s">
        <v>929</v>
      </c>
      <c r="EQ4" t="s">
        <v>929</v>
      </c>
      <c r="ER4" t="s">
        <v>929</v>
      </c>
      <c r="ES4" t="s">
        <v>929</v>
      </c>
      <c r="ET4" t="s">
        <v>929</v>
      </c>
      <c r="EU4" t="s">
        <v>929</v>
      </c>
      <c r="EV4" t="s">
        <v>929</v>
      </c>
      <c r="EW4" t="s">
        <v>929</v>
      </c>
      <c r="EX4" t="s">
        <v>929</v>
      </c>
      <c r="EY4" t="s">
        <v>929</v>
      </c>
      <c r="EZ4" t="s">
        <v>929</v>
      </c>
      <c r="FA4" t="s">
        <v>929</v>
      </c>
      <c r="FB4" t="s">
        <v>929</v>
      </c>
      <c r="FC4" t="s">
        <v>929</v>
      </c>
      <c r="FD4" t="s">
        <v>929</v>
      </c>
      <c r="FE4" t="s">
        <v>929</v>
      </c>
      <c r="FF4" t="s">
        <v>929</v>
      </c>
    </row>
    <row r="5" spans="1:162" x14ac:dyDescent="0.25">
      <c r="A5" t="s">
        <v>929</v>
      </c>
      <c r="B5" t="s">
        <v>929</v>
      </c>
      <c r="C5" t="s">
        <v>929</v>
      </c>
      <c r="D5" t="s">
        <v>929</v>
      </c>
      <c r="E5" t="s">
        <v>929</v>
      </c>
      <c r="F5" t="s">
        <v>929</v>
      </c>
      <c r="G5" t="s">
        <v>929</v>
      </c>
      <c r="H5" t="s">
        <v>929</v>
      </c>
      <c r="I5" t="s">
        <v>929</v>
      </c>
      <c r="J5" t="s">
        <v>929</v>
      </c>
      <c r="K5" t="s">
        <v>929</v>
      </c>
      <c r="L5" t="s">
        <v>929</v>
      </c>
      <c r="M5" t="s">
        <v>929</v>
      </c>
      <c r="N5" t="s">
        <v>929</v>
      </c>
      <c r="O5" t="s">
        <v>929</v>
      </c>
      <c r="P5" t="s">
        <v>929</v>
      </c>
      <c r="Q5" t="s">
        <v>929</v>
      </c>
      <c r="R5" t="s">
        <v>929</v>
      </c>
      <c r="S5" t="s">
        <v>929</v>
      </c>
      <c r="T5" t="s">
        <v>929</v>
      </c>
      <c r="U5" t="s">
        <v>929</v>
      </c>
      <c r="V5" t="s">
        <v>929</v>
      </c>
      <c r="W5" t="s">
        <v>929</v>
      </c>
      <c r="X5" t="s">
        <v>929</v>
      </c>
      <c r="Y5" t="s">
        <v>929</v>
      </c>
      <c r="Z5" t="s">
        <v>929</v>
      </c>
      <c r="AA5" t="s">
        <v>929</v>
      </c>
      <c r="AB5" t="s">
        <v>929</v>
      </c>
      <c r="AC5" t="s">
        <v>929</v>
      </c>
      <c r="AD5" t="s">
        <v>929</v>
      </c>
      <c r="AE5" t="s">
        <v>929</v>
      </c>
      <c r="AF5" t="s">
        <v>929</v>
      </c>
      <c r="AG5" t="s">
        <v>929</v>
      </c>
      <c r="AH5" t="s">
        <v>929</v>
      </c>
      <c r="AI5" t="s">
        <v>929</v>
      </c>
      <c r="AJ5" t="s">
        <v>929</v>
      </c>
      <c r="AK5" t="s">
        <v>929</v>
      </c>
      <c r="AL5" t="s">
        <v>929</v>
      </c>
      <c r="AM5" t="s">
        <v>929</v>
      </c>
      <c r="AN5" t="s">
        <v>929</v>
      </c>
      <c r="AO5" t="s">
        <v>929</v>
      </c>
      <c r="AP5" t="s">
        <v>929</v>
      </c>
      <c r="AQ5" t="s">
        <v>929</v>
      </c>
      <c r="AR5" t="s">
        <v>929</v>
      </c>
      <c r="AS5" t="s">
        <v>929</v>
      </c>
      <c r="AT5" t="s">
        <v>929</v>
      </c>
      <c r="AU5" t="s">
        <v>929</v>
      </c>
      <c r="AV5" t="s">
        <v>929</v>
      </c>
      <c r="AW5" t="s">
        <v>929</v>
      </c>
      <c r="AX5" t="s">
        <v>929</v>
      </c>
      <c r="AY5" t="s">
        <v>929</v>
      </c>
      <c r="AZ5" t="s">
        <v>929</v>
      </c>
      <c r="BA5" t="s">
        <v>929</v>
      </c>
      <c r="BB5" t="s">
        <v>929</v>
      </c>
      <c r="BC5" t="s">
        <v>929</v>
      </c>
      <c r="BD5" t="s">
        <v>929</v>
      </c>
      <c r="BE5" t="s">
        <v>929</v>
      </c>
      <c r="BF5" t="s">
        <v>929</v>
      </c>
      <c r="BG5" t="s">
        <v>929</v>
      </c>
      <c r="BH5" t="s">
        <v>929</v>
      </c>
      <c r="BI5" t="s">
        <v>929</v>
      </c>
      <c r="BJ5" t="s">
        <v>929</v>
      </c>
      <c r="BK5" t="s">
        <v>929</v>
      </c>
      <c r="BL5" t="s">
        <v>929</v>
      </c>
      <c r="BM5" t="s">
        <v>929</v>
      </c>
      <c r="BN5" t="s">
        <v>929</v>
      </c>
      <c r="BO5" t="s">
        <v>929</v>
      </c>
      <c r="BP5" t="s">
        <v>929</v>
      </c>
      <c r="BQ5" t="s">
        <v>929</v>
      </c>
      <c r="BR5" t="s">
        <v>929</v>
      </c>
      <c r="BS5" t="s">
        <v>929</v>
      </c>
      <c r="BT5" t="s">
        <v>929</v>
      </c>
      <c r="BU5" t="s">
        <v>929</v>
      </c>
      <c r="BV5" t="s">
        <v>929</v>
      </c>
      <c r="BW5" t="s">
        <v>929</v>
      </c>
      <c r="BX5" t="s">
        <v>929</v>
      </c>
      <c r="BY5" t="s">
        <v>929</v>
      </c>
      <c r="BZ5" t="s">
        <v>929</v>
      </c>
      <c r="CA5" t="s">
        <v>929</v>
      </c>
      <c r="CB5" t="s">
        <v>929</v>
      </c>
      <c r="CC5" t="s">
        <v>929</v>
      </c>
      <c r="CD5" t="s">
        <v>929</v>
      </c>
      <c r="CE5" t="s">
        <v>929</v>
      </c>
      <c r="CF5" t="s">
        <v>929</v>
      </c>
      <c r="CG5" t="s">
        <v>929</v>
      </c>
      <c r="CH5" t="s">
        <v>929</v>
      </c>
      <c r="CI5" t="s">
        <v>929</v>
      </c>
      <c r="CJ5" t="s">
        <v>929</v>
      </c>
      <c r="CK5" t="s">
        <v>929</v>
      </c>
      <c r="CL5" t="s">
        <v>929</v>
      </c>
      <c r="CM5" t="s">
        <v>929</v>
      </c>
      <c r="CN5" t="s">
        <v>929</v>
      </c>
      <c r="CO5" t="s">
        <v>929</v>
      </c>
      <c r="CP5" t="s">
        <v>929</v>
      </c>
      <c r="CQ5" t="s">
        <v>929</v>
      </c>
      <c r="CR5" t="s">
        <v>929</v>
      </c>
      <c r="CS5" t="s">
        <v>929</v>
      </c>
      <c r="CT5" t="s">
        <v>929</v>
      </c>
      <c r="CU5" t="s">
        <v>929</v>
      </c>
      <c r="CV5" t="s">
        <v>929</v>
      </c>
      <c r="CW5" t="s">
        <v>929</v>
      </c>
      <c r="CX5" t="s">
        <v>929</v>
      </c>
      <c r="CY5" t="s">
        <v>929</v>
      </c>
      <c r="CZ5" t="s">
        <v>929</v>
      </c>
      <c r="DA5" t="s">
        <v>929</v>
      </c>
      <c r="DB5" t="s">
        <v>929</v>
      </c>
      <c r="DC5" t="s">
        <v>929</v>
      </c>
      <c r="DD5" t="s">
        <v>929</v>
      </c>
      <c r="DE5" t="s">
        <v>929</v>
      </c>
      <c r="DF5" t="s">
        <v>929</v>
      </c>
      <c r="DG5" t="s">
        <v>929</v>
      </c>
      <c r="DH5" t="s">
        <v>929</v>
      </c>
      <c r="DI5" t="s">
        <v>929</v>
      </c>
      <c r="DJ5" t="s">
        <v>929</v>
      </c>
      <c r="DM5" t="s">
        <v>929</v>
      </c>
      <c r="DN5" t="s">
        <v>929</v>
      </c>
      <c r="DO5" t="s">
        <v>929</v>
      </c>
      <c r="DP5" t="s">
        <v>929</v>
      </c>
      <c r="DQ5" t="s">
        <v>929</v>
      </c>
      <c r="DR5" t="s">
        <v>929</v>
      </c>
      <c r="DS5" t="s">
        <v>929</v>
      </c>
      <c r="DT5" t="s">
        <v>929</v>
      </c>
      <c r="DU5" t="s">
        <v>929</v>
      </c>
      <c r="DV5" t="s">
        <v>929</v>
      </c>
      <c r="DW5" t="s">
        <v>929</v>
      </c>
      <c r="DX5" t="s">
        <v>929</v>
      </c>
      <c r="DY5" t="s">
        <v>929</v>
      </c>
      <c r="DZ5" t="s">
        <v>929</v>
      </c>
      <c r="EA5" t="s">
        <v>929</v>
      </c>
      <c r="EB5" t="s">
        <v>929</v>
      </c>
      <c r="EC5" t="s">
        <v>929</v>
      </c>
      <c r="ED5" t="s">
        <v>929</v>
      </c>
      <c r="EE5" t="s">
        <v>929</v>
      </c>
      <c r="EF5" t="s">
        <v>929</v>
      </c>
      <c r="EG5" t="s">
        <v>929</v>
      </c>
      <c r="EH5" t="s">
        <v>929</v>
      </c>
      <c r="EI5" t="s">
        <v>929</v>
      </c>
      <c r="EJ5" t="s">
        <v>929</v>
      </c>
      <c r="EK5" t="s">
        <v>929</v>
      </c>
      <c r="EL5" t="s">
        <v>929</v>
      </c>
      <c r="EM5" t="s">
        <v>929</v>
      </c>
      <c r="EN5" t="s">
        <v>929</v>
      </c>
      <c r="EO5" t="s">
        <v>929</v>
      </c>
      <c r="EP5" t="s">
        <v>929</v>
      </c>
      <c r="EQ5" t="s">
        <v>929</v>
      </c>
      <c r="ER5" t="s">
        <v>929</v>
      </c>
      <c r="ES5" t="s">
        <v>929</v>
      </c>
      <c r="ET5" t="s">
        <v>929</v>
      </c>
      <c r="EU5" t="s">
        <v>929</v>
      </c>
      <c r="EV5" t="s">
        <v>929</v>
      </c>
      <c r="EW5" t="s">
        <v>929</v>
      </c>
      <c r="EX5" t="s">
        <v>929</v>
      </c>
      <c r="EY5" t="s">
        <v>929</v>
      </c>
      <c r="EZ5" t="s">
        <v>929</v>
      </c>
      <c r="FA5" t="s">
        <v>929</v>
      </c>
      <c r="FB5" t="s">
        <v>929</v>
      </c>
      <c r="FC5" t="s">
        <v>929</v>
      </c>
      <c r="FD5" t="s">
        <v>929</v>
      </c>
      <c r="FE5" t="s">
        <v>929</v>
      </c>
      <c r="FF5" t="s">
        <v>929</v>
      </c>
    </row>
    <row r="6" spans="1:162" x14ac:dyDescent="0.25">
      <c r="A6" t="s">
        <v>933</v>
      </c>
      <c r="B6" t="s">
        <v>934</v>
      </c>
      <c r="C6" t="s">
        <v>935</v>
      </c>
      <c r="D6" t="s">
        <v>929</v>
      </c>
      <c r="E6" t="s">
        <v>929</v>
      </c>
      <c r="F6" t="s">
        <v>929</v>
      </c>
      <c r="G6" t="s">
        <v>929</v>
      </c>
      <c r="H6" t="s">
        <v>929</v>
      </c>
      <c r="I6" t="s">
        <v>929</v>
      </c>
      <c r="J6" t="s">
        <v>929</v>
      </c>
      <c r="K6" t="s">
        <v>929</v>
      </c>
      <c r="L6" t="s">
        <v>929</v>
      </c>
      <c r="M6" t="s">
        <v>929</v>
      </c>
      <c r="N6" t="s">
        <v>929</v>
      </c>
      <c r="O6" t="s">
        <v>929</v>
      </c>
      <c r="P6" t="s">
        <v>929</v>
      </c>
      <c r="Q6" t="s">
        <v>929</v>
      </c>
      <c r="R6" t="s">
        <v>929</v>
      </c>
      <c r="S6" t="s">
        <v>929</v>
      </c>
      <c r="T6" t="s">
        <v>929</v>
      </c>
      <c r="U6" t="s">
        <v>929</v>
      </c>
      <c r="V6" t="s">
        <v>929</v>
      </c>
      <c r="W6" t="s">
        <v>929</v>
      </c>
      <c r="X6" t="s">
        <v>929</v>
      </c>
      <c r="Y6" t="s">
        <v>929</v>
      </c>
      <c r="Z6" t="s">
        <v>929</v>
      </c>
      <c r="AA6" t="s">
        <v>929</v>
      </c>
      <c r="AB6" t="s">
        <v>929</v>
      </c>
      <c r="AC6" t="s">
        <v>929</v>
      </c>
      <c r="AD6" t="s">
        <v>929</v>
      </c>
      <c r="AE6" t="s">
        <v>929</v>
      </c>
      <c r="AF6" t="s">
        <v>929</v>
      </c>
      <c r="AG6" t="s">
        <v>929</v>
      </c>
      <c r="AH6" t="s">
        <v>929</v>
      </c>
      <c r="AI6" t="s">
        <v>929</v>
      </c>
      <c r="AJ6" t="s">
        <v>929</v>
      </c>
      <c r="AK6" t="s">
        <v>929</v>
      </c>
      <c r="AL6" t="s">
        <v>929</v>
      </c>
      <c r="AM6" t="s">
        <v>929</v>
      </c>
      <c r="AN6" t="s">
        <v>929</v>
      </c>
      <c r="AO6" t="s">
        <v>929</v>
      </c>
      <c r="AP6" t="s">
        <v>929</v>
      </c>
      <c r="AQ6" t="s">
        <v>929</v>
      </c>
      <c r="AR6" t="s">
        <v>929</v>
      </c>
      <c r="AS6" t="s">
        <v>929</v>
      </c>
      <c r="AT6" t="s">
        <v>929</v>
      </c>
      <c r="AU6" t="s">
        <v>929</v>
      </c>
      <c r="AV6" t="s">
        <v>929</v>
      </c>
      <c r="AW6" t="s">
        <v>929</v>
      </c>
      <c r="AX6" t="s">
        <v>929</v>
      </c>
      <c r="AY6" t="s">
        <v>929</v>
      </c>
      <c r="AZ6" t="s">
        <v>929</v>
      </c>
      <c r="BA6" t="s">
        <v>929</v>
      </c>
      <c r="BB6" t="s">
        <v>929</v>
      </c>
      <c r="BC6" t="s">
        <v>929</v>
      </c>
      <c r="BD6" t="s">
        <v>929</v>
      </c>
      <c r="BE6" t="s">
        <v>929</v>
      </c>
      <c r="BF6" t="s">
        <v>929</v>
      </c>
      <c r="BG6" t="s">
        <v>929</v>
      </c>
      <c r="BH6" t="s">
        <v>929</v>
      </c>
      <c r="BI6" t="s">
        <v>929</v>
      </c>
      <c r="BJ6" t="s">
        <v>929</v>
      </c>
      <c r="BK6" t="s">
        <v>929</v>
      </c>
      <c r="BL6" t="s">
        <v>929</v>
      </c>
      <c r="BM6" t="s">
        <v>929</v>
      </c>
      <c r="BN6" t="s">
        <v>929</v>
      </c>
      <c r="BO6" t="s">
        <v>929</v>
      </c>
      <c r="BP6" t="s">
        <v>929</v>
      </c>
      <c r="BQ6" t="s">
        <v>929</v>
      </c>
      <c r="BR6" t="s">
        <v>929</v>
      </c>
      <c r="BS6" t="s">
        <v>929</v>
      </c>
      <c r="BT6" t="s">
        <v>929</v>
      </c>
      <c r="BU6" t="s">
        <v>929</v>
      </c>
      <c r="BV6" t="s">
        <v>929</v>
      </c>
      <c r="BW6" t="s">
        <v>929</v>
      </c>
      <c r="BX6" t="s">
        <v>929</v>
      </c>
      <c r="BY6" t="s">
        <v>929</v>
      </c>
      <c r="BZ6" t="s">
        <v>929</v>
      </c>
      <c r="CA6" t="s">
        <v>929</v>
      </c>
      <c r="CB6" t="s">
        <v>929</v>
      </c>
      <c r="CC6" t="s">
        <v>929</v>
      </c>
      <c r="CD6" t="s">
        <v>929</v>
      </c>
      <c r="CE6" t="s">
        <v>929</v>
      </c>
      <c r="CF6" t="s">
        <v>929</v>
      </c>
      <c r="CG6" t="s">
        <v>929</v>
      </c>
      <c r="CH6" t="s">
        <v>929</v>
      </c>
      <c r="CI6" t="s">
        <v>929</v>
      </c>
      <c r="CJ6" t="s">
        <v>929</v>
      </c>
      <c r="CK6" t="s">
        <v>929</v>
      </c>
      <c r="CL6" t="s">
        <v>929</v>
      </c>
      <c r="CM6" t="s">
        <v>929</v>
      </c>
      <c r="CN6" t="s">
        <v>929</v>
      </c>
      <c r="CO6" t="s">
        <v>929</v>
      </c>
      <c r="CP6" t="s">
        <v>929</v>
      </c>
      <c r="CQ6" t="s">
        <v>929</v>
      </c>
      <c r="CR6" t="s">
        <v>929</v>
      </c>
      <c r="CS6" t="s">
        <v>929</v>
      </c>
      <c r="CT6" t="s">
        <v>929</v>
      </c>
      <c r="CU6" t="s">
        <v>929</v>
      </c>
      <c r="CV6" t="s">
        <v>929</v>
      </c>
      <c r="CW6" t="s">
        <v>929</v>
      </c>
      <c r="CX6" t="s">
        <v>929</v>
      </c>
      <c r="CY6" t="s">
        <v>929</v>
      </c>
      <c r="CZ6" t="s">
        <v>929</v>
      </c>
      <c r="DA6" t="s">
        <v>929</v>
      </c>
      <c r="DB6" t="s">
        <v>929</v>
      </c>
      <c r="DC6" t="s">
        <v>929</v>
      </c>
      <c r="DD6" t="s">
        <v>929</v>
      </c>
      <c r="DE6" t="s">
        <v>929</v>
      </c>
      <c r="DF6" t="s">
        <v>929</v>
      </c>
      <c r="DG6" t="s">
        <v>929</v>
      </c>
      <c r="DH6" t="s">
        <v>929</v>
      </c>
      <c r="DI6" t="s">
        <v>929</v>
      </c>
      <c r="DJ6" t="s">
        <v>929</v>
      </c>
      <c r="DM6" t="s">
        <v>929</v>
      </c>
      <c r="DN6" t="s">
        <v>929</v>
      </c>
      <c r="DO6" t="s">
        <v>929</v>
      </c>
      <c r="DP6" t="s">
        <v>929</v>
      </c>
      <c r="DQ6" t="s">
        <v>929</v>
      </c>
      <c r="DR6" t="s">
        <v>929</v>
      </c>
      <c r="DS6" t="s">
        <v>929</v>
      </c>
      <c r="DT6" t="s">
        <v>929</v>
      </c>
      <c r="DU6" t="s">
        <v>929</v>
      </c>
      <c r="DV6" t="s">
        <v>929</v>
      </c>
      <c r="DW6" t="s">
        <v>929</v>
      </c>
      <c r="DX6" t="s">
        <v>929</v>
      </c>
      <c r="DY6" t="s">
        <v>929</v>
      </c>
      <c r="DZ6" t="s">
        <v>929</v>
      </c>
      <c r="EA6" t="s">
        <v>929</v>
      </c>
      <c r="EB6" t="s">
        <v>929</v>
      </c>
      <c r="EC6" t="s">
        <v>929</v>
      </c>
      <c r="ED6" t="s">
        <v>929</v>
      </c>
      <c r="EE6" t="s">
        <v>929</v>
      </c>
      <c r="EF6" t="s">
        <v>929</v>
      </c>
      <c r="EG6" t="s">
        <v>929</v>
      </c>
      <c r="EH6" t="s">
        <v>929</v>
      </c>
      <c r="EI6" t="s">
        <v>929</v>
      </c>
      <c r="EJ6" t="s">
        <v>929</v>
      </c>
      <c r="EK6" t="s">
        <v>929</v>
      </c>
      <c r="EL6" t="s">
        <v>929</v>
      </c>
      <c r="EM6" t="s">
        <v>929</v>
      </c>
      <c r="EN6" t="s">
        <v>929</v>
      </c>
      <c r="EO6" t="s">
        <v>929</v>
      </c>
      <c r="EP6" t="s">
        <v>929</v>
      </c>
      <c r="EQ6" t="s">
        <v>929</v>
      </c>
      <c r="ER6" t="s">
        <v>929</v>
      </c>
      <c r="ES6" t="s">
        <v>929</v>
      </c>
      <c r="ET6" t="s">
        <v>929</v>
      </c>
      <c r="EU6" t="s">
        <v>929</v>
      </c>
      <c r="EV6" t="s">
        <v>929</v>
      </c>
      <c r="EW6" t="s">
        <v>929</v>
      </c>
      <c r="EX6" t="s">
        <v>929</v>
      </c>
      <c r="EY6" t="s">
        <v>929</v>
      </c>
      <c r="EZ6" t="s">
        <v>929</v>
      </c>
      <c r="FA6" t="s">
        <v>929</v>
      </c>
      <c r="FB6" t="s">
        <v>929</v>
      </c>
      <c r="FC6" t="s">
        <v>929</v>
      </c>
      <c r="FD6" t="s">
        <v>929</v>
      </c>
      <c r="FE6" t="s">
        <v>929</v>
      </c>
      <c r="FF6" t="s">
        <v>929</v>
      </c>
    </row>
    <row r="7" spans="1:162" x14ac:dyDescent="0.25">
      <c r="A7" t="s">
        <v>929</v>
      </c>
      <c r="B7" t="s">
        <v>929</v>
      </c>
      <c r="C7" t="s">
        <v>929</v>
      </c>
      <c r="D7" t="s">
        <v>929</v>
      </c>
      <c r="E7" t="s">
        <v>929</v>
      </c>
      <c r="F7" t="s">
        <v>929</v>
      </c>
      <c r="G7" t="s">
        <v>929</v>
      </c>
      <c r="H7" t="s">
        <v>929</v>
      </c>
      <c r="I7" t="s">
        <v>929</v>
      </c>
      <c r="J7" t="s">
        <v>929</v>
      </c>
      <c r="K7" t="s">
        <v>929</v>
      </c>
      <c r="L7" t="s">
        <v>929</v>
      </c>
      <c r="M7" t="s">
        <v>929</v>
      </c>
      <c r="N7" t="s">
        <v>929</v>
      </c>
      <c r="O7" t="s">
        <v>929</v>
      </c>
      <c r="P7" t="s">
        <v>929</v>
      </c>
      <c r="Q7" t="s">
        <v>929</v>
      </c>
      <c r="R7" t="s">
        <v>929</v>
      </c>
      <c r="S7" t="s">
        <v>929</v>
      </c>
      <c r="T7" t="s">
        <v>929</v>
      </c>
      <c r="U7" t="s">
        <v>929</v>
      </c>
      <c r="V7" t="s">
        <v>929</v>
      </c>
      <c r="W7" t="s">
        <v>929</v>
      </c>
      <c r="X7" t="s">
        <v>929</v>
      </c>
      <c r="Y7" t="s">
        <v>929</v>
      </c>
      <c r="Z7" t="s">
        <v>929</v>
      </c>
      <c r="AA7" t="s">
        <v>929</v>
      </c>
      <c r="AB7" t="s">
        <v>929</v>
      </c>
      <c r="AC7" t="s">
        <v>929</v>
      </c>
      <c r="AD7" t="s">
        <v>929</v>
      </c>
      <c r="AE7" t="s">
        <v>929</v>
      </c>
      <c r="AF7" t="s">
        <v>929</v>
      </c>
      <c r="AG7" t="s">
        <v>929</v>
      </c>
      <c r="AH7" t="s">
        <v>929</v>
      </c>
      <c r="AI7" t="s">
        <v>929</v>
      </c>
      <c r="AJ7" t="s">
        <v>929</v>
      </c>
      <c r="AK7" t="s">
        <v>929</v>
      </c>
      <c r="AL7" t="s">
        <v>929</v>
      </c>
      <c r="AM7" t="s">
        <v>929</v>
      </c>
      <c r="AN7" t="s">
        <v>929</v>
      </c>
      <c r="AO7" t="s">
        <v>929</v>
      </c>
      <c r="AP7" t="s">
        <v>929</v>
      </c>
      <c r="AQ7" t="s">
        <v>929</v>
      </c>
      <c r="AR7" t="s">
        <v>929</v>
      </c>
      <c r="AS7" t="s">
        <v>929</v>
      </c>
      <c r="AT7" t="s">
        <v>929</v>
      </c>
      <c r="AU7" t="s">
        <v>929</v>
      </c>
      <c r="AV7" t="s">
        <v>929</v>
      </c>
      <c r="AW7" t="s">
        <v>929</v>
      </c>
      <c r="AX7" t="s">
        <v>929</v>
      </c>
      <c r="AY7" t="s">
        <v>929</v>
      </c>
      <c r="AZ7" t="s">
        <v>929</v>
      </c>
      <c r="BA7" t="s">
        <v>929</v>
      </c>
      <c r="BB7" t="s">
        <v>929</v>
      </c>
      <c r="BC7" t="s">
        <v>929</v>
      </c>
      <c r="BD7" t="s">
        <v>929</v>
      </c>
      <c r="BE7" t="s">
        <v>929</v>
      </c>
      <c r="BF7" t="s">
        <v>929</v>
      </c>
      <c r="BG7" t="s">
        <v>929</v>
      </c>
      <c r="BH7" t="s">
        <v>929</v>
      </c>
      <c r="BI7" t="s">
        <v>929</v>
      </c>
      <c r="BJ7" t="s">
        <v>929</v>
      </c>
      <c r="BK7" t="s">
        <v>929</v>
      </c>
      <c r="BL7" t="s">
        <v>929</v>
      </c>
      <c r="BM7" t="s">
        <v>929</v>
      </c>
      <c r="BN7" t="s">
        <v>929</v>
      </c>
      <c r="BO7" t="s">
        <v>929</v>
      </c>
      <c r="BP7" t="s">
        <v>929</v>
      </c>
      <c r="BQ7" t="s">
        <v>929</v>
      </c>
      <c r="BR7" t="s">
        <v>929</v>
      </c>
      <c r="BS7" t="s">
        <v>929</v>
      </c>
      <c r="BT7" t="s">
        <v>929</v>
      </c>
      <c r="BU7" t="s">
        <v>929</v>
      </c>
      <c r="BV7" t="s">
        <v>929</v>
      </c>
      <c r="BW7" t="s">
        <v>929</v>
      </c>
      <c r="BX7" t="s">
        <v>929</v>
      </c>
      <c r="BY7" t="s">
        <v>929</v>
      </c>
      <c r="BZ7" t="s">
        <v>929</v>
      </c>
      <c r="CA7" t="s">
        <v>929</v>
      </c>
      <c r="CB7" t="s">
        <v>929</v>
      </c>
      <c r="CC7" t="s">
        <v>929</v>
      </c>
      <c r="CD7" t="s">
        <v>929</v>
      </c>
      <c r="CE7" t="s">
        <v>929</v>
      </c>
      <c r="CF7" t="s">
        <v>929</v>
      </c>
      <c r="CG7" t="s">
        <v>929</v>
      </c>
      <c r="CH7" t="s">
        <v>929</v>
      </c>
      <c r="CI7" t="s">
        <v>929</v>
      </c>
      <c r="CJ7" t="s">
        <v>929</v>
      </c>
      <c r="CK7" t="s">
        <v>929</v>
      </c>
      <c r="CL7" t="s">
        <v>929</v>
      </c>
      <c r="CM7" t="s">
        <v>929</v>
      </c>
      <c r="CN7" t="s">
        <v>929</v>
      </c>
      <c r="CO7" t="s">
        <v>929</v>
      </c>
      <c r="CP7" t="s">
        <v>929</v>
      </c>
      <c r="CQ7" t="s">
        <v>929</v>
      </c>
      <c r="CR7" t="s">
        <v>929</v>
      </c>
      <c r="CS7" t="s">
        <v>929</v>
      </c>
      <c r="CT7" t="s">
        <v>929</v>
      </c>
      <c r="CU7" t="s">
        <v>929</v>
      </c>
      <c r="CV7" t="s">
        <v>929</v>
      </c>
      <c r="CW7" t="s">
        <v>929</v>
      </c>
      <c r="CX7" t="s">
        <v>929</v>
      </c>
      <c r="CY7" t="s">
        <v>929</v>
      </c>
      <c r="CZ7" t="s">
        <v>929</v>
      </c>
      <c r="DA7" t="s">
        <v>929</v>
      </c>
      <c r="DB7" t="s">
        <v>929</v>
      </c>
      <c r="DC7" t="s">
        <v>929</v>
      </c>
      <c r="DD7" t="s">
        <v>929</v>
      </c>
      <c r="DE7" t="s">
        <v>929</v>
      </c>
      <c r="DF7" t="s">
        <v>929</v>
      </c>
      <c r="DG7" t="s">
        <v>929</v>
      </c>
      <c r="DH7" t="s">
        <v>929</v>
      </c>
      <c r="DI7" t="s">
        <v>929</v>
      </c>
      <c r="DJ7" t="s">
        <v>929</v>
      </c>
      <c r="DM7" t="s">
        <v>929</v>
      </c>
      <c r="DN7" t="s">
        <v>929</v>
      </c>
      <c r="DO7" t="s">
        <v>929</v>
      </c>
      <c r="DP7" t="s">
        <v>929</v>
      </c>
      <c r="DQ7" t="s">
        <v>929</v>
      </c>
      <c r="DR7" t="s">
        <v>929</v>
      </c>
      <c r="DS7" t="s">
        <v>929</v>
      </c>
      <c r="DT7" t="s">
        <v>929</v>
      </c>
      <c r="DU7" t="s">
        <v>929</v>
      </c>
      <c r="DV7" t="s">
        <v>929</v>
      </c>
      <c r="DW7" t="s">
        <v>929</v>
      </c>
      <c r="DX7" t="s">
        <v>929</v>
      </c>
      <c r="DY7" t="s">
        <v>929</v>
      </c>
      <c r="DZ7" t="s">
        <v>929</v>
      </c>
      <c r="EA7" t="s">
        <v>929</v>
      </c>
      <c r="EB7" t="s">
        <v>929</v>
      </c>
      <c r="EC7" t="s">
        <v>929</v>
      </c>
      <c r="ED7" t="s">
        <v>929</v>
      </c>
      <c r="EE7" t="s">
        <v>929</v>
      </c>
      <c r="EF7" t="s">
        <v>929</v>
      </c>
      <c r="EG7" t="s">
        <v>929</v>
      </c>
      <c r="EH7" t="s">
        <v>929</v>
      </c>
      <c r="EI7" t="s">
        <v>929</v>
      </c>
      <c r="EJ7" t="s">
        <v>929</v>
      </c>
      <c r="EK7" t="s">
        <v>929</v>
      </c>
      <c r="EL7" t="s">
        <v>929</v>
      </c>
      <c r="EM7" t="s">
        <v>929</v>
      </c>
      <c r="EN7" t="s">
        <v>929</v>
      </c>
      <c r="EO7" t="s">
        <v>929</v>
      </c>
      <c r="EP7" t="s">
        <v>929</v>
      </c>
      <c r="EQ7" t="s">
        <v>929</v>
      </c>
      <c r="ER7" t="s">
        <v>929</v>
      </c>
      <c r="ES7" t="s">
        <v>929</v>
      </c>
      <c r="ET7" t="s">
        <v>929</v>
      </c>
      <c r="EU7" t="s">
        <v>929</v>
      </c>
      <c r="EV7" t="s">
        <v>929</v>
      </c>
      <c r="EW7" t="s">
        <v>929</v>
      </c>
      <c r="EX7" t="s">
        <v>929</v>
      </c>
      <c r="EY7" t="s">
        <v>929</v>
      </c>
      <c r="EZ7" t="s">
        <v>929</v>
      </c>
      <c r="FA7" t="s">
        <v>929</v>
      </c>
      <c r="FB7" t="s">
        <v>929</v>
      </c>
      <c r="FC7" t="s">
        <v>929</v>
      </c>
      <c r="FD7" t="s">
        <v>929</v>
      </c>
      <c r="FE7" t="s">
        <v>929</v>
      </c>
      <c r="FF7" t="s">
        <v>929</v>
      </c>
    </row>
    <row r="8" spans="1:162" x14ac:dyDescent="0.25">
      <c r="A8" t="s">
        <v>936</v>
      </c>
      <c r="B8" t="s">
        <v>937</v>
      </c>
      <c r="C8" t="s">
        <v>929</v>
      </c>
      <c r="D8" t="s">
        <v>929</v>
      </c>
      <c r="E8" t="s">
        <v>929</v>
      </c>
      <c r="F8" t="s">
        <v>929</v>
      </c>
      <c r="G8" t="s">
        <v>929</v>
      </c>
      <c r="H8" t="s">
        <v>929</v>
      </c>
      <c r="I8" t="s">
        <v>929</v>
      </c>
      <c r="J8" t="s">
        <v>929</v>
      </c>
      <c r="K8" t="s">
        <v>929</v>
      </c>
      <c r="L8" t="s">
        <v>929</v>
      </c>
      <c r="M8" t="s">
        <v>929</v>
      </c>
      <c r="N8" t="s">
        <v>929</v>
      </c>
      <c r="O8" t="s">
        <v>929</v>
      </c>
      <c r="P8" t="s">
        <v>929</v>
      </c>
      <c r="Q8" t="s">
        <v>929</v>
      </c>
      <c r="R8" t="s">
        <v>929</v>
      </c>
      <c r="S8" t="s">
        <v>929</v>
      </c>
      <c r="T8" t="s">
        <v>929</v>
      </c>
      <c r="U8" t="s">
        <v>929</v>
      </c>
      <c r="V8" t="s">
        <v>929</v>
      </c>
      <c r="W8" t="s">
        <v>929</v>
      </c>
      <c r="X8" t="s">
        <v>929</v>
      </c>
      <c r="Y8" t="s">
        <v>929</v>
      </c>
      <c r="Z8" t="s">
        <v>929</v>
      </c>
      <c r="AA8" t="s">
        <v>929</v>
      </c>
      <c r="AB8" t="s">
        <v>929</v>
      </c>
      <c r="AC8" t="s">
        <v>929</v>
      </c>
      <c r="AD8" t="s">
        <v>929</v>
      </c>
      <c r="AE8" t="s">
        <v>929</v>
      </c>
      <c r="AF8" t="s">
        <v>929</v>
      </c>
      <c r="AG8" t="s">
        <v>929</v>
      </c>
      <c r="AH8" t="s">
        <v>929</v>
      </c>
      <c r="AI8" t="s">
        <v>929</v>
      </c>
      <c r="AJ8" t="s">
        <v>929</v>
      </c>
      <c r="AK8" t="s">
        <v>929</v>
      </c>
      <c r="AL8" t="s">
        <v>929</v>
      </c>
      <c r="AM8" t="s">
        <v>929</v>
      </c>
      <c r="AN8" t="s">
        <v>929</v>
      </c>
      <c r="AO8" t="s">
        <v>929</v>
      </c>
      <c r="AP8" t="s">
        <v>929</v>
      </c>
      <c r="AQ8" t="s">
        <v>929</v>
      </c>
      <c r="AR8" t="s">
        <v>929</v>
      </c>
      <c r="AS8" t="s">
        <v>929</v>
      </c>
      <c r="AT8" t="s">
        <v>929</v>
      </c>
      <c r="AU8" t="s">
        <v>929</v>
      </c>
      <c r="AV8" t="s">
        <v>929</v>
      </c>
      <c r="AW8" t="s">
        <v>929</v>
      </c>
      <c r="AX8" t="s">
        <v>929</v>
      </c>
      <c r="AY8" t="s">
        <v>929</v>
      </c>
      <c r="AZ8" t="s">
        <v>929</v>
      </c>
      <c r="BA8" t="s">
        <v>929</v>
      </c>
      <c r="BB8" t="s">
        <v>929</v>
      </c>
      <c r="BC8" t="s">
        <v>929</v>
      </c>
      <c r="BD8" t="s">
        <v>929</v>
      </c>
      <c r="BE8" t="s">
        <v>929</v>
      </c>
      <c r="BF8" t="s">
        <v>929</v>
      </c>
      <c r="BG8" t="s">
        <v>929</v>
      </c>
      <c r="BH8" t="s">
        <v>929</v>
      </c>
      <c r="BI8" t="s">
        <v>929</v>
      </c>
      <c r="BJ8" t="s">
        <v>929</v>
      </c>
      <c r="BK8" t="s">
        <v>929</v>
      </c>
      <c r="BL8" t="s">
        <v>929</v>
      </c>
      <c r="BM8" t="s">
        <v>929</v>
      </c>
      <c r="BN8" t="s">
        <v>929</v>
      </c>
      <c r="BO8" t="s">
        <v>929</v>
      </c>
      <c r="BP8" t="s">
        <v>929</v>
      </c>
      <c r="BQ8" t="s">
        <v>929</v>
      </c>
      <c r="BR8" t="s">
        <v>929</v>
      </c>
      <c r="BS8" t="s">
        <v>929</v>
      </c>
      <c r="BT8" t="s">
        <v>929</v>
      </c>
      <c r="BU8" t="s">
        <v>929</v>
      </c>
      <c r="BV8" t="s">
        <v>929</v>
      </c>
      <c r="BW8" t="s">
        <v>929</v>
      </c>
      <c r="BX8" t="s">
        <v>929</v>
      </c>
      <c r="BY8" t="s">
        <v>929</v>
      </c>
      <c r="BZ8" t="s">
        <v>929</v>
      </c>
      <c r="CA8" t="s">
        <v>929</v>
      </c>
      <c r="CB8" t="s">
        <v>929</v>
      </c>
      <c r="CC8" t="s">
        <v>929</v>
      </c>
      <c r="CD8" t="s">
        <v>929</v>
      </c>
      <c r="CE8" t="s">
        <v>929</v>
      </c>
      <c r="CF8" t="s">
        <v>929</v>
      </c>
      <c r="CG8" t="s">
        <v>929</v>
      </c>
      <c r="CH8" t="s">
        <v>929</v>
      </c>
      <c r="CI8" t="s">
        <v>929</v>
      </c>
      <c r="CJ8" t="s">
        <v>929</v>
      </c>
      <c r="CK8" t="s">
        <v>929</v>
      </c>
      <c r="CL8" t="s">
        <v>929</v>
      </c>
      <c r="CM8" t="s">
        <v>929</v>
      </c>
      <c r="CN8" t="s">
        <v>929</v>
      </c>
      <c r="CO8" t="s">
        <v>929</v>
      </c>
      <c r="CP8" t="s">
        <v>929</v>
      </c>
      <c r="CQ8" t="s">
        <v>929</v>
      </c>
      <c r="CR8" t="s">
        <v>929</v>
      </c>
      <c r="CS8" t="s">
        <v>929</v>
      </c>
      <c r="CT8" t="s">
        <v>929</v>
      </c>
      <c r="CU8" t="s">
        <v>929</v>
      </c>
      <c r="CV8" t="s">
        <v>929</v>
      </c>
      <c r="CW8" t="s">
        <v>929</v>
      </c>
      <c r="CX8" t="s">
        <v>929</v>
      </c>
      <c r="CY8" t="s">
        <v>929</v>
      </c>
      <c r="CZ8" t="s">
        <v>929</v>
      </c>
      <c r="DA8" t="s">
        <v>929</v>
      </c>
      <c r="DB8" t="s">
        <v>929</v>
      </c>
      <c r="DC8" t="s">
        <v>929</v>
      </c>
      <c r="DD8" t="s">
        <v>929</v>
      </c>
      <c r="DE8" t="s">
        <v>929</v>
      </c>
      <c r="DF8" t="s">
        <v>929</v>
      </c>
      <c r="DG8" t="s">
        <v>929</v>
      </c>
      <c r="DH8" t="s">
        <v>929</v>
      </c>
      <c r="DI8" t="s">
        <v>929</v>
      </c>
      <c r="DJ8" t="s">
        <v>929</v>
      </c>
      <c r="DM8" t="s">
        <v>929</v>
      </c>
      <c r="DN8" t="s">
        <v>929</v>
      </c>
      <c r="DO8" t="s">
        <v>929</v>
      </c>
      <c r="DP8" t="s">
        <v>929</v>
      </c>
      <c r="DQ8" t="s">
        <v>929</v>
      </c>
      <c r="DR8" t="s">
        <v>929</v>
      </c>
      <c r="DS8" t="s">
        <v>929</v>
      </c>
      <c r="DT8" t="s">
        <v>929</v>
      </c>
      <c r="DU8" t="s">
        <v>929</v>
      </c>
      <c r="DV8" t="s">
        <v>929</v>
      </c>
      <c r="DW8" t="s">
        <v>929</v>
      </c>
      <c r="DX8" t="s">
        <v>929</v>
      </c>
      <c r="DY8" t="s">
        <v>929</v>
      </c>
      <c r="DZ8" t="s">
        <v>929</v>
      </c>
      <c r="EA8" t="s">
        <v>929</v>
      </c>
      <c r="EB8" t="s">
        <v>929</v>
      </c>
      <c r="EC8" t="s">
        <v>929</v>
      </c>
      <c r="ED8" t="s">
        <v>929</v>
      </c>
      <c r="EE8" t="s">
        <v>929</v>
      </c>
      <c r="EF8" t="s">
        <v>929</v>
      </c>
      <c r="EG8" t="s">
        <v>929</v>
      </c>
      <c r="EH8" t="s">
        <v>929</v>
      </c>
      <c r="EI8" t="s">
        <v>929</v>
      </c>
      <c r="EJ8" t="s">
        <v>929</v>
      </c>
      <c r="EK8" t="s">
        <v>929</v>
      </c>
      <c r="EL8" t="s">
        <v>929</v>
      </c>
      <c r="EM8" t="s">
        <v>929</v>
      </c>
      <c r="EN8" t="s">
        <v>929</v>
      </c>
      <c r="EO8" t="s">
        <v>929</v>
      </c>
      <c r="EP8" t="s">
        <v>929</v>
      </c>
      <c r="EQ8" t="s">
        <v>929</v>
      </c>
      <c r="ER8" t="s">
        <v>929</v>
      </c>
      <c r="ES8" t="s">
        <v>929</v>
      </c>
      <c r="ET8" t="s">
        <v>929</v>
      </c>
      <c r="EU8" t="s">
        <v>929</v>
      </c>
      <c r="EV8" t="s">
        <v>929</v>
      </c>
      <c r="EW8" t="s">
        <v>929</v>
      </c>
      <c r="EX8" t="s">
        <v>929</v>
      </c>
      <c r="EY8" t="s">
        <v>929</v>
      </c>
      <c r="EZ8" t="s">
        <v>929</v>
      </c>
      <c r="FA8" t="s">
        <v>929</v>
      </c>
      <c r="FB8" t="s">
        <v>929</v>
      </c>
      <c r="FC8" t="s">
        <v>929</v>
      </c>
      <c r="FD8" t="s">
        <v>929</v>
      </c>
      <c r="FE8" t="s">
        <v>929</v>
      </c>
      <c r="FF8" t="s">
        <v>929</v>
      </c>
    </row>
    <row r="9" spans="1:162" x14ac:dyDescent="0.25">
      <c r="A9" t="s">
        <v>929</v>
      </c>
      <c r="B9" t="s">
        <v>929</v>
      </c>
      <c r="C9" t="s">
        <v>929</v>
      </c>
      <c r="D9" t="s">
        <v>929</v>
      </c>
      <c r="E9" t="s">
        <v>929</v>
      </c>
      <c r="F9" t="s">
        <v>929</v>
      </c>
      <c r="G9" t="s">
        <v>929</v>
      </c>
      <c r="H9" t="s">
        <v>929</v>
      </c>
      <c r="I9" t="s">
        <v>929</v>
      </c>
      <c r="J9" t="s">
        <v>929</v>
      </c>
      <c r="K9" t="s">
        <v>929</v>
      </c>
      <c r="L9" t="s">
        <v>929</v>
      </c>
      <c r="M9" t="s">
        <v>929</v>
      </c>
      <c r="N9" t="s">
        <v>929</v>
      </c>
      <c r="O9" t="s">
        <v>929</v>
      </c>
      <c r="P9" t="s">
        <v>929</v>
      </c>
      <c r="Q9" t="s">
        <v>929</v>
      </c>
      <c r="R9" t="s">
        <v>929</v>
      </c>
      <c r="S9" t="s">
        <v>929</v>
      </c>
      <c r="T9" t="s">
        <v>929</v>
      </c>
      <c r="U9" t="s">
        <v>929</v>
      </c>
      <c r="V9" t="s">
        <v>929</v>
      </c>
      <c r="W9" t="s">
        <v>929</v>
      </c>
      <c r="X9" t="s">
        <v>929</v>
      </c>
      <c r="Y9" t="s">
        <v>929</v>
      </c>
      <c r="Z9" t="s">
        <v>929</v>
      </c>
      <c r="AA9" t="s">
        <v>929</v>
      </c>
      <c r="AB9" t="s">
        <v>929</v>
      </c>
      <c r="AC9" t="s">
        <v>929</v>
      </c>
      <c r="AD9" t="s">
        <v>929</v>
      </c>
      <c r="AE9" t="s">
        <v>929</v>
      </c>
      <c r="AF9" t="s">
        <v>929</v>
      </c>
      <c r="AG9" t="s">
        <v>929</v>
      </c>
      <c r="AH9" t="s">
        <v>929</v>
      </c>
      <c r="AI9" t="s">
        <v>929</v>
      </c>
      <c r="AJ9" t="s">
        <v>929</v>
      </c>
      <c r="AK9" t="s">
        <v>929</v>
      </c>
      <c r="AL9" t="s">
        <v>929</v>
      </c>
      <c r="AM9" t="s">
        <v>929</v>
      </c>
      <c r="AN9" t="s">
        <v>929</v>
      </c>
      <c r="AO9" t="s">
        <v>929</v>
      </c>
      <c r="AP9" t="s">
        <v>929</v>
      </c>
      <c r="AQ9" t="s">
        <v>929</v>
      </c>
      <c r="AR9" t="s">
        <v>929</v>
      </c>
      <c r="AS9" t="s">
        <v>929</v>
      </c>
      <c r="AT9" t="s">
        <v>929</v>
      </c>
      <c r="AU9" t="s">
        <v>929</v>
      </c>
      <c r="AV9" t="s">
        <v>929</v>
      </c>
      <c r="AW9" t="s">
        <v>929</v>
      </c>
      <c r="AX9" t="s">
        <v>929</v>
      </c>
      <c r="AY9" t="s">
        <v>929</v>
      </c>
      <c r="AZ9" t="s">
        <v>929</v>
      </c>
      <c r="BA9" t="s">
        <v>929</v>
      </c>
      <c r="BB9" t="s">
        <v>929</v>
      </c>
      <c r="BC9" t="s">
        <v>929</v>
      </c>
      <c r="BD9" t="s">
        <v>929</v>
      </c>
      <c r="BE9" t="s">
        <v>929</v>
      </c>
      <c r="BF9" t="s">
        <v>929</v>
      </c>
      <c r="BG9" t="s">
        <v>929</v>
      </c>
      <c r="BH9" t="s">
        <v>929</v>
      </c>
      <c r="BI9" t="s">
        <v>929</v>
      </c>
      <c r="BJ9" t="s">
        <v>929</v>
      </c>
      <c r="BK9" t="s">
        <v>929</v>
      </c>
      <c r="BL9" t="s">
        <v>929</v>
      </c>
      <c r="BM9" t="s">
        <v>929</v>
      </c>
      <c r="BN9" t="s">
        <v>929</v>
      </c>
      <c r="BO9" t="s">
        <v>929</v>
      </c>
      <c r="BP9" t="s">
        <v>929</v>
      </c>
      <c r="BQ9" t="s">
        <v>929</v>
      </c>
      <c r="BR9" t="s">
        <v>929</v>
      </c>
      <c r="BS9" t="s">
        <v>929</v>
      </c>
      <c r="BT9" t="s">
        <v>929</v>
      </c>
      <c r="BU9" t="s">
        <v>929</v>
      </c>
      <c r="BV9" t="s">
        <v>929</v>
      </c>
      <c r="BW9" t="s">
        <v>929</v>
      </c>
      <c r="BX9" t="s">
        <v>929</v>
      </c>
      <c r="BY9" t="s">
        <v>929</v>
      </c>
      <c r="BZ9" t="s">
        <v>929</v>
      </c>
      <c r="CA9" t="s">
        <v>929</v>
      </c>
      <c r="CB9" t="s">
        <v>929</v>
      </c>
      <c r="CC9" t="s">
        <v>929</v>
      </c>
      <c r="CD9" t="s">
        <v>929</v>
      </c>
      <c r="CE9" t="s">
        <v>929</v>
      </c>
      <c r="CF9" t="s">
        <v>929</v>
      </c>
      <c r="CG9" t="s">
        <v>929</v>
      </c>
      <c r="CH9" t="s">
        <v>929</v>
      </c>
      <c r="CI9" t="s">
        <v>929</v>
      </c>
      <c r="CJ9" t="s">
        <v>929</v>
      </c>
      <c r="CK9" t="s">
        <v>929</v>
      </c>
      <c r="CL9" t="s">
        <v>929</v>
      </c>
      <c r="CM9" t="s">
        <v>929</v>
      </c>
      <c r="CN9" t="s">
        <v>929</v>
      </c>
      <c r="CO9" t="s">
        <v>929</v>
      </c>
      <c r="CP9" t="s">
        <v>929</v>
      </c>
      <c r="CQ9" t="s">
        <v>929</v>
      </c>
      <c r="CR9" t="s">
        <v>929</v>
      </c>
      <c r="CS9" t="s">
        <v>929</v>
      </c>
      <c r="CT9" t="s">
        <v>929</v>
      </c>
      <c r="CU9" t="s">
        <v>929</v>
      </c>
      <c r="CV9" t="s">
        <v>929</v>
      </c>
      <c r="CW9" t="s">
        <v>929</v>
      </c>
      <c r="CX9" t="s">
        <v>929</v>
      </c>
      <c r="CY9" t="s">
        <v>929</v>
      </c>
      <c r="CZ9" t="s">
        <v>929</v>
      </c>
      <c r="DA9" t="s">
        <v>929</v>
      </c>
      <c r="DB9" t="s">
        <v>929</v>
      </c>
      <c r="DC9" t="s">
        <v>929</v>
      </c>
      <c r="DD9" t="s">
        <v>929</v>
      </c>
      <c r="DE9" t="s">
        <v>929</v>
      </c>
      <c r="DF9" t="s">
        <v>929</v>
      </c>
      <c r="DG9" t="s">
        <v>929</v>
      </c>
      <c r="DH9" t="s">
        <v>929</v>
      </c>
      <c r="DI9" t="s">
        <v>929</v>
      </c>
      <c r="DJ9" t="s">
        <v>929</v>
      </c>
      <c r="DM9" t="s">
        <v>929</v>
      </c>
      <c r="DN9" t="s">
        <v>929</v>
      </c>
      <c r="DO9" t="s">
        <v>929</v>
      </c>
      <c r="DP9" t="s">
        <v>929</v>
      </c>
      <c r="DQ9" t="s">
        <v>929</v>
      </c>
      <c r="DR9" t="s">
        <v>929</v>
      </c>
      <c r="DS9" t="s">
        <v>929</v>
      </c>
      <c r="DT9" t="s">
        <v>929</v>
      </c>
      <c r="DU9" t="s">
        <v>929</v>
      </c>
      <c r="DV9" t="s">
        <v>929</v>
      </c>
      <c r="DW9" t="s">
        <v>929</v>
      </c>
      <c r="DX9" t="s">
        <v>929</v>
      </c>
      <c r="DY9" t="s">
        <v>929</v>
      </c>
      <c r="DZ9" t="s">
        <v>929</v>
      </c>
      <c r="EA9" t="s">
        <v>929</v>
      </c>
      <c r="EB9" t="s">
        <v>929</v>
      </c>
      <c r="EC9" t="s">
        <v>929</v>
      </c>
      <c r="ED9" t="s">
        <v>929</v>
      </c>
      <c r="EE9" t="s">
        <v>929</v>
      </c>
      <c r="EF9" t="s">
        <v>929</v>
      </c>
      <c r="EG9" t="s">
        <v>929</v>
      </c>
      <c r="EH9" t="s">
        <v>929</v>
      </c>
      <c r="EI9" t="s">
        <v>929</v>
      </c>
      <c r="EJ9" t="s">
        <v>929</v>
      </c>
      <c r="EK9" t="s">
        <v>929</v>
      </c>
      <c r="EL9" t="s">
        <v>929</v>
      </c>
      <c r="EM9" t="s">
        <v>929</v>
      </c>
      <c r="EN9" t="s">
        <v>929</v>
      </c>
      <c r="EO9" t="s">
        <v>929</v>
      </c>
      <c r="EP9" t="s">
        <v>929</v>
      </c>
      <c r="EQ9" t="s">
        <v>929</v>
      </c>
      <c r="ER9" t="s">
        <v>929</v>
      </c>
      <c r="ES9" t="s">
        <v>929</v>
      </c>
      <c r="ET9" t="s">
        <v>929</v>
      </c>
      <c r="EU9" t="s">
        <v>929</v>
      </c>
      <c r="EV9" t="s">
        <v>929</v>
      </c>
      <c r="EW9" t="s">
        <v>929</v>
      </c>
      <c r="EX9" t="s">
        <v>929</v>
      </c>
      <c r="EY9" t="s">
        <v>929</v>
      </c>
      <c r="EZ9" t="s">
        <v>929</v>
      </c>
      <c r="FA9" t="s">
        <v>929</v>
      </c>
      <c r="FB9" t="s">
        <v>929</v>
      </c>
      <c r="FC9" t="s">
        <v>929</v>
      </c>
      <c r="FD9" t="s">
        <v>929</v>
      </c>
      <c r="FE9" t="s">
        <v>929</v>
      </c>
      <c r="FF9" t="s">
        <v>929</v>
      </c>
    </row>
    <row r="10" spans="1:162" x14ac:dyDescent="0.25">
      <c r="A10" t="s">
        <v>938</v>
      </c>
      <c r="B10" t="s">
        <v>939</v>
      </c>
      <c r="C10" t="s">
        <v>940</v>
      </c>
      <c r="D10" t="s">
        <v>941</v>
      </c>
      <c r="E10" t="s">
        <v>942</v>
      </c>
      <c r="F10" t="s">
        <v>943</v>
      </c>
      <c r="G10" t="s">
        <v>944</v>
      </c>
      <c r="H10" t="s">
        <v>945</v>
      </c>
      <c r="I10" t="s">
        <v>946</v>
      </c>
      <c r="J10" t="s">
        <v>947</v>
      </c>
      <c r="K10" t="s">
        <v>948</v>
      </c>
      <c r="L10" t="s">
        <v>949</v>
      </c>
      <c r="M10" t="s">
        <v>950</v>
      </c>
      <c r="N10" t="s">
        <v>951</v>
      </c>
      <c r="O10" t="s">
        <v>952</v>
      </c>
      <c r="P10" t="s">
        <v>953</v>
      </c>
      <c r="Q10" t="s">
        <v>954</v>
      </c>
      <c r="R10" t="s">
        <v>955</v>
      </c>
      <c r="S10" t="s">
        <v>956</v>
      </c>
      <c r="T10" t="s">
        <v>957</v>
      </c>
      <c r="U10" t="s">
        <v>958</v>
      </c>
      <c r="V10" t="s">
        <v>959</v>
      </c>
      <c r="W10" t="s">
        <v>960</v>
      </c>
      <c r="X10" t="s">
        <v>961</v>
      </c>
      <c r="Y10" t="s">
        <v>962</v>
      </c>
      <c r="Z10" t="s">
        <v>963</v>
      </c>
      <c r="AA10" t="s">
        <v>964</v>
      </c>
      <c r="AB10" t="s">
        <v>965</v>
      </c>
      <c r="AC10" t="s">
        <v>966</v>
      </c>
      <c r="AD10" t="s">
        <v>967</v>
      </c>
      <c r="AE10" t="s">
        <v>968</v>
      </c>
      <c r="AF10" t="s">
        <v>969</v>
      </c>
      <c r="AG10" t="s">
        <v>970</v>
      </c>
      <c r="AH10" t="s">
        <v>971</v>
      </c>
      <c r="AI10" t="s">
        <v>972</v>
      </c>
      <c r="AJ10" t="s">
        <v>973</v>
      </c>
      <c r="AK10" t="s">
        <v>974</v>
      </c>
      <c r="AL10" t="s">
        <v>975</v>
      </c>
      <c r="AM10" t="s">
        <v>976</v>
      </c>
      <c r="AN10" t="s">
        <v>977</v>
      </c>
      <c r="AO10" t="s">
        <v>978</v>
      </c>
      <c r="AP10" t="s">
        <v>979</v>
      </c>
      <c r="AQ10" t="s">
        <v>980</v>
      </c>
      <c r="AR10" t="s">
        <v>981</v>
      </c>
      <c r="AS10" t="s">
        <v>982</v>
      </c>
      <c r="AT10" t="s">
        <v>983</v>
      </c>
      <c r="AU10" t="s">
        <v>984</v>
      </c>
      <c r="AV10" t="s">
        <v>985</v>
      </c>
      <c r="AW10" t="s">
        <v>986</v>
      </c>
      <c r="AX10" t="s">
        <v>987</v>
      </c>
      <c r="AY10" t="s">
        <v>988</v>
      </c>
      <c r="AZ10" t="s">
        <v>989</v>
      </c>
      <c r="BA10" t="s">
        <v>990</v>
      </c>
      <c r="BB10" t="s">
        <v>991</v>
      </c>
      <c r="BC10" t="s">
        <v>992</v>
      </c>
      <c r="BD10" t="s">
        <v>993</v>
      </c>
      <c r="BE10" t="s">
        <v>994</v>
      </c>
      <c r="BF10" t="s">
        <v>995</v>
      </c>
      <c r="BG10" t="s">
        <v>996</v>
      </c>
      <c r="BH10" t="s">
        <v>997</v>
      </c>
      <c r="BI10" t="s">
        <v>998</v>
      </c>
      <c r="BJ10" t="s">
        <v>999</v>
      </c>
      <c r="BK10" t="s">
        <v>1000</v>
      </c>
      <c r="BL10" t="s">
        <v>1001</v>
      </c>
      <c r="BM10" t="s">
        <v>1002</v>
      </c>
      <c r="BN10" t="s">
        <v>1003</v>
      </c>
      <c r="BO10" t="s">
        <v>1004</v>
      </c>
      <c r="BP10" t="s">
        <v>1005</v>
      </c>
      <c r="BQ10" t="s">
        <v>1006</v>
      </c>
      <c r="BR10" t="s">
        <v>1007</v>
      </c>
      <c r="BS10" t="s">
        <v>1008</v>
      </c>
      <c r="BT10" t="s">
        <v>1009</v>
      </c>
      <c r="BU10" t="s">
        <v>1010</v>
      </c>
      <c r="BV10" t="s">
        <v>1011</v>
      </c>
      <c r="BW10" t="s">
        <v>1012</v>
      </c>
      <c r="BX10" t="s">
        <v>1013</v>
      </c>
      <c r="BY10" t="s">
        <v>1014</v>
      </c>
      <c r="BZ10" t="s">
        <v>1015</v>
      </c>
      <c r="CA10" t="s">
        <v>1016</v>
      </c>
      <c r="CB10" t="s">
        <v>1017</v>
      </c>
      <c r="CC10" t="s">
        <v>1018</v>
      </c>
      <c r="CD10" t="s">
        <v>1019</v>
      </c>
      <c r="CE10" t="s">
        <v>1020</v>
      </c>
      <c r="CF10" t="s">
        <v>1021</v>
      </c>
      <c r="CG10" t="s">
        <v>1022</v>
      </c>
      <c r="CH10" t="s">
        <v>1023</v>
      </c>
      <c r="CI10" t="s">
        <v>1024</v>
      </c>
      <c r="CJ10" t="s">
        <v>1025</v>
      </c>
      <c r="CK10" t="s">
        <v>1026</v>
      </c>
      <c r="CL10" t="s">
        <v>1027</v>
      </c>
      <c r="CM10" t="s">
        <v>1028</v>
      </c>
      <c r="CN10" t="s">
        <v>1029</v>
      </c>
      <c r="CO10" t="s">
        <v>1030</v>
      </c>
      <c r="CP10" t="s">
        <v>1031</v>
      </c>
      <c r="CQ10" t="s">
        <v>1032</v>
      </c>
      <c r="CR10" t="s">
        <v>1033</v>
      </c>
      <c r="CS10" t="s">
        <v>1034</v>
      </c>
      <c r="CT10" t="s">
        <v>1035</v>
      </c>
      <c r="CU10" t="s">
        <v>1036</v>
      </c>
      <c r="CV10" t="s">
        <v>1037</v>
      </c>
      <c r="CW10" t="s">
        <v>1038</v>
      </c>
      <c r="CX10" t="s">
        <v>1039</v>
      </c>
      <c r="CY10" t="s">
        <v>1040</v>
      </c>
      <c r="CZ10" t="s">
        <v>1041</v>
      </c>
      <c r="DA10" t="s">
        <v>1042</v>
      </c>
      <c r="DB10" t="s">
        <v>1043</v>
      </c>
      <c r="DC10" t="s">
        <v>1044</v>
      </c>
      <c r="DD10" t="s">
        <v>1045</v>
      </c>
      <c r="DE10" t="s">
        <v>1046</v>
      </c>
      <c r="DF10" t="s">
        <v>1047</v>
      </c>
      <c r="DG10" t="s">
        <v>1048</v>
      </c>
      <c r="DH10" t="s">
        <v>1049</v>
      </c>
      <c r="DI10" t="s">
        <v>1050</v>
      </c>
      <c r="DJ10" t="s">
        <v>1051</v>
      </c>
      <c r="DK10" s="16" t="s">
        <v>2074</v>
      </c>
      <c r="DL10" s="16" t="s">
        <v>2080</v>
      </c>
      <c r="DM10" t="s">
        <v>1052</v>
      </c>
      <c r="DN10" t="s">
        <v>1053</v>
      </c>
      <c r="DO10" t="s">
        <v>1054</v>
      </c>
      <c r="DP10" t="s">
        <v>1055</v>
      </c>
      <c r="DQ10" t="s">
        <v>1056</v>
      </c>
      <c r="DR10" t="s">
        <v>1057</v>
      </c>
      <c r="DS10" t="s">
        <v>1058</v>
      </c>
      <c r="DT10" t="s">
        <v>1059</v>
      </c>
      <c r="DU10" t="s">
        <v>1060</v>
      </c>
      <c r="DV10" t="s">
        <v>1061</v>
      </c>
      <c r="DW10" t="s">
        <v>1062</v>
      </c>
      <c r="DX10" t="s">
        <v>1063</v>
      </c>
      <c r="DY10" t="s">
        <v>1064</v>
      </c>
      <c r="DZ10" t="s">
        <v>1065</v>
      </c>
      <c r="EA10" t="s">
        <v>1066</v>
      </c>
      <c r="EB10" t="s">
        <v>1067</v>
      </c>
      <c r="EC10" t="s">
        <v>1068</v>
      </c>
      <c r="ED10" t="s">
        <v>1069</v>
      </c>
      <c r="EE10" t="s">
        <v>1070</v>
      </c>
      <c r="EF10" t="s">
        <v>1071</v>
      </c>
      <c r="EG10" t="s">
        <v>1072</v>
      </c>
      <c r="EH10" t="s">
        <v>1073</v>
      </c>
      <c r="EI10" t="s">
        <v>1074</v>
      </c>
      <c r="EJ10" t="s">
        <v>1075</v>
      </c>
      <c r="EK10" t="s">
        <v>1076</v>
      </c>
      <c r="EL10" t="s">
        <v>1077</v>
      </c>
      <c r="EM10" t="s">
        <v>1078</v>
      </c>
      <c r="EN10" t="s">
        <v>1079</v>
      </c>
      <c r="EO10" t="s">
        <v>1080</v>
      </c>
      <c r="EP10" t="s">
        <v>1081</v>
      </c>
      <c r="EQ10" t="s">
        <v>1082</v>
      </c>
      <c r="ER10" t="s">
        <v>1083</v>
      </c>
      <c r="ES10" t="s">
        <v>1084</v>
      </c>
      <c r="ET10" t="s">
        <v>1085</v>
      </c>
      <c r="EU10" t="s">
        <v>1086</v>
      </c>
      <c r="EV10" t="s">
        <v>1087</v>
      </c>
      <c r="EW10" t="s">
        <v>1088</v>
      </c>
      <c r="EX10" t="s">
        <v>1089</v>
      </c>
      <c r="EY10" t="s">
        <v>1090</v>
      </c>
      <c r="EZ10" t="s">
        <v>1091</v>
      </c>
      <c r="FA10" t="s">
        <v>1092</v>
      </c>
      <c r="FB10" t="s">
        <v>1093</v>
      </c>
      <c r="FC10" t="s">
        <v>1094</v>
      </c>
      <c r="FD10" t="s">
        <v>1095</v>
      </c>
      <c r="FE10" t="s">
        <v>1096</v>
      </c>
      <c r="FF10" t="s">
        <v>1097</v>
      </c>
    </row>
    <row r="11" spans="1:162" x14ac:dyDescent="0.25">
      <c r="A11" t="s">
        <v>929</v>
      </c>
      <c r="B11" t="s">
        <v>929</v>
      </c>
      <c r="C11" t="s">
        <v>929</v>
      </c>
      <c r="D11" t="s">
        <v>929</v>
      </c>
      <c r="E11" t="s">
        <v>929</v>
      </c>
      <c r="F11" t="s">
        <v>929</v>
      </c>
      <c r="G11" t="s">
        <v>929</v>
      </c>
      <c r="H11" t="s">
        <v>929</v>
      </c>
      <c r="I11" t="s">
        <v>929</v>
      </c>
      <c r="J11" t="s">
        <v>929</v>
      </c>
      <c r="K11" t="s">
        <v>929</v>
      </c>
      <c r="L11" t="s">
        <v>929</v>
      </c>
      <c r="M11" t="s">
        <v>929</v>
      </c>
      <c r="N11" t="s">
        <v>929</v>
      </c>
      <c r="O11" t="s">
        <v>929</v>
      </c>
      <c r="P11" t="s">
        <v>929</v>
      </c>
      <c r="Q11" t="s">
        <v>929</v>
      </c>
      <c r="R11" t="s">
        <v>929</v>
      </c>
      <c r="S11" t="s">
        <v>929</v>
      </c>
      <c r="T11" t="s">
        <v>929</v>
      </c>
      <c r="U11" t="s">
        <v>929</v>
      </c>
      <c r="V11" t="s">
        <v>929</v>
      </c>
      <c r="W11" t="s">
        <v>929</v>
      </c>
      <c r="X11" t="s">
        <v>929</v>
      </c>
      <c r="Y11" t="s">
        <v>929</v>
      </c>
      <c r="Z11" t="s">
        <v>929</v>
      </c>
      <c r="AA11" t="s">
        <v>929</v>
      </c>
      <c r="AB11" t="s">
        <v>929</v>
      </c>
      <c r="AC11" t="s">
        <v>929</v>
      </c>
      <c r="AD11" t="s">
        <v>929</v>
      </c>
      <c r="AE11" t="s">
        <v>929</v>
      </c>
      <c r="AF11" t="s">
        <v>929</v>
      </c>
      <c r="AG11" t="s">
        <v>929</v>
      </c>
      <c r="AH11" t="s">
        <v>929</v>
      </c>
      <c r="AI11" t="s">
        <v>929</v>
      </c>
      <c r="AJ11" t="s">
        <v>929</v>
      </c>
      <c r="AK11" t="s">
        <v>929</v>
      </c>
      <c r="AL11" t="s">
        <v>929</v>
      </c>
      <c r="AM11" t="s">
        <v>929</v>
      </c>
      <c r="AN11" t="s">
        <v>929</v>
      </c>
      <c r="AO11" t="s">
        <v>929</v>
      </c>
      <c r="AP11" t="s">
        <v>929</v>
      </c>
      <c r="AQ11" t="s">
        <v>929</v>
      </c>
      <c r="AR11" t="s">
        <v>929</v>
      </c>
      <c r="AS11" t="s">
        <v>929</v>
      </c>
      <c r="AT11" t="s">
        <v>929</v>
      </c>
      <c r="AU11" t="s">
        <v>929</v>
      </c>
      <c r="AV11" t="s">
        <v>929</v>
      </c>
      <c r="AW11" t="s">
        <v>929</v>
      </c>
      <c r="AX11" t="s">
        <v>929</v>
      </c>
      <c r="AY11" t="s">
        <v>929</v>
      </c>
      <c r="AZ11" t="s">
        <v>929</v>
      </c>
      <c r="BA11" t="s">
        <v>929</v>
      </c>
      <c r="BB11" t="s">
        <v>929</v>
      </c>
      <c r="BC11" t="s">
        <v>929</v>
      </c>
      <c r="BD11" t="s">
        <v>929</v>
      </c>
      <c r="BE11" t="s">
        <v>929</v>
      </c>
      <c r="BF11" t="s">
        <v>929</v>
      </c>
      <c r="BG11" t="s">
        <v>929</v>
      </c>
      <c r="BH11" t="s">
        <v>929</v>
      </c>
      <c r="BI11" t="s">
        <v>929</v>
      </c>
      <c r="BJ11" t="s">
        <v>929</v>
      </c>
      <c r="BK11" t="s">
        <v>929</v>
      </c>
      <c r="BL11" t="s">
        <v>929</v>
      </c>
      <c r="BM11" t="s">
        <v>929</v>
      </c>
      <c r="BN11" t="s">
        <v>929</v>
      </c>
      <c r="BO11" t="s">
        <v>929</v>
      </c>
      <c r="BP11" t="s">
        <v>929</v>
      </c>
      <c r="BQ11" t="s">
        <v>929</v>
      </c>
      <c r="BR11" t="s">
        <v>929</v>
      </c>
      <c r="BS11" t="s">
        <v>929</v>
      </c>
      <c r="BT11" t="s">
        <v>929</v>
      </c>
      <c r="BU11" t="s">
        <v>929</v>
      </c>
      <c r="BV11" t="s">
        <v>929</v>
      </c>
      <c r="BW11" t="s">
        <v>929</v>
      </c>
      <c r="BX11" t="s">
        <v>929</v>
      </c>
      <c r="BY11" t="s">
        <v>929</v>
      </c>
      <c r="BZ11" t="s">
        <v>929</v>
      </c>
      <c r="CA11" t="s">
        <v>929</v>
      </c>
      <c r="CB11" t="s">
        <v>929</v>
      </c>
      <c r="CC11" t="s">
        <v>929</v>
      </c>
      <c r="CD11" t="s">
        <v>929</v>
      </c>
      <c r="CE11" t="s">
        <v>929</v>
      </c>
      <c r="CF11" t="s">
        <v>929</v>
      </c>
      <c r="CG11" t="s">
        <v>929</v>
      </c>
      <c r="CH11" t="s">
        <v>929</v>
      </c>
      <c r="CI11" t="s">
        <v>929</v>
      </c>
      <c r="CJ11" t="s">
        <v>929</v>
      </c>
      <c r="CK11" t="s">
        <v>929</v>
      </c>
      <c r="CL11" t="s">
        <v>929</v>
      </c>
      <c r="CM11" t="s">
        <v>929</v>
      </c>
      <c r="CN11" t="s">
        <v>929</v>
      </c>
      <c r="CO11" t="s">
        <v>929</v>
      </c>
      <c r="CP11" t="s">
        <v>929</v>
      </c>
      <c r="CQ11" t="s">
        <v>929</v>
      </c>
      <c r="CR11" t="s">
        <v>929</v>
      </c>
      <c r="CS11" t="s">
        <v>929</v>
      </c>
      <c r="CT11" t="s">
        <v>929</v>
      </c>
      <c r="CU11" t="s">
        <v>929</v>
      </c>
      <c r="CV11" t="s">
        <v>929</v>
      </c>
      <c r="CW11" t="s">
        <v>929</v>
      </c>
      <c r="CX11" t="s">
        <v>929</v>
      </c>
      <c r="CY11" t="s">
        <v>929</v>
      </c>
      <c r="CZ11" t="s">
        <v>929</v>
      </c>
      <c r="DA11" t="s">
        <v>929</v>
      </c>
      <c r="DB11" t="s">
        <v>929</v>
      </c>
      <c r="DC11" t="s">
        <v>929</v>
      </c>
      <c r="DD11" t="s">
        <v>929</v>
      </c>
      <c r="DE11" t="s">
        <v>929</v>
      </c>
      <c r="DF11" t="s">
        <v>929</v>
      </c>
      <c r="DG11" t="s">
        <v>929</v>
      </c>
      <c r="DH11" t="s">
        <v>929</v>
      </c>
      <c r="DI11" t="s">
        <v>929</v>
      </c>
      <c r="DJ11" t="s">
        <v>929</v>
      </c>
      <c r="DM11" t="s">
        <v>929</v>
      </c>
      <c r="DN11" t="s">
        <v>929</v>
      </c>
      <c r="DO11" t="s">
        <v>929</v>
      </c>
      <c r="DP11" t="s">
        <v>929</v>
      </c>
      <c r="DQ11" t="s">
        <v>929</v>
      </c>
      <c r="DR11" t="s">
        <v>929</v>
      </c>
      <c r="DS11" t="s">
        <v>929</v>
      </c>
      <c r="DT11" t="s">
        <v>929</v>
      </c>
      <c r="DU11" t="s">
        <v>929</v>
      </c>
      <c r="DV11" t="s">
        <v>929</v>
      </c>
      <c r="DW11" t="s">
        <v>929</v>
      </c>
      <c r="DX11" t="s">
        <v>929</v>
      </c>
      <c r="DY11" t="s">
        <v>929</v>
      </c>
      <c r="DZ11" t="s">
        <v>929</v>
      </c>
      <c r="EA11" t="s">
        <v>929</v>
      </c>
      <c r="EB11" t="s">
        <v>929</v>
      </c>
      <c r="EC11" t="s">
        <v>929</v>
      </c>
      <c r="ED11" t="s">
        <v>929</v>
      </c>
      <c r="EE11" t="s">
        <v>929</v>
      </c>
      <c r="EF11" t="s">
        <v>929</v>
      </c>
      <c r="EG11" t="s">
        <v>929</v>
      </c>
      <c r="EH11" t="s">
        <v>929</v>
      </c>
      <c r="EI11" t="s">
        <v>929</v>
      </c>
      <c r="EJ11" t="s">
        <v>929</v>
      </c>
      <c r="EK11" t="s">
        <v>929</v>
      </c>
      <c r="EL11" t="s">
        <v>929</v>
      </c>
      <c r="EM11" t="s">
        <v>929</v>
      </c>
      <c r="EN11" t="s">
        <v>929</v>
      </c>
      <c r="EO11" t="s">
        <v>929</v>
      </c>
      <c r="EP11" t="s">
        <v>929</v>
      </c>
      <c r="EQ11" t="s">
        <v>929</v>
      </c>
      <c r="ER11" t="s">
        <v>929</v>
      </c>
      <c r="ES11" t="s">
        <v>929</v>
      </c>
      <c r="ET11" t="s">
        <v>929</v>
      </c>
      <c r="EU11" t="s">
        <v>929</v>
      </c>
      <c r="EV11" t="s">
        <v>929</v>
      </c>
      <c r="EW11" t="s">
        <v>929</v>
      </c>
      <c r="EX11" t="s">
        <v>929</v>
      </c>
      <c r="EY11" t="s">
        <v>929</v>
      </c>
      <c r="EZ11" t="s">
        <v>929</v>
      </c>
      <c r="FA11" t="s">
        <v>929</v>
      </c>
      <c r="FB11" t="s">
        <v>929</v>
      </c>
      <c r="FC11" t="s">
        <v>929</v>
      </c>
      <c r="FD11" t="s">
        <v>929</v>
      </c>
      <c r="FE11" t="s">
        <v>929</v>
      </c>
      <c r="FF11" t="s">
        <v>929</v>
      </c>
    </row>
    <row r="12" spans="1:162" x14ac:dyDescent="0.25">
      <c r="A12" t="s">
        <v>1098</v>
      </c>
      <c r="B12" t="s">
        <v>1099</v>
      </c>
      <c r="C12" t="s">
        <v>1100</v>
      </c>
      <c r="D12" t="s">
        <v>1101</v>
      </c>
      <c r="E12" t="s">
        <v>1102</v>
      </c>
      <c r="F12" t="s">
        <v>1103</v>
      </c>
      <c r="G12" t="s">
        <v>1104</v>
      </c>
      <c r="H12" t="s">
        <v>1105</v>
      </c>
      <c r="I12" t="s">
        <v>1106</v>
      </c>
      <c r="J12" t="s">
        <v>1107</v>
      </c>
      <c r="K12" t="s">
        <v>1108</v>
      </c>
      <c r="L12" t="s">
        <v>1109</v>
      </c>
      <c r="M12" t="s">
        <v>1110</v>
      </c>
      <c r="N12" t="s">
        <v>1111</v>
      </c>
      <c r="O12" t="s">
        <v>1112</v>
      </c>
      <c r="P12" t="s">
        <v>1113</v>
      </c>
      <c r="Q12" t="s">
        <v>1114</v>
      </c>
      <c r="R12" t="s">
        <v>1115</v>
      </c>
      <c r="S12" t="s">
        <v>1116</v>
      </c>
      <c r="T12" t="s">
        <v>1117</v>
      </c>
      <c r="U12" t="s">
        <v>1118</v>
      </c>
      <c r="V12" t="s">
        <v>1119</v>
      </c>
      <c r="W12" t="s">
        <v>1120</v>
      </c>
      <c r="X12" t="s">
        <v>1121</v>
      </c>
      <c r="Y12" t="s">
        <v>1122</v>
      </c>
      <c r="Z12" t="s">
        <v>1123</v>
      </c>
      <c r="AA12" t="s">
        <v>1124</v>
      </c>
      <c r="AB12" t="s">
        <v>1125</v>
      </c>
      <c r="AC12" t="s">
        <v>1126</v>
      </c>
      <c r="AD12" t="s">
        <v>1127</v>
      </c>
      <c r="AE12" t="s">
        <v>1128</v>
      </c>
      <c r="AF12" t="s">
        <v>1129</v>
      </c>
      <c r="AG12" t="s">
        <v>1130</v>
      </c>
      <c r="AH12" t="s">
        <v>1131</v>
      </c>
      <c r="AI12" t="s">
        <v>1132</v>
      </c>
      <c r="AJ12" t="s">
        <v>1133</v>
      </c>
      <c r="AK12" t="s">
        <v>1134</v>
      </c>
      <c r="AL12" t="s">
        <v>1135</v>
      </c>
      <c r="AM12" t="s">
        <v>1136</v>
      </c>
      <c r="AN12" t="s">
        <v>1137</v>
      </c>
      <c r="AO12" t="s">
        <v>1138</v>
      </c>
      <c r="AP12" t="s">
        <v>1139</v>
      </c>
      <c r="AQ12" t="s">
        <v>1140</v>
      </c>
      <c r="AR12" t="s">
        <v>1141</v>
      </c>
      <c r="AS12" t="s">
        <v>1142</v>
      </c>
      <c r="AT12" t="s">
        <v>1143</v>
      </c>
      <c r="AU12" t="s">
        <v>1144</v>
      </c>
      <c r="AV12" t="s">
        <v>1145</v>
      </c>
      <c r="AW12" t="s">
        <v>1146</v>
      </c>
      <c r="AX12" t="s">
        <v>1147</v>
      </c>
      <c r="AY12" t="s">
        <v>1148</v>
      </c>
      <c r="AZ12" t="s">
        <v>1149</v>
      </c>
      <c r="BA12" t="s">
        <v>1150</v>
      </c>
      <c r="BB12" t="s">
        <v>1151</v>
      </c>
      <c r="BC12" t="s">
        <v>1152</v>
      </c>
      <c r="BD12" t="s">
        <v>1153</v>
      </c>
      <c r="BE12" t="s">
        <v>1154</v>
      </c>
      <c r="BF12" t="s">
        <v>1155</v>
      </c>
      <c r="BG12" t="s">
        <v>1156</v>
      </c>
      <c r="BH12" t="s">
        <v>1157</v>
      </c>
      <c r="BI12" t="s">
        <v>1158</v>
      </c>
      <c r="BJ12" t="s">
        <v>1159</v>
      </c>
      <c r="BK12" t="s">
        <v>1160</v>
      </c>
      <c r="BL12" t="s">
        <v>1161</v>
      </c>
      <c r="BM12" t="s">
        <v>1162</v>
      </c>
      <c r="BN12" t="s">
        <v>1163</v>
      </c>
      <c r="BO12" t="s">
        <v>1164</v>
      </c>
      <c r="BP12" t="s">
        <v>1165</v>
      </c>
      <c r="BQ12" t="s">
        <v>1166</v>
      </c>
      <c r="BR12" t="s">
        <v>1167</v>
      </c>
      <c r="BS12" t="s">
        <v>1168</v>
      </c>
      <c r="BT12" t="s">
        <v>1169</v>
      </c>
      <c r="BU12" t="s">
        <v>1170</v>
      </c>
      <c r="BV12" t="s">
        <v>1171</v>
      </c>
      <c r="BW12" t="s">
        <v>1172</v>
      </c>
      <c r="BX12" t="s">
        <v>1173</v>
      </c>
      <c r="BY12" t="s">
        <v>1174</v>
      </c>
      <c r="BZ12" t="s">
        <v>1175</v>
      </c>
      <c r="CA12" t="s">
        <v>1176</v>
      </c>
      <c r="CB12" t="s">
        <v>1177</v>
      </c>
      <c r="CC12" t="s">
        <v>1178</v>
      </c>
      <c r="CD12" t="s">
        <v>1179</v>
      </c>
      <c r="CE12" t="s">
        <v>1180</v>
      </c>
      <c r="CF12" t="s">
        <v>1181</v>
      </c>
      <c r="CG12" t="s">
        <v>1182</v>
      </c>
      <c r="CH12" t="s">
        <v>1183</v>
      </c>
      <c r="CI12" t="s">
        <v>1184</v>
      </c>
      <c r="CJ12" t="s">
        <v>1185</v>
      </c>
      <c r="CK12" t="s">
        <v>1186</v>
      </c>
      <c r="CL12" t="s">
        <v>1187</v>
      </c>
      <c r="CM12" t="s">
        <v>1188</v>
      </c>
      <c r="CN12" t="s">
        <v>1189</v>
      </c>
      <c r="CO12" t="s">
        <v>1190</v>
      </c>
      <c r="CP12" t="s">
        <v>1191</v>
      </c>
      <c r="CQ12" t="s">
        <v>1192</v>
      </c>
      <c r="CR12" t="s">
        <v>1193</v>
      </c>
      <c r="CS12" t="s">
        <v>1194</v>
      </c>
      <c r="CT12" t="s">
        <v>1195</v>
      </c>
      <c r="CU12" t="s">
        <v>1196</v>
      </c>
      <c r="CV12" t="s">
        <v>1197</v>
      </c>
      <c r="CW12" t="s">
        <v>1198</v>
      </c>
      <c r="CX12" t="s">
        <v>1199</v>
      </c>
      <c r="CY12" t="s">
        <v>1200</v>
      </c>
      <c r="CZ12" t="s">
        <v>1201</v>
      </c>
      <c r="DA12" t="s">
        <v>1202</v>
      </c>
      <c r="DB12" t="s">
        <v>1203</v>
      </c>
      <c r="DC12" t="s">
        <v>1204</v>
      </c>
      <c r="DD12" t="s">
        <v>1205</v>
      </c>
      <c r="DE12" t="s">
        <v>1206</v>
      </c>
      <c r="DF12" t="s">
        <v>1207</v>
      </c>
      <c r="DG12" t="s">
        <v>1208</v>
      </c>
      <c r="DH12" t="s">
        <v>1209</v>
      </c>
      <c r="DI12" t="s">
        <v>1210</v>
      </c>
      <c r="DJ12" t="s">
        <v>1211</v>
      </c>
      <c r="DK12">
        <f>SUM(DE12+DJ12)</f>
        <v>161.33725507995069</v>
      </c>
      <c r="DL12">
        <f>DK12*1000</f>
        <v>161337.2550799507</v>
      </c>
      <c r="DM12" t="s">
        <v>1212</v>
      </c>
      <c r="DN12" t="s">
        <v>1213</v>
      </c>
      <c r="DO12" t="s">
        <v>1214</v>
      </c>
      <c r="DP12" t="s">
        <v>1215</v>
      </c>
      <c r="DQ12" t="s">
        <v>1216</v>
      </c>
      <c r="DR12" t="s">
        <v>1217</v>
      </c>
      <c r="DS12" t="s">
        <v>1218</v>
      </c>
      <c r="DT12" t="s">
        <v>1219</v>
      </c>
      <c r="DU12" t="s">
        <v>1220</v>
      </c>
      <c r="DV12" t="s">
        <v>1221</v>
      </c>
      <c r="DW12" t="s">
        <v>1222</v>
      </c>
      <c r="DX12" t="s">
        <v>1223</v>
      </c>
      <c r="DY12" t="s">
        <v>1224</v>
      </c>
      <c r="DZ12" t="s">
        <v>1225</v>
      </c>
      <c r="EA12" t="s">
        <v>1226</v>
      </c>
      <c r="EB12" t="s">
        <v>1227</v>
      </c>
      <c r="EC12" t="s">
        <v>1228</v>
      </c>
      <c r="ED12" t="s">
        <v>1229</v>
      </c>
      <c r="EE12" t="s">
        <v>1230</v>
      </c>
      <c r="EF12" t="s">
        <v>1231</v>
      </c>
      <c r="EG12" t="s">
        <v>1232</v>
      </c>
      <c r="EH12" t="s">
        <v>1233</v>
      </c>
      <c r="EI12" t="s">
        <v>1234</v>
      </c>
      <c r="EJ12" t="s">
        <v>1235</v>
      </c>
      <c r="EK12" t="s">
        <v>1236</v>
      </c>
      <c r="EL12" t="s">
        <v>1237</v>
      </c>
      <c r="EM12" t="s">
        <v>1238</v>
      </c>
      <c r="EN12" t="s">
        <v>1239</v>
      </c>
      <c r="EO12" t="s">
        <v>1240</v>
      </c>
      <c r="EP12" t="s">
        <v>1241</v>
      </c>
      <c r="EQ12" t="s">
        <v>1242</v>
      </c>
      <c r="ER12" t="s">
        <v>1243</v>
      </c>
      <c r="ES12" t="s">
        <v>1244</v>
      </c>
      <c r="ET12" t="s">
        <v>1245</v>
      </c>
      <c r="EU12" t="s">
        <v>1246</v>
      </c>
      <c r="EV12" t="s">
        <v>1247</v>
      </c>
      <c r="EW12" t="s">
        <v>1248</v>
      </c>
      <c r="EX12" t="s">
        <v>1249</v>
      </c>
      <c r="EY12" t="s">
        <v>1250</v>
      </c>
      <c r="EZ12" t="s">
        <v>1251</v>
      </c>
      <c r="FA12" t="s">
        <v>1252</v>
      </c>
      <c r="FB12" t="s">
        <v>1253</v>
      </c>
      <c r="FC12" t="s">
        <v>1254</v>
      </c>
      <c r="FD12" t="s">
        <v>1255</v>
      </c>
      <c r="FE12" t="s">
        <v>1256</v>
      </c>
      <c r="FF12" t="s">
        <v>1257</v>
      </c>
    </row>
    <row r="13" spans="1:162" ht="17.25" x14ac:dyDescent="0.3">
      <c r="A13" t="s">
        <v>1258</v>
      </c>
      <c r="B13" t="s">
        <v>1259</v>
      </c>
      <c r="C13" t="s">
        <v>1259</v>
      </c>
      <c r="D13" t="s">
        <v>1259</v>
      </c>
      <c r="E13" t="s">
        <v>1259</v>
      </c>
      <c r="F13" t="s">
        <v>1259</v>
      </c>
      <c r="G13" t="s">
        <v>1259</v>
      </c>
      <c r="H13" t="s">
        <v>1259</v>
      </c>
      <c r="I13" t="s">
        <v>1259</v>
      </c>
      <c r="J13" t="s">
        <v>1259</v>
      </c>
      <c r="K13" t="s">
        <v>1259</v>
      </c>
      <c r="L13" t="s">
        <v>1259</v>
      </c>
      <c r="M13" t="s">
        <v>1259</v>
      </c>
      <c r="N13" t="s">
        <v>1259</v>
      </c>
      <c r="O13" t="s">
        <v>1259</v>
      </c>
      <c r="P13" t="s">
        <v>1259</v>
      </c>
      <c r="Q13" t="s">
        <v>1259</v>
      </c>
      <c r="R13" t="s">
        <v>1259</v>
      </c>
      <c r="S13" t="s">
        <v>1259</v>
      </c>
      <c r="T13" t="s">
        <v>1259</v>
      </c>
      <c r="U13" t="s">
        <v>1259</v>
      </c>
      <c r="V13" t="s">
        <v>1259</v>
      </c>
      <c r="W13" t="s">
        <v>1259</v>
      </c>
      <c r="X13" t="s">
        <v>1259</v>
      </c>
      <c r="Y13" t="s">
        <v>1259</v>
      </c>
      <c r="Z13" t="s">
        <v>1259</v>
      </c>
      <c r="AA13" t="s">
        <v>1259</v>
      </c>
      <c r="AB13" t="s">
        <v>1259</v>
      </c>
      <c r="AC13" t="s">
        <v>1259</v>
      </c>
      <c r="AD13" t="s">
        <v>1259</v>
      </c>
      <c r="AE13" t="s">
        <v>1259</v>
      </c>
      <c r="AF13" t="s">
        <v>1259</v>
      </c>
      <c r="AG13" t="s">
        <v>1259</v>
      </c>
      <c r="AH13" t="s">
        <v>1259</v>
      </c>
      <c r="AI13" t="s">
        <v>1259</v>
      </c>
      <c r="AJ13" t="s">
        <v>1259</v>
      </c>
      <c r="AK13" t="s">
        <v>1259</v>
      </c>
      <c r="AL13" t="s">
        <v>1259</v>
      </c>
      <c r="AM13" t="s">
        <v>1259</v>
      </c>
      <c r="AN13" t="s">
        <v>1259</v>
      </c>
      <c r="AO13" t="s">
        <v>1259</v>
      </c>
      <c r="AP13" t="s">
        <v>1259</v>
      </c>
      <c r="AQ13" t="s">
        <v>1259</v>
      </c>
      <c r="AR13" t="s">
        <v>1259</v>
      </c>
      <c r="AS13" t="s">
        <v>1259</v>
      </c>
      <c r="AT13" t="s">
        <v>1259</v>
      </c>
      <c r="AU13" t="s">
        <v>1259</v>
      </c>
      <c r="AV13" t="s">
        <v>1259</v>
      </c>
      <c r="AW13" t="s">
        <v>1259</v>
      </c>
      <c r="AX13" t="s">
        <v>1259</v>
      </c>
      <c r="AY13" t="s">
        <v>1259</v>
      </c>
      <c r="AZ13" t="s">
        <v>1259</v>
      </c>
      <c r="BA13" t="s">
        <v>1259</v>
      </c>
      <c r="BB13" t="s">
        <v>1259</v>
      </c>
      <c r="BC13" t="s">
        <v>1259</v>
      </c>
      <c r="BD13" t="s">
        <v>1259</v>
      </c>
      <c r="BE13" t="s">
        <v>1259</v>
      </c>
      <c r="BF13" t="s">
        <v>1259</v>
      </c>
      <c r="BG13" t="s">
        <v>1259</v>
      </c>
      <c r="BH13" t="s">
        <v>1259</v>
      </c>
      <c r="BI13" t="s">
        <v>1259</v>
      </c>
      <c r="BJ13" t="s">
        <v>1259</v>
      </c>
      <c r="BK13" t="s">
        <v>1259</v>
      </c>
      <c r="BL13" t="s">
        <v>1259</v>
      </c>
      <c r="BM13" t="s">
        <v>1259</v>
      </c>
      <c r="BN13" t="s">
        <v>1259</v>
      </c>
      <c r="BO13" t="s">
        <v>1259</v>
      </c>
      <c r="BP13" t="s">
        <v>1259</v>
      </c>
      <c r="BQ13" t="s">
        <v>1259</v>
      </c>
      <c r="BR13" t="s">
        <v>1259</v>
      </c>
      <c r="BS13" t="s">
        <v>1259</v>
      </c>
      <c r="BT13" t="s">
        <v>1259</v>
      </c>
      <c r="BU13" t="s">
        <v>1259</v>
      </c>
      <c r="BV13" t="s">
        <v>1259</v>
      </c>
      <c r="BW13" t="s">
        <v>1259</v>
      </c>
      <c r="BX13" t="s">
        <v>1259</v>
      </c>
      <c r="BY13" t="s">
        <v>1259</v>
      </c>
      <c r="BZ13" t="s">
        <v>1259</v>
      </c>
      <c r="CA13" t="s">
        <v>1259</v>
      </c>
      <c r="CB13" t="s">
        <v>1259</v>
      </c>
      <c r="CC13" t="s">
        <v>1259</v>
      </c>
      <c r="CD13" t="s">
        <v>1259</v>
      </c>
      <c r="CE13" t="s">
        <v>1259</v>
      </c>
      <c r="CF13" t="s">
        <v>1259</v>
      </c>
      <c r="CG13" t="s">
        <v>1259</v>
      </c>
      <c r="CH13" t="s">
        <v>1259</v>
      </c>
      <c r="CI13" t="s">
        <v>1259</v>
      </c>
      <c r="CJ13" t="s">
        <v>1259</v>
      </c>
      <c r="CK13" t="s">
        <v>1259</v>
      </c>
      <c r="CL13" t="s">
        <v>1259</v>
      </c>
      <c r="CM13" t="s">
        <v>1259</v>
      </c>
      <c r="CN13" t="s">
        <v>1259</v>
      </c>
      <c r="CO13" t="s">
        <v>1259</v>
      </c>
      <c r="CP13" t="s">
        <v>1259</v>
      </c>
      <c r="CQ13" t="s">
        <v>1259</v>
      </c>
      <c r="CR13" t="s">
        <v>1259</v>
      </c>
      <c r="CS13" t="s">
        <v>1259</v>
      </c>
      <c r="CT13" t="s">
        <v>1259</v>
      </c>
      <c r="CU13" t="s">
        <v>1259</v>
      </c>
      <c r="CV13" t="s">
        <v>1259</v>
      </c>
      <c r="CW13" t="s">
        <v>1259</v>
      </c>
      <c r="CX13" t="s">
        <v>1259</v>
      </c>
      <c r="CY13" t="s">
        <v>1259</v>
      </c>
      <c r="CZ13" t="s">
        <v>1259</v>
      </c>
      <c r="DA13" t="s">
        <v>1259</v>
      </c>
      <c r="DB13" t="s">
        <v>1259</v>
      </c>
      <c r="DC13" t="s">
        <v>1259</v>
      </c>
      <c r="DD13" t="s">
        <v>1259</v>
      </c>
      <c r="DE13" t="s">
        <v>1259</v>
      </c>
      <c r="DF13" t="s">
        <v>1259</v>
      </c>
      <c r="DG13" t="s">
        <v>1259</v>
      </c>
      <c r="DH13" t="s">
        <v>1259</v>
      </c>
      <c r="DI13" t="s">
        <v>1259</v>
      </c>
      <c r="DJ13" t="s">
        <v>1259</v>
      </c>
      <c r="DL13" s="21">
        <f xml:space="preserve"> ($DL$17-$DL$12)/5 + DL12</f>
        <v>160499.09959784997</v>
      </c>
      <c r="DM13" t="s">
        <v>1259</v>
      </c>
      <c r="DN13" t="s">
        <v>1259</v>
      </c>
      <c r="DO13" t="s">
        <v>1259</v>
      </c>
      <c r="DP13" t="s">
        <v>1259</v>
      </c>
      <c r="DQ13" t="s">
        <v>1259</v>
      </c>
      <c r="DR13" t="s">
        <v>1259</v>
      </c>
      <c r="DS13" t="s">
        <v>1259</v>
      </c>
      <c r="DT13" t="s">
        <v>1259</v>
      </c>
      <c r="DU13" t="s">
        <v>1259</v>
      </c>
      <c r="DV13" t="s">
        <v>1259</v>
      </c>
      <c r="DW13" t="s">
        <v>1259</v>
      </c>
      <c r="DX13" t="s">
        <v>1259</v>
      </c>
      <c r="DY13" t="s">
        <v>1259</v>
      </c>
      <c r="DZ13" t="s">
        <v>1259</v>
      </c>
      <c r="EA13" t="s">
        <v>1259</v>
      </c>
      <c r="EB13" t="s">
        <v>1259</v>
      </c>
      <c r="EC13" t="s">
        <v>1259</v>
      </c>
      <c r="ED13" t="s">
        <v>1259</v>
      </c>
      <c r="EE13" t="s">
        <v>1259</v>
      </c>
      <c r="EF13" t="s">
        <v>1259</v>
      </c>
      <c r="EG13" t="s">
        <v>1259</v>
      </c>
      <c r="EH13" t="s">
        <v>1259</v>
      </c>
      <c r="EI13" t="s">
        <v>1259</v>
      </c>
      <c r="EJ13" t="s">
        <v>1259</v>
      </c>
      <c r="EK13" t="s">
        <v>1259</v>
      </c>
      <c r="EL13" t="s">
        <v>1259</v>
      </c>
      <c r="EM13" t="s">
        <v>1259</v>
      </c>
      <c r="EN13" t="s">
        <v>1259</v>
      </c>
      <c r="EO13" t="s">
        <v>1259</v>
      </c>
      <c r="EP13" t="s">
        <v>1259</v>
      </c>
      <c r="EQ13" t="s">
        <v>1259</v>
      </c>
      <c r="ER13" t="s">
        <v>1259</v>
      </c>
      <c r="ES13" t="s">
        <v>1259</v>
      </c>
      <c r="ET13" t="s">
        <v>1259</v>
      </c>
      <c r="EU13" t="s">
        <v>1259</v>
      </c>
      <c r="EV13" t="s">
        <v>1259</v>
      </c>
      <c r="EW13" t="s">
        <v>1259</v>
      </c>
      <c r="EX13" t="s">
        <v>1259</v>
      </c>
      <c r="EY13" t="s">
        <v>1259</v>
      </c>
      <c r="EZ13" t="s">
        <v>1259</v>
      </c>
      <c r="FA13" t="s">
        <v>1259</v>
      </c>
      <c r="FB13" t="s">
        <v>1259</v>
      </c>
      <c r="FC13" t="s">
        <v>1259</v>
      </c>
      <c r="FD13" t="s">
        <v>1259</v>
      </c>
      <c r="FE13" t="s">
        <v>1259</v>
      </c>
      <c r="FF13" t="s">
        <v>1259</v>
      </c>
    </row>
    <row r="14" spans="1:162" ht="17.25" x14ac:dyDescent="0.3">
      <c r="A14" t="s">
        <v>1260</v>
      </c>
      <c r="B14" t="s">
        <v>1259</v>
      </c>
      <c r="C14" t="s">
        <v>1259</v>
      </c>
      <c r="D14" t="s">
        <v>1259</v>
      </c>
      <c r="E14" t="s">
        <v>1259</v>
      </c>
      <c r="F14" t="s">
        <v>1259</v>
      </c>
      <c r="G14" t="s">
        <v>1259</v>
      </c>
      <c r="H14" t="s">
        <v>1259</v>
      </c>
      <c r="I14" t="s">
        <v>1259</v>
      </c>
      <c r="J14" t="s">
        <v>1259</v>
      </c>
      <c r="K14" t="s">
        <v>1259</v>
      </c>
      <c r="L14" t="s">
        <v>1259</v>
      </c>
      <c r="M14" t="s">
        <v>1259</v>
      </c>
      <c r="N14" t="s">
        <v>1259</v>
      </c>
      <c r="O14" t="s">
        <v>1259</v>
      </c>
      <c r="P14" t="s">
        <v>1259</v>
      </c>
      <c r="Q14" t="s">
        <v>1259</v>
      </c>
      <c r="R14" t="s">
        <v>1259</v>
      </c>
      <c r="S14" t="s">
        <v>1259</v>
      </c>
      <c r="T14" t="s">
        <v>1259</v>
      </c>
      <c r="U14" t="s">
        <v>1259</v>
      </c>
      <c r="V14" t="s">
        <v>1259</v>
      </c>
      <c r="W14" t="s">
        <v>1259</v>
      </c>
      <c r="X14" t="s">
        <v>1259</v>
      </c>
      <c r="Y14" t="s">
        <v>1259</v>
      </c>
      <c r="Z14" t="s">
        <v>1259</v>
      </c>
      <c r="AA14" t="s">
        <v>1259</v>
      </c>
      <c r="AB14" t="s">
        <v>1259</v>
      </c>
      <c r="AC14" t="s">
        <v>1259</v>
      </c>
      <c r="AD14" t="s">
        <v>1259</v>
      </c>
      <c r="AE14" t="s">
        <v>1259</v>
      </c>
      <c r="AF14" t="s">
        <v>1259</v>
      </c>
      <c r="AG14" t="s">
        <v>1259</v>
      </c>
      <c r="AH14" t="s">
        <v>1259</v>
      </c>
      <c r="AI14" t="s">
        <v>1259</v>
      </c>
      <c r="AJ14" t="s">
        <v>1259</v>
      </c>
      <c r="AK14" t="s">
        <v>1259</v>
      </c>
      <c r="AL14" t="s">
        <v>1259</v>
      </c>
      <c r="AM14" t="s">
        <v>1259</v>
      </c>
      <c r="AN14" t="s">
        <v>1259</v>
      </c>
      <c r="AO14" t="s">
        <v>1259</v>
      </c>
      <c r="AP14" t="s">
        <v>1259</v>
      </c>
      <c r="AQ14" t="s">
        <v>1259</v>
      </c>
      <c r="AR14" t="s">
        <v>1259</v>
      </c>
      <c r="AS14" t="s">
        <v>1259</v>
      </c>
      <c r="AT14" t="s">
        <v>1259</v>
      </c>
      <c r="AU14" t="s">
        <v>1259</v>
      </c>
      <c r="AV14" t="s">
        <v>1259</v>
      </c>
      <c r="AW14" t="s">
        <v>1259</v>
      </c>
      <c r="AX14" t="s">
        <v>1259</v>
      </c>
      <c r="AY14" t="s">
        <v>1259</v>
      </c>
      <c r="AZ14" t="s">
        <v>1259</v>
      </c>
      <c r="BA14" t="s">
        <v>1259</v>
      </c>
      <c r="BB14" t="s">
        <v>1259</v>
      </c>
      <c r="BC14" t="s">
        <v>1259</v>
      </c>
      <c r="BD14" t="s">
        <v>1259</v>
      </c>
      <c r="BE14" t="s">
        <v>1259</v>
      </c>
      <c r="BF14" t="s">
        <v>1259</v>
      </c>
      <c r="BG14" t="s">
        <v>1259</v>
      </c>
      <c r="BH14" t="s">
        <v>1259</v>
      </c>
      <c r="BI14" t="s">
        <v>1259</v>
      </c>
      <c r="BJ14" t="s">
        <v>1259</v>
      </c>
      <c r="BK14" t="s">
        <v>1259</v>
      </c>
      <c r="BL14" t="s">
        <v>1259</v>
      </c>
      <c r="BM14" t="s">
        <v>1259</v>
      </c>
      <c r="BN14" t="s">
        <v>1259</v>
      </c>
      <c r="BO14" t="s">
        <v>1259</v>
      </c>
      <c r="BP14" t="s">
        <v>1259</v>
      </c>
      <c r="BQ14" t="s">
        <v>1259</v>
      </c>
      <c r="BR14" t="s">
        <v>1259</v>
      </c>
      <c r="BS14" t="s">
        <v>1259</v>
      </c>
      <c r="BT14" t="s">
        <v>1259</v>
      </c>
      <c r="BU14" t="s">
        <v>1259</v>
      </c>
      <c r="BV14" t="s">
        <v>1259</v>
      </c>
      <c r="BW14" t="s">
        <v>1259</v>
      </c>
      <c r="BX14" t="s">
        <v>1259</v>
      </c>
      <c r="BY14" t="s">
        <v>1259</v>
      </c>
      <c r="BZ14" t="s">
        <v>1259</v>
      </c>
      <c r="CA14" t="s">
        <v>1259</v>
      </c>
      <c r="CB14" t="s">
        <v>1259</v>
      </c>
      <c r="CC14" t="s">
        <v>1259</v>
      </c>
      <c r="CD14" t="s">
        <v>1259</v>
      </c>
      <c r="CE14" t="s">
        <v>1259</v>
      </c>
      <c r="CF14" t="s">
        <v>1259</v>
      </c>
      <c r="CG14" t="s">
        <v>1259</v>
      </c>
      <c r="CH14" t="s">
        <v>1259</v>
      </c>
      <c r="CI14" t="s">
        <v>1259</v>
      </c>
      <c r="CJ14" t="s">
        <v>1259</v>
      </c>
      <c r="CK14" t="s">
        <v>1259</v>
      </c>
      <c r="CL14" t="s">
        <v>1259</v>
      </c>
      <c r="CM14" t="s">
        <v>1259</v>
      </c>
      <c r="CN14" t="s">
        <v>1259</v>
      </c>
      <c r="CO14" t="s">
        <v>1259</v>
      </c>
      <c r="CP14" t="s">
        <v>1259</v>
      </c>
      <c r="CQ14" t="s">
        <v>1259</v>
      </c>
      <c r="CR14" t="s">
        <v>1259</v>
      </c>
      <c r="CS14" t="s">
        <v>1259</v>
      </c>
      <c r="CT14" t="s">
        <v>1259</v>
      </c>
      <c r="CU14" t="s">
        <v>1259</v>
      </c>
      <c r="CV14" t="s">
        <v>1259</v>
      </c>
      <c r="CW14" t="s">
        <v>1259</v>
      </c>
      <c r="CX14" t="s">
        <v>1259</v>
      </c>
      <c r="CY14" t="s">
        <v>1259</v>
      </c>
      <c r="CZ14" t="s">
        <v>1259</v>
      </c>
      <c r="DA14" t="s">
        <v>1259</v>
      </c>
      <c r="DB14" t="s">
        <v>1259</v>
      </c>
      <c r="DC14" t="s">
        <v>1259</v>
      </c>
      <c r="DD14" t="s">
        <v>1259</v>
      </c>
      <c r="DE14" t="s">
        <v>1259</v>
      </c>
      <c r="DF14" t="s">
        <v>1259</v>
      </c>
      <c r="DG14" t="s">
        <v>1259</v>
      </c>
      <c r="DH14" t="s">
        <v>1259</v>
      </c>
      <c r="DI14" t="s">
        <v>1259</v>
      </c>
      <c r="DJ14" t="s">
        <v>1259</v>
      </c>
      <c r="DL14" s="21">
        <f t="shared" ref="DL14:DL16" si="0" xml:space="preserve"> ($DL$17-$DL$12)/5 + DL13</f>
        <v>159660.94411574924</v>
      </c>
      <c r="DM14" t="s">
        <v>1259</v>
      </c>
      <c r="DN14" t="s">
        <v>1259</v>
      </c>
      <c r="DO14" t="s">
        <v>1259</v>
      </c>
      <c r="DP14" t="s">
        <v>1259</v>
      </c>
      <c r="DQ14" t="s">
        <v>1259</v>
      </c>
      <c r="DR14" t="s">
        <v>1259</v>
      </c>
      <c r="DS14" t="s">
        <v>1259</v>
      </c>
      <c r="DT14" t="s">
        <v>1259</v>
      </c>
      <c r="DU14" t="s">
        <v>1259</v>
      </c>
      <c r="DV14" t="s">
        <v>1259</v>
      </c>
      <c r="DW14" t="s">
        <v>1259</v>
      </c>
      <c r="DX14" t="s">
        <v>1259</v>
      </c>
      <c r="DY14" t="s">
        <v>1259</v>
      </c>
      <c r="DZ14" t="s">
        <v>1259</v>
      </c>
      <c r="EA14" t="s">
        <v>1259</v>
      </c>
      <c r="EB14" t="s">
        <v>1259</v>
      </c>
      <c r="EC14" t="s">
        <v>1259</v>
      </c>
      <c r="ED14" t="s">
        <v>1259</v>
      </c>
      <c r="EE14" t="s">
        <v>1259</v>
      </c>
      <c r="EF14" t="s">
        <v>1259</v>
      </c>
      <c r="EG14" t="s">
        <v>1259</v>
      </c>
      <c r="EH14" t="s">
        <v>1259</v>
      </c>
      <c r="EI14" t="s">
        <v>1259</v>
      </c>
      <c r="EJ14" t="s">
        <v>1259</v>
      </c>
      <c r="EK14" t="s">
        <v>1259</v>
      </c>
      <c r="EL14" t="s">
        <v>1259</v>
      </c>
      <c r="EM14" t="s">
        <v>1259</v>
      </c>
      <c r="EN14" t="s">
        <v>1259</v>
      </c>
      <c r="EO14" t="s">
        <v>1259</v>
      </c>
      <c r="EP14" t="s">
        <v>1259</v>
      </c>
      <c r="EQ14" t="s">
        <v>1259</v>
      </c>
      <c r="ER14" t="s">
        <v>1259</v>
      </c>
      <c r="ES14" t="s">
        <v>1259</v>
      </c>
      <c r="ET14" t="s">
        <v>1259</v>
      </c>
      <c r="EU14" t="s">
        <v>1259</v>
      </c>
      <c r="EV14" t="s">
        <v>1259</v>
      </c>
      <c r="EW14" t="s">
        <v>1259</v>
      </c>
      <c r="EX14" t="s">
        <v>1259</v>
      </c>
      <c r="EY14" t="s">
        <v>1259</v>
      </c>
      <c r="EZ14" t="s">
        <v>1259</v>
      </c>
      <c r="FA14" t="s">
        <v>1259</v>
      </c>
      <c r="FB14" t="s">
        <v>1259</v>
      </c>
      <c r="FC14" t="s">
        <v>1259</v>
      </c>
      <c r="FD14" t="s">
        <v>1259</v>
      </c>
      <c r="FE14" t="s">
        <v>1259</v>
      </c>
      <c r="FF14" t="s">
        <v>1259</v>
      </c>
    </row>
    <row r="15" spans="1:162" ht="17.25" x14ac:dyDescent="0.3">
      <c r="A15" t="s">
        <v>1261</v>
      </c>
      <c r="B15" t="s">
        <v>1259</v>
      </c>
      <c r="C15" t="s">
        <v>1259</v>
      </c>
      <c r="D15" t="s">
        <v>1259</v>
      </c>
      <c r="E15" t="s">
        <v>1259</v>
      </c>
      <c r="F15" t="s">
        <v>1259</v>
      </c>
      <c r="G15" t="s">
        <v>1259</v>
      </c>
      <c r="H15" t="s">
        <v>1259</v>
      </c>
      <c r="I15" t="s">
        <v>1259</v>
      </c>
      <c r="J15" t="s">
        <v>1259</v>
      </c>
      <c r="K15" t="s">
        <v>1259</v>
      </c>
      <c r="L15" t="s">
        <v>1259</v>
      </c>
      <c r="M15" t="s">
        <v>1259</v>
      </c>
      <c r="N15" t="s">
        <v>1259</v>
      </c>
      <c r="O15" t="s">
        <v>1259</v>
      </c>
      <c r="P15" t="s">
        <v>1259</v>
      </c>
      <c r="Q15" t="s">
        <v>1259</v>
      </c>
      <c r="R15" t="s">
        <v>1259</v>
      </c>
      <c r="S15" t="s">
        <v>1259</v>
      </c>
      <c r="T15" t="s">
        <v>1259</v>
      </c>
      <c r="U15" t="s">
        <v>1259</v>
      </c>
      <c r="V15" t="s">
        <v>1259</v>
      </c>
      <c r="W15" t="s">
        <v>1259</v>
      </c>
      <c r="X15" t="s">
        <v>1259</v>
      </c>
      <c r="Y15" t="s">
        <v>1259</v>
      </c>
      <c r="Z15" t="s">
        <v>1259</v>
      </c>
      <c r="AA15" t="s">
        <v>1259</v>
      </c>
      <c r="AB15" t="s">
        <v>1259</v>
      </c>
      <c r="AC15" t="s">
        <v>1259</v>
      </c>
      <c r="AD15" t="s">
        <v>1259</v>
      </c>
      <c r="AE15" t="s">
        <v>1259</v>
      </c>
      <c r="AF15" t="s">
        <v>1259</v>
      </c>
      <c r="AG15" t="s">
        <v>1259</v>
      </c>
      <c r="AH15" t="s">
        <v>1259</v>
      </c>
      <c r="AI15" t="s">
        <v>1259</v>
      </c>
      <c r="AJ15" t="s">
        <v>1259</v>
      </c>
      <c r="AK15" t="s">
        <v>1259</v>
      </c>
      <c r="AL15" t="s">
        <v>1259</v>
      </c>
      <c r="AM15" t="s">
        <v>1259</v>
      </c>
      <c r="AN15" t="s">
        <v>1259</v>
      </c>
      <c r="AO15" t="s">
        <v>1259</v>
      </c>
      <c r="AP15" t="s">
        <v>1259</v>
      </c>
      <c r="AQ15" t="s">
        <v>1259</v>
      </c>
      <c r="AR15" t="s">
        <v>1259</v>
      </c>
      <c r="AS15" t="s">
        <v>1259</v>
      </c>
      <c r="AT15" t="s">
        <v>1259</v>
      </c>
      <c r="AU15" t="s">
        <v>1259</v>
      </c>
      <c r="AV15" t="s">
        <v>1259</v>
      </c>
      <c r="AW15" t="s">
        <v>1259</v>
      </c>
      <c r="AX15" t="s">
        <v>1259</v>
      </c>
      <c r="AY15" t="s">
        <v>1259</v>
      </c>
      <c r="AZ15" t="s">
        <v>1259</v>
      </c>
      <c r="BA15" t="s">
        <v>1259</v>
      </c>
      <c r="BB15" t="s">
        <v>1259</v>
      </c>
      <c r="BC15" t="s">
        <v>1259</v>
      </c>
      <c r="BD15" t="s">
        <v>1259</v>
      </c>
      <c r="BE15" t="s">
        <v>1259</v>
      </c>
      <c r="BF15" t="s">
        <v>1259</v>
      </c>
      <c r="BG15" t="s">
        <v>1259</v>
      </c>
      <c r="BH15" t="s">
        <v>1259</v>
      </c>
      <c r="BI15" t="s">
        <v>1259</v>
      </c>
      <c r="BJ15" t="s">
        <v>1259</v>
      </c>
      <c r="BK15" t="s">
        <v>1259</v>
      </c>
      <c r="BL15" t="s">
        <v>1259</v>
      </c>
      <c r="BM15" t="s">
        <v>1259</v>
      </c>
      <c r="BN15" t="s">
        <v>1259</v>
      </c>
      <c r="BO15" t="s">
        <v>1259</v>
      </c>
      <c r="BP15" t="s">
        <v>1259</v>
      </c>
      <c r="BQ15" t="s">
        <v>1259</v>
      </c>
      <c r="BR15" t="s">
        <v>1259</v>
      </c>
      <c r="BS15" t="s">
        <v>1259</v>
      </c>
      <c r="BT15" t="s">
        <v>1259</v>
      </c>
      <c r="BU15" t="s">
        <v>1259</v>
      </c>
      <c r="BV15" t="s">
        <v>1259</v>
      </c>
      <c r="BW15" t="s">
        <v>1259</v>
      </c>
      <c r="BX15" t="s">
        <v>1259</v>
      </c>
      <c r="BY15" t="s">
        <v>1259</v>
      </c>
      <c r="BZ15" t="s">
        <v>1259</v>
      </c>
      <c r="CA15" t="s">
        <v>1259</v>
      </c>
      <c r="CB15" t="s">
        <v>1259</v>
      </c>
      <c r="CC15" t="s">
        <v>1259</v>
      </c>
      <c r="CD15" t="s">
        <v>1259</v>
      </c>
      <c r="CE15" t="s">
        <v>1259</v>
      </c>
      <c r="CF15" t="s">
        <v>1259</v>
      </c>
      <c r="CG15" t="s">
        <v>1259</v>
      </c>
      <c r="CH15" t="s">
        <v>1259</v>
      </c>
      <c r="CI15" t="s">
        <v>1259</v>
      </c>
      <c r="CJ15" t="s">
        <v>1259</v>
      </c>
      <c r="CK15" t="s">
        <v>1259</v>
      </c>
      <c r="CL15" t="s">
        <v>1259</v>
      </c>
      <c r="CM15" t="s">
        <v>1259</v>
      </c>
      <c r="CN15" t="s">
        <v>1259</v>
      </c>
      <c r="CO15" t="s">
        <v>1259</v>
      </c>
      <c r="CP15" t="s">
        <v>1259</v>
      </c>
      <c r="CQ15" t="s">
        <v>1259</v>
      </c>
      <c r="CR15" t="s">
        <v>1259</v>
      </c>
      <c r="CS15" t="s">
        <v>1259</v>
      </c>
      <c r="CT15" t="s">
        <v>1259</v>
      </c>
      <c r="CU15" t="s">
        <v>1259</v>
      </c>
      <c r="CV15" t="s">
        <v>1259</v>
      </c>
      <c r="CW15" t="s">
        <v>1259</v>
      </c>
      <c r="CX15" t="s">
        <v>1259</v>
      </c>
      <c r="CY15" t="s">
        <v>1259</v>
      </c>
      <c r="CZ15" t="s">
        <v>1259</v>
      </c>
      <c r="DA15" t="s">
        <v>1259</v>
      </c>
      <c r="DB15" t="s">
        <v>1259</v>
      </c>
      <c r="DC15" t="s">
        <v>1259</v>
      </c>
      <c r="DD15" t="s">
        <v>1259</v>
      </c>
      <c r="DE15" t="s">
        <v>1259</v>
      </c>
      <c r="DF15" t="s">
        <v>1259</v>
      </c>
      <c r="DG15" t="s">
        <v>1259</v>
      </c>
      <c r="DH15" t="s">
        <v>1259</v>
      </c>
      <c r="DI15" t="s">
        <v>1259</v>
      </c>
      <c r="DJ15" t="s">
        <v>1259</v>
      </c>
      <c r="DL15" s="21">
        <f t="shared" si="0"/>
        <v>158822.78863364851</v>
      </c>
      <c r="DM15" t="s">
        <v>1259</v>
      </c>
      <c r="DN15" t="s">
        <v>1259</v>
      </c>
      <c r="DO15" t="s">
        <v>1259</v>
      </c>
      <c r="DP15" t="s">
        <v>1259</v>
      </c>
      <c r="DQ15" t="s">
        <v>1259</v>
      </c>
      <c r="DR15" t="s">
        <v>1259</v>
      </c>
      <c r="DS15" t="s">
        <v>1259</v>
      </c>
      <c r="DT15" t="s">
        <v>1259</v>
      </c>
      <c r="DU15" t="s">
        <v>1259</v>
      </c>
      <c r="DV15" t="s">
        <v>1259</v>
      </c>
      <c r="DW15" t="s">
        <v>1259</v>
      </c>
      <c r="DX15" t="s">
        <v>1259</v>
      </c>
      <c r="DY15" t="s">
        <v>1259</v>
      </c>
      <c r="DZ15" t="s">
        <v>1259</v>
      </c>
      <c r="EA15" t="s">
        <v>1259</v>
      </c>
      <c r="EB15" t="s">
        <v>1259</v>
      </c>
      <c r="EC15" t="s">
        <v>1259</v>
      </c>
      <c r="ED15" t="s">
        <v>1259</v>
      </c>
      <c r="EE15" t="s">
        <v>1259</v>
      </c>
      <c r="EF15" t="s">
        <v>1259</v>
      </c>
      <c r="EG15" t="s">
        <v>1259</v>
      </c>
      <c r="EH15" t="s">
        <v>1259</v>
      </c>
      <c r="EI15" t="s">
        <v>1259</v>
      </c>
      <c r="EJ15" t="s">
        <v>1259</v>
      </c>
      <c r="EK15" t="s">
        <v>1259</v>
      </c>
      <c r="EL15" t="s">
        <v>1259</v>
      </c>
      <c r="EM15" t="s">
        <v>1259</v>
      </c>
      <c r="EN15" t="s">
        <v>1259</v>
      </c>
      <c r="EO15" t="s">
        <v>1259</v>
      </c>
      <c r="EP15" t="s">
        <v>1259</v>
      </c>
      <c r="EQ15" t="s">
        <v>1259</v>
      </c>
      <c r="ER15" t="s">
        <v>1259</v>
      </c>
      <c r="ES15" t="s">
        <v>1259</v>
      </c>
      <c r="ET15" t="s">
        <v>1259</v>
      </c>
      <c r="EU15" t="s">
        <v>1259</v>
      </c>
      <c r="EV15" t="s">
        <v>1259</v>
      </c>
      <c r="EW15" t="s">
        <v>1259</v>
      </c>
      <c r="EX15" t="s">
        <v>1259</v>
      </c>
      <c r="EY15" t="s">
        <v>1259</v>
      </c>
      <c r="EZ15" t="s">
        <v>1259</v>
      </c>
      <c r="FA15" t="s">
        <v>1259</v>
      </c>
      <c r="FB15" t="s">
        <v>1259</v>
      </c>
      <c r="FC15" t="s">
        <v>1259</v>
      </c>
      <c r="FD15" t="s">
        <v>1259</v>
      </c>
      <c r="FE15" t="s">
        <v>1259</v>
      </c>
      <c r="FF15" t="s">
        <v>1259</v>
      </c>
    </row>
    <row r="16" spans="1:162" ht="17.25" x14ac:dyDescent="0.3">
      <c r="A16" t="s">
        <v>1262</v>
      </c>
      <c r="B16" t="s">
        <v>1259</v>
      </c>
      <c r="C16" t="s">
        <v>1259</v>
      </c>
      <c r="D16" t="s">
        <v>1259</v>
      </c>
      <c r="E16" t="s">
        <v>1259</v>
      </c>
      <c r="F16" t="s">
        <v>1259</v>
      </c>
      <c r="G16" t="s">
        <v>1259</v>
      </c>
      <c r="H16" t="s">
        <v>1259</v>
      </c>
      <c r="I16" t="s">
        <v>1259</v>
      </c>
      <c r="J16" t="s">
        <v>1259</v>
      </c>
      <c r="K16" t="s">
        <v>1259</v>
      </c>
      <c r="L16" t="s">
        <v>1259</v>
      </c>
      <c r="M16" t="s">
        <v>1259</v>
      </c>
      <c r="N16" t="s">
        <v>1259</v>
      </c>
      <c r="O16" t="s">
        <v>1259</v>
      </c>
      <c r="P16" t="s">
        <v>1259</v>
      </c>
      <c r="Q16" t="s">
        <v>1259</v>
      </c>
      <c r="R16" t="s">
        <v>1259</v>
      </c>
      <c r="S16" t="s">
        <v>1259</v>
      </c>
      <c r="T16" t="s">
        <v>1259</v>
      </c>
      <c r="U16" t="s">
        <v>1259</v>
      </c>
      <c r="V16" t="s">
        <v>1259</v>
      </c>
      <c r="W16" t="s">
        <v>1259</v>
      </c>
      <c r="X16" t="s">
        <v>1259</v>
      </c>
      <c r="Y16" t="s">
        <v>1259</v>
      </c>
      <c r="Z16" t="s">
        <v>1259</v>
      </c>
      <c r="AA16" t="s">
        <v>1259</v>
      </c>
      <c r="AB16" t="s">
        <v>1259</v>
      </c>
      <c r="AC16" t="s">
        <v>1259</v>
      </c>
      <c r="AD16" t="s">
        <v>1259</v>
      </c>
      <c r="AE16" t="s">
        <v>1259</v>
      </c>
      <c r="AF16" t="s">
        <v>1259</v>
      </c>
      <c r="AG16" t="s">
        <v>1259</v>
      </c>
      <c r="AH16" t="s">
        <v>1259</v>
      </c>
      <c r="AI16" t="s">
        <v>1259</v>
      </c>
      <c r="AJ16" t="s">
        <v>1259</v>
      </c>
      <c r="AK16" t="s">
        <v>1259</v>
      </c>
      <c r="AL16" t="s">
        <v>1259</v>
      </c>
      <c r="AM16" t="s">
        <v>1259</v>
      </c>
      <c r="AN16" t="s">
        <v>1259</v>
      </c>
      <c r="AO16" t="s">
        <v>1259</v>
      </c>
      <c r="AP16" t="s">
        <v>1259</v>
      </c>
      <c r="AQ16" t="s">
        <v>1259</v>
      </c>
      <c r="AR16" t="s">
        <v>1259</v>
      </c>
      <c r="AS16" t="s">
        <v>1259</v>
      </c>
      <c r="AT16" t="s">
        <v>1259</v>
      </c>
      <c r="AU16" t="s">
        <v>1259</v>
      </c>
      <c r="AV16" t="s">
        <v>1259</v>
      </c>
      <c r="AW16" t="s">
        <v>1259</v>
      </c>
      <c r="AX16" t="s">
        <v>1259</v>
      </c>
      <c r="AY16" t="s">
        <v>1259</v>
      </c>
      <c r="AZ16" t="s">
        <v>1259</v>
      </c>
      <c r="BA16" t="s">
        <v>1259</v>
      </c>
      <c r="BB16" t="s">
        <v>1259</v>
      </c>
      <c r="BC16" t="s">
        <v>1259</v>
      </c>
      <c r="BD16" t="s">
        <v>1259</v>
      </c>
      <c r="BE16" t="s">
        <v>1259</v>
      </c>
      <c r="BF16" t="s">
        <v>1259</v>
      </c>
      <c r="BG16" t="s">
        <v>1259</v>
      </c>
      <c r="BH16" t="s">
        <v>1259</v>
      </c>
      <c r="BI16" t="s">
        <v>1259</v>
      </c>
      <c r="BJ16" t="s">
        <v>1259</v>
      </c>
      <c r="BK16" t="s">
        <v>1259</v>
      </c>
      <c r="BL16" t="s">
        <v>1259</v>
      </c>
      <c r="BM16" t="s">
        <v>1259</v>
      </c>
      <c r="BN16" t="s">
        <v>1259</v>
      </c>
      <c r="BO16" t="s">
        <v>1259</v>
      </c>
      <c r="BP16" t="s">
        <v>1259</v>
      </c>
      <c r="BQ16" t="s">
        <v>1259</v>
      </c>
      <c r="BR16" t="s">
        <v>1259</v>
      </c>
      <c r="BS16" t="s">
        <v>1259</v>
      </c>
      <c r="BT16" t="s">
        <v>1259</v>
      </c>
      <c r="BU16" t="s">
        <v>1259</v>
      </c>
      <c r="BV16" t="s">
        <v>1259</v>
      </c>
      <c r="BW16" t="s">
        <v>1259</v>
      </c>
      <c r="BX16" t="s">
        <v>1259</v>
      </c>
      <c r="BY16" t="s">
        <v>1259</v>
      </c>
      <c r="BZ16" t="s">
        <v>1259</v>
      </c>
      <c r="CA16" t="s">
        <v>1259</v>
      </c>
      <c r="CB16" t="s">
        <v>1259</v>
      </c>
      <c r="CC16" t="s">
        <v>1259</v>
      </c>
      <c r="CD16" t="s">
        <v>1259</v>
      </c>
      <c r="CE16" t="s">
        <v>1259</v>
      </c>
      <c r="CF16" t="s">
        <v>1259</v>
      </c>
      <c r="CG16" t="s">
        <v>1259</v>
      </c>
      <c r="CH16" t="s">
        <v>1259</v>
      </c>
      <c r="CI16" t="s">
        <v>1259</v>
      </c>
      <c r="CJ16" t="s">
        <v>1259</v>
      </c>
      <c r="CK16" t="s">
        <v>1259</v>
      </c>
      <c r="CL16" t="s">
        <v>1259</v>
      </c>
      <c r="CM16" t="s">
        <v>1259</v>
      </c>
      <c r="CN16" t="s">
        <v>1259</v>
      </c>
      <c r="CO16" t="s">
        <v>1259</v>
      </c>
      <c r="CP16" t="s">
        <v>1259</v>
      </c>
      <c r="CQ16" t="s">
        <v>1259</v>
      </c>
      <c r="CR16" t="s">
        <v>1259</v>
      </c>
      <c r="CS16" t="s">
        <v>1259</v>
      </c>
      <c r="CT16" t="s">
        <v>1259</v>
      </c>
      <c r="CU16" t="s">
        <v>1259</v>
      </c>
      <c r="CV16" t="s">
        <v>1259</v>
      </c>
      <c r="CW16" t="s">
        <v>1259</v>
      </c>
      <c r="CX16" t="s">
        <v>1259</v>
      </c>
      <c r="CY16" t="s">
        <v>1259</v>
      </c>
      <c r="CZ16" t="s">
        <v>1259</v>
      </c>
      <c r="DA16" t="s">
        <v>1259</v>
      </c>
      <c r="DB16" t="s">
        <v>1259</v>
      </c>
      <c r="DC16" t="s">
        <v>1259</v>
      </c>
      <c r="DD16" t="s">
        <v>1259</v>
      </c>
      <c r="DE16" t="s">
        <v>1259</v>
      </c>
      <c r="DF16" t="s">
        <v>1259</v>
      </c>
      <c r="DG16" t="s">
        <v>1259</v>
      </c>
      <c r="DH16" t="s">
        <v>1259</v>
      </c>
      <c r="DI16" t="s">
        <v>1259</v>
      </c>
      <c r="DJ16" t="s">
        <v>1259</v>
      </c>
      <c r="DL16" s="21">
        <f t="shared" si="0"/>
        <v>157984.63315154778</v>
      </c>
      <c r="DM16" t="s">
        <v>1259</v>
      </c>
      <c r="DN16" t="s">
        <v>1259</v>
      </c>
      <c r="DO16" t="s">
        <v>1259</v>
      </c>
      <c r="DP16" t="s">
        <v>1259</v>
      </c>
      <c r="DQ16" t="s">
        <v>1259</v>
      </c>
      <c r="DR16" t="s">
        <v>1259</v>
      </c>
      <c r="DS16" t="s">
        <v>1259</v>
      </c>
      <c r="DT16" t="s">
        <v>1259</v>
      </c>
      <c r="DU16" t="s">
        <v>1259</v>
      </c>
      <c r="DV16" t="s">
        <v>1259</v>
      </c>
      <c r="DW16" t="s">
        <v>1259</v>
      </c>
      <c r="DX16" t="s">
        <v>1259</v>
      </c>
      <c r="DY16" t="s">
        <v>1259</v>
      </c>
      <c r="DZ16" t="s">
        <v>1259</v>
      </c>
      <c r="EA16" t="s">
        <v>1259</v>
      </c>
      <c r="EB16" t="s">
        <v>1259</v>
      </c>
      <c r="EC16" t="s">
        <v>1259</v>
      </c>
      <c r="ED16" t="s">
        <v>1259</v>
      </c>
      <c r="EE16" t="s">
        <v>1259</v>
      </c>
      <c r="EF16" t="s">
        <v>1259</v>
      </c>
      <c r="EG16" t="s">
        <v>1259</v>
      </c>
      <c r="EH16" t="s">
        <v>1259</v>
      </c>
      <c r="EI16" t="s">
        <v>1259</v>
      </c>
      <c r="EJ16" t="s">
        <v>1259</v>
      </c>
      <c r="EK16" t="s">
        <v>1259</v>
      </c>
      <c r="EL16" t="s">
        <v>1259</v>
      </c>
      <c r="EM16" t="s">
        <v>1259</v>
      </c>
      <c r="EN16" t="s">
        <v>1259</v>
      </c>
      <c r="EO16" t="s">
        <v>1259</v>
      </c>
      <c r="EP16" t="s">
        <v>1259</v>
      </c>
      <c r="EQ16" t="s">
        <v>1259</v>
      </c>
      <c r="ER16" t="s">
        <v>1259</v>
      </c>
      <c r="ES16" t="s">
        <v>1259</v>
      </c>
      <c r="ET16" t="s">
        <v>1259</v>
      </c>
      <c r="EU16" t="s">
        <v>1259</v>
      </c>
      <c r="EV16" t="s">
        <v>1259</v>
      </c>
      <c r="EW16" t="s">
        <v>1259</v>
      </c>
      <c r="EX16" t="s">
        <v>1259</v>
      </c>
      <c r="EY16" t="s">
        <v>1259</v>
      </c>
      <c r="EZ16" t="s">
        <v>1259</v>
      </c>
      <c r="FA16" t="s">
        <v>1259</v>
      </c>
      <c r="FB16" t="s">
        <v>1259</v>
      </c>
      <c r="FC16" t="s">
        <v>1259</v>
      </c>
      <c r="FD16" t="s">
        <v>1259</v>
      </c>
      <c r="FE16" t="s">
        <v>1259</v>
      </c>
      <c r="FF16" t="s">
        <v>1259</v>
      </c>
    </row>
    <row r="17" spans="1:162" x14ac:dyDescent="0.25">
      <c r="A17" t="s">
        <v>1263</v>
      </c>
      <c r="B17" t="s">
        <v>1264</v>
      </c>
      <c r="C17" t="s">
        <v>1265</v>
      </c>
      <c r="D17" t="s">
        <v>1266</v>
      </c>
      <c r="E17" t="s">
        <v>1267</v>
      </c>
      <c r="F17" t="s">
        <v>1268</v>
      </c>
      <c r="G17" t="s">
        <v>1269</v>
      </c>
      <c r="H17" t="s">
        <v>1270</v>
      </c>
      <c r="I17" t="s">
        <v>1271</v>
      </c>
      <c r="J17" t="s">
        <v>1272</v>
      </c>
      <c r="K17" t="s">
        <v>1273</v>
      </c>
      <c r="L17" t="s">
        <v>1274</v>
      </c>
      <c r="M17" t="s">
        <v>1275</v>
      </c>
      <c r="N17" t="s">
        <v>1276</v>
      </c>
      <c r="O17" t="s">
        <v>1277</v>
      </c>
      <c r="P17" t="s">
        <v>1278</v>
      </c>
      <c r="Q17" t="s">
        <v>1279</v>
      </c>
      <c r="R17" t="s">
        <v>1280</v>
      </c>
      <c r="S17" t="s">
        <v>1281</v>
      </c>
      <c r="T17" t="s">
        <v>1282</v>
      </c>
      <c r="U17" t="s">
        <v>1118</v>
      </c>
      <c r="V17" t="s">
        <v>1283</v>
      </c>
      <c r="W17" t="s">
        <v>1284</v>
      </c>
      <c r="X17" t="s">
        <v>1285</v>
      </c>
      <c r="Y17" t="s">
        <v>1286</v>
      </c>
      <c r="Z17" t="s">
        <v>1287</v>
      </c>
      <c r="AA17" t="s">
        <v>1288</v>
      </c>
      <c r="AB17" t="s">
        <v>1289</v>
      </c>
      <c r="AC17" t="s">
        <v>1290</v>
      </c>
      <c r="AD17" t="s">
        <v>1291</v>
      </c>
      <c r="AE17" t="s">
        <v>1292</v>
      </c>
      <c r="AF17" t="s">
        <v>1293</v>
      </c>
      <c r="AG17" t="s">
        <v>1294</v>
      </c>
      <c r="AH17" t="s">
        <v>1295</v>
      </c>
      <c r="AI17" t="s">
        <v>1296</v>
      </c>
      <c r="AJ17" t="s">
        <v>1297</v>
      </c>
      <c r="AK17" t="s">
        <v>1298</v>
      </c>
      <c r="AL17" t="s">
        <v>1299</v>
      </c>
      <c r="AM17" t="s">
        <v>1300</v>
      </c>
      <c r="AN17" t="s">
        <v>1301</v>
      </c>
      <c r="AO17" t="s">
        <v>1302</v>
      </c>
      <c r="AP17" t="s">
        <v>1303</v>
      </c>
      <c r="AQ17" t="s">
        <v>1304</v>
      </c>
      <c r="AR17" t="s">
        <v>1305</v>
      </c>
      <c r="AS17" t="s">
        <v>1306</v>
      </c>
      <c r="AT17" t="s">
        <v>1307</v>
      </c>
      <c r="AU17" t="s">
        <v>1308</v>
      </c>
      <c r="AV17" t="s">
        <v>1309</v>
      </c>
      <c r="AW17" t="s">
        <v>1310</v>
      </c>
      <c r="AX17" t="s">
        <v>1311</v>
      </c>
      <c r="AY17" t="s">
        <v>1312</v>
      </c>
      <c r="AZ17" t="s">
        <v>1313</v>
      </c>
      <c r="BA17" t="s">
        <v>1314</v>
      </c>
      <c r="BB17" t="s">
        <v>1315</v>
      </c>
      <c r="BC17" t="s">
        <v>1316</v>
      </c>
      <c r="BD17" t="s">
        <v>1317</v>
      </c>
      <c r="BE17" t="s">
        <v>1318</v>
      </c>
      <c r="BF17" t="s">
        <v>1319</v>
      </c>
      <c r="BG17" t="s">
        <v>1320</v>
      </c>
      <c r="BH17" t="s">
        <v>1321</v>
      </c>
      <c r="BI17" t="s">
        <v>1322</v>
      </c>
      <c r="BJ17" t="s">
        <v>1323</v>
      </c>
      <c r="BK17" t="s">
        <v>1324</v>
      </c>
      <c r="BL17" t="s">
        <v>1325</v>
      </c>
      <c r="BM17" t="s">
        <v>1326</v>
      </c>
      <c r="BN17" t="s">
        <v>1327</v>
      </c>
      <c r="BO17" t="s">
        <v>1328</v>
      </c>
      <c r="BP17" t="s">
        <v>1329</v>
      </c>
      <c r="BQ17" t="s">
        <v>1330</v>
      </c>
      <c r="BR17" t="s">
        <v>1331</v>
      </c>
      <c r="BS17" t="s">
        <v>1332</v>
      </c>
      <c r="BT17" t="s">
        <v>1333</v>
      </c>
      <c r="BU17" t="s">
        <v>1334</v>
      </c>
      <c r="BV17" t="s">
        <v>1335</v>
      </c>
      <c r="BW17" t="s">
        <v>1336</v>
      </c>
      <c r="BX17" t="s">
        <v>1337</v>
      </c>
      <c r="BY17" t="s">
        <v>1338</v>
      </c>
      <c r="BZ17" t="s">
        <v>1339</v>
      </c>
      <c r="CA17" t="s">
        <v>1340</v>
      </c>
      <c r="CB17" t="s">
        <v>1341</v>
      </c>
      <c r="CC17" t="s">
        <v>1342</v>
      </c>
      <c r="CD17" t="s">
        <v>1343</v>
      </c>
      <c r="CE17" t="s">
        <v>1344</v>
      </c>
      <c r="CF17" t="s">
        <v>1345</v>
      </c>
      <c r="CG17" t="s">
        <v>1346</v>
      </c>
      <c r="CH17" t="s">
        <v>1347</v>
      </c>
      <c r="CI17" t="s">
        <v>1348</v>
      </c>
      <c r="CJ17" t="s">
        <v>1349</v>
      </c>
      <c r="CK17" t="s">
        <v>1350</v>
      </c>
      <c r="CL17" t="s">
        <v>1351</v>
      </c>
      <c r="CM17" t="s">
        <v>1352</v>
      </c>
      <c r="CN17" t="s">
        <v>1353</v>
      </c>
      <c r="CO17" t="s">
        <v>1354</v>
      </c>
      <c r="CP17" t="s">
        <v>1355</v>
      </c>
      <c r="CQ17" t="s">
        <v>1356</v>
      </c>
      <c r="CR17" t="s">
        <v>1357</v>
      </c>
      <c r="CS17" t="s">
        <v>1358</v>
      </c>
      <c r="CT17" t="s">
        <v>1359</v>
      </c>
      <c r="CU17" t="s">
        <v>1360</v>
      </c>
      <c r="CV17" t="s">
        <v>1361</v>
      </c>
      <c r="CW17" t="s">
        <v>1362</v>
      </c>
      <c r="CX17" t="s">
        <v>1363</v>
      </c>
      <c r="CY17" t="s">
        <v>1364</v>
      </c>
      <c r="CZ17" t="s">
        <v>1365</v>
      </c>
      <c r="DA17" t="s">
        <v>1366</v>
      </c>
      <c r="DB17" t="s">
        <v>1367</v>
      </c>
      <c r="DC17" t="s">
        <v>1368</v>
      </c>
      <c r="DD17" t="s">
        <v>1369</v>
      </c>
      <c r="DE17" t="s">
        <v>1370</v>
      </c>
      <c r="DF17" t="s">
        <v>1371</v>
      </c>
      <c r="DG17" t="s">
        <v>1372</v>
      </c>
      <c r="DH17" t="s">
        <v>1373</v>
      </c>
      <c r="DI17" t="s">
        <v>1374</v>
      </c>
      <c r="DJ17" t="s">
        <v>1375</v>
      </c>
      <c r="DK17">
        <f t="shared" ref="DK17:DK37" si="1">SUM(DE17+DJ17)</f>
        <v>157.14647766944711</v>
      </c>
      <c r="DL17">
        <f>DK17*1000</f>
        <v>157146.47766944711</v>
      </c>
      <c r="DM17" t="s">
        <v>1376</v>
      </c>
      <c r="DN17" t="s">
        <v>1330</v>
      </c>
      <c r="DO17" t="s">
        <v>1377</v>
      </c>
      <c r="DP17" t="s">
        <v>1378</v>
      </c>
      <c r="DQ17" t="s">
        <v>1379</v>
      </c>
      <c r="DR17" t="s">
        <v>1380</v>
      </c>
      <c r="DS17" t="s">
        <v>1381</v>
      </c>
      <c r="DT17" t="s">
        <v>1382</v>
      </c>
      <c r="DU17" t="s">
        <v>1383</v>
      </c>
      <c r="DV17" t="s">
        <v>1384</v>
      </c>
      <c r="DW17" t="s">
        <v>1385</v>
      </c>
      <c r="DX17" t="s">
        <v>1386</v>
      </c>
      <c r="DY17" t="s">
        <v>1387</v>
      </c>
      <c r="DZ17" t="s">
        <v>1388</v>
      </c>
      <c r="EA17" t="s">
        <v>1389</v>
      </c>
      <c r="EB17" t="s">
        <v>1390</v>
      </c>
      <c r="EC17" t="s">
        <v>1391</v>
      </c>
      <c r="ED17" t="s">
        <v>1392</v>
      </c>
      <c r="EE17" t="s">
        <v>1393</v>
      </c>
      <c r="EF17" t="s">
        <v>1394</v>
      </c>
      <c r="EG17" t="s">
        <v>1395</v>
      </c>
      <c r="EH17" t="s">
        <v>1396</v>
      </c>
      <c r="EI17" t="s">
        <v>1397</v>
      </c>
      <c r="EJ17" t="s">
        <v>1398</v>
      </c>
      <c r="EK17" t="s">
        <v>1399</v>
      </c>
      <c r="EL17" t="s">
        <v>1400</v>
      </c>
      <c r="EM17" t="s">
        <v>1401</v>
      </c>
      <c r="EN17" t="s">
        <v>1402</v>
      </c>
      <c r="EO17" t="s">
        <v>1403</v>
      </c>
      <c r="EP17" t="s">
        <v>1404</v>
      </c>
      <c r="EQ17" t="s">
        <v>1405</v>
      </c>
      <c r="ER17" t="s">
        <v>1406</v>
      </c>
      <c r="ES17" t="s">
        <v>1407</v>
      </c>
      <c r="ET17" t="s">
        <v>1408</v>
      </c>
      <c r="EU17" t="s">
        <v>1409</v>
      </c>
      <c r="EV17" t="s">
        <v>1410</v>
      </c>
      <c r="EW17" t="s">
        <v>1411</v>
      </c>
      <c r="EX17" t="s">
        <v>1412</v>
      </c>
      <c r="EY17" t="s">
        <v>1413</v>
      </c>
      <c r="EZ17" t="s">
        <v>1414</v>
      </c>
      <c r="FA17" t="s">
        <v>1415</v>
      </c>
      <c r="FB17" t="s">
        <v>1416</v>
      </c>
      <c r="FC17" t="s">
        <v>1417</v>
      </c>
      <c r="FD17" t="s">
        <v>1418</v>
      </c>
      <c r="FE17" t="s">
        <v>1419</v>
      </c>
      <c r="FF17" t="s">
        <v>1420</v>
      </c>
    </row>
    <row r="18" spans="1:162" ht="17.25" x14ac:dyDescent="0.3">
      <c r="A18" t="s">
        <v>1421</v>
      </c>
      <c r="B18" t="s">
        <v>1259</v>
      </c>
      <c r="C18" t="s">
        <v>1259</v>
      </c>
      <c r="D18" t="s">
        <v>1259</v>
      </c>
      <c r="E18" t="s">
        <v>1259</v>
      </c>
      <c r="F18" t="s">
        <v>1259</v>
      </c>
      <c r="G18" t="s">
        <v>1259</v>
      </c>
      <c r="H18" t="s">
        <v>1259</v>
      </c>
      <c r="I18" t="s">
        <v>1259</v>
      </c>
      <c r="J18" t="s">
        <v>1259</v>
      </c>
      <c r="K18" t="s">
        <v>1259</v>
      </c>
      <c r="L18" t="s">
        <v>1259</v>
      </c>
      <c r="M18" t="s">
        <v>1259</v>
      </c>
      <c r="N18" t="s">
        <v>1259</v>
      </c>
      <c r="O18" t="s">
        <v>1259</v>
      </c>
      <c r="P18" t="s">
        <v>1259</v>
      </c>
      <c r="Q18" t="s">
        <v>1259</v>
      </c>
      <c r="R18" t="s">
        <v>1259</v>
      </c>
      <c r="S18" t="s">
        <v>1259</v>
      </c>
      <c r="T18" t="s">
        <v>1259</v>
      </c>
      <c r="U18" t="s">
        <v>1259</v>
      </c>
      <c r="V18" t="s">
        <v>1259</v>
      </c>
      <c r="W18" t="s">
        <v>1259</v>
      </c>
      <c r="X18" t="s">
        <v>1259</v>
      </c>
      <c r="Y18" t="s">
        <v>1259</v>
      </c>
      <c r="Z18" t="s">
        <v>1259</v>
      </c>
      <c r="AA18" t="s">
        <v>1259</v>
      </c>
      <c r="AB18" t="s">
        <v>1259</v>
      </c>
      <c r="AC18" t="s">
        <v>1259</v>
      </c>
      <c r="AD18" t="s">
        <v>1259</v>
      </c>
      <c r="AE18" t="s">
        <v>1259</v>
      </c>
      <c r="AF18" t="s">
        <v>1259</v>
      </c>
      <c r="AG18" t="s">
        <v>1259</v>
      </c>
      <c r="AH18" t="s">
        <v>1259</v>
      </c>
      <c r="AI18" t="s">
        <v>1259</v>
      </c>
      <c r="AJ18" t="s">
        <v>1259</v>
      </c>
      <c r="AK18" t="s">
        <v>1259</v>
      </c>
      <c r="AL18" t="s">
        <v>1259</v>
      </c>
      <c r="AM18" t="s">
        <v>1259</v>
      </c>
      <c r="AN18" t="s">
        <v>1259</v>
      </c>
      <c r="AO18" t="s">
        <v>1259</v>
      </c>
      <c r="AP18" t="s">
        <v>1259</v>
      </c>
      <c r="AQ18" t="s">
        <v>1259</v>
      </c>
      <c r="AR18" t="s">
        <v>1259</v>
      </c>
      <c r="AS18" t="s">
        <v>1259</v>
      </c>
      <c r="AT18" t="s">
        <v>1259</v>
      </c>
      <c r="AU18" t="s">
        <v>1259</v>
      </c>
      <c r="AV18" t="s">
        <v>1259</v>
      </c>
      <c r="AW18" t="s">
        <v>1259</v>
      </c>
      <c r="AX18" t="s">
        <v>1259</v>
      </c>
      <c r="AY18" t="s">
        <v>1259</v>
      </c>
      <c r="AZ18" t="s">
        <v>1259</v>
      </c>
      <c r="BA18" t="s">
        <v>1259</v>
      </c>
      <c r="BB18" t="s">
        <v>1259</v>
      </c>
      <c r="BC18" t="s">
        <v>1259</v>
      </c>
      <c r="BD18" t="s">
        <v>1259</v>
      </c>
      <c r="BE18" t="s">
        <v>1259</v>
      </c>
      <c r="BF18" t="s">
        <v>1259</v>
      </c>
      <c r="BG18" t="s">
        <v>1259</v>
      </c>
      <c r="BH18" t="s">
        <v>1259</v>
      </c>
      <c r="BI18" t="s">
        <v>1259</v>
      </c>
      <c r="BJ18" t="s">
        <v>1259</v>
      </c>
      <c r="BK18" t="s">
        <v>1259</v>
      </c>
      <c r="BL18" t="s">
        <v>1259</v>
      </c>
      <c r="BM18" t="s">
        <v>1259</v>
      </c>
      <c r="BN18" t="s">
        <v>1259</v>
      </c>
      <c r="BO18" t="s">
        <v>1259</v>
      </c>
      <c r="BP18" t="s">
        <v>1259</v>
      </c>
      <c r="BQ18" t="s">
        <v>1259</v>
      </c>
      <c r="BR18" t="s">
        <v>1259</v>
      </c>
      <c r="BS18" t="s">
        <v>1259</v>
      </c>
      <c r="BT18" t="s">
        <v>1259</v>
      </c>
      <c r="BU18" t="s">
        <v>1259</v>
      </c>
      <c r="BV18" t="s">
        <v>1259</v>
      </c>
      <c r="BW18" t="s">
        <v>1259</v>
      </c>
      <c r="BX18" t="s">
        <v>1259</v>
      </c>
      <c r="BY18" t="s">
        <v>1259</v>
      </c>
      <c r="BZ18" t="s">
        <v>1259</v>
      </c>
      <c r="CA18" t="s">
        <v>1259</v>
      </c>
      <c r="CB18" t="s">
        <v>1259</v>
      </c>
      <c r="CC18" t="s">
        <v>1259</v>
      </c>
      <c r="CD18" t="s">
        <v>1259</v>
      </c>
      <c r="CE18" t="s">
        <v>1259</v>
      </c>
      <c r="CF18" t="s">
        <v>1259</v>
      </c>
      <c r="CG18" t="s">
        <v>1259</v>
      </c>
      <c r="CH18" t="s">
        <v>1259</v>
      </c>
      <c r="CI18" t="s">
        <v>1259</v>
      </c>
      <c r="CJ18" t="s">
        <v>1259</v>
      </c>
      <c r="CK18" t="s">
        <v>1259</v>
      </c>
      <c r="CL18" t="s">
        <v>1259</v>
      </c>
      <c r="CM18" t="s">
        <v>1259</v>
      </c>
      <c r="CN18" t="s">
        <v>1259</v>
      </c>
      <c r="CO18" t="s">
        <v>1259</v>
      </c>
      <c r="CP18" t="s">
        <v>1259</v>
      </c>
      <c r="CQ18" t="s">
        <v>1259</v>
      </c>
      <c r="CR18" t="s">
        <v>1259</v>
      </c>
      <c r="CS18" t="s">
        <v>1259</v>
      </c>
      <c r="CT18" t="s">
        <v>1259</v>
      </c>
      <c r="CU18" t="s">
        <v>1259</v>
      </c>
      <c r="CV18" t="s">
        <v>1259</v>
      </c>
      <c r="CW18" t="s">
        <v>1259</v>
      </c>
      <c r="CX18" t="s">
        <v>1259</v>
      </c>
      <c r="CY18" t="s">
        <v>1259</v>
      </c>
      <c r="CZ18" t="s">
        <v>1259</v>
      </c>
      <c r="DA18" t="s">
        <v>1259</v>
      </c>
      <c r="DB18" t="s">
        <v>1259</v>
      </c>
      <c r="DC18" t="s">
        <v>1259</v>
      </c>
      <c r="DD18" t="s">
        <v>1259</v>
      </c>
      <c r="DE18" t="s">
        <v>1259</v>
      </c>
      <c r="DF18" t="s">
        <v>1259</v>
      </c>
      <c r="DG18" t="s">
        <v>1259</v>
      </c>
      <c r="DH18" t="s">
        <v>1259</v>
      </c>
      <c r="DI18" t="s">
        <v>1259</v>
      </c>
      <c r="DJ18" t="s">
        <v>1259</v>
      </c>
      <c r="DL18" s="21">
        <f xml:space="preserve"> ($DL$22-$DL$17)/5 + DL17</f>
        <v>157169.21894370404</v>
      </c>
      <c r="DM18" t="s">
        <v>1259</v>
      </c>
      <c r="DN18" t="s">
        <v>1259</v>
      </c>
      <c r="DO18" t="s">
        <v>1259</v>
      </c>
      <c r="DP18" t="s">
        <v>1259</v>
      </c>
      <c r="DQ18" t="s">
        <v>1259</v>
      </c>
      <c r="DR18" t="s">
        <v>1259</v>
      </c>
      <c r="DS18" t="s">
        <v>1259</v>
      </c>
      <c r="DT18" t="s">
        <v>1259</v>
      </c>
      <c r="DU18" t="s">
        <v>1259</v>
      </c>
      <c r="DV18" t="s">
        <v>1259</v>
      </c>
      <c r="DW18" t="s">
        <v>1259</v>
      </c>
      <c r="DX18" t="s">
        <v>1259</v>
      </c>
      <c r="DY18" t="s">
        <v>1259</v>
      </c>
      <c r="DZ18" t="s">
        <v>1259</v>
      </c>
      <c r="EA18" t="s">
        <v>1259</v>
      </c>
      <c r="EB18" t="s">
        <v>1259</v>
      </c>
      <c r="EC18" t="s">
        <v>1259</v>
      </c>
      <c r="ED18" t="s">
        <v>1259</v>
      </c>
      <c r="EE18" t="s">
        <v>1259</v>
      </c>
      <c r="EF18" t="s">
        <v>1259</v>
      </c>
      <c r="EG18" t="s">
        <v>1259</v>
      </c>
      <c r="EH18" t="s">
        <v>1259</v>
      </c>
      <c r="EI18" t="s">
        <v>1259</v>
      </c>
      <c r="EJ18" t="s">
        <v>1259</v>
      </c>
      <c r="EK18" t="s">
        <v>1259</v>
      </c>
      <c r="EL18" t="s">
        <v>1259</v>
      </c>
      <c r="EM18" t="s">
        <v>1259</v>
      </c>
      <c r="EN18" t="s">
        <v>1259</v>
      </c>
      <c r="EO18" t="s">
        <v>1259</v>
      </c>
      <c r="EP18" t="s">
        <v>1259</v>
      </c>
      <c r="EQ18" t="s">
        <v>1259</v>
      </c>
      <c r="ER18" t="s">
        <v>1259</v>
      </c>
      <c r="ES18" t="s">
        <v>1259</v>
      </c>
      <c r="ET18" t="s">
        <v>1259</v>
      </c>
      <c r="EU18" t="s">
        <v>1259</v>
      </c>
      <c r="EV18" t="s">
        <v>1259</v>
      </c>
      <c r="EW18" t="s">
        <v>1259</v>
      </c>
      <c r="EX18" t="s">
        <v>1259</v>
      </c>
      <c r="EY18" t="s">
        <v>1259</v>
      </c>
      <c r="EZ18" t="s">
        <v>1259</v>
      </c>
      <c r="FA18" t="s">
        <v>1259</v>
      </c>
      <c r="FB18" t="s">
        <v>1259</v>
      </c>
      <c r="FC18" t="s">
        <v>1259</v>
      </c>
      <c r="FD18" t="s">
        <v>1259</v>
      </c>
      <c r="FE18" t="s">
        <v>1259</v>
      </c>
      <c r="FF18" t="s">
        <v>1259</v>
      </c>
    </row>
    <row r="19" spans="1:162" ht="17.25" x14ac:dyDescent="0.3">
      <c r="A19" t="s">
        <v>1422</v>
      </c>
      <c r="B19" t="s">
        <v>1259</v>
      </c>
      <c r="C19" t="s">
        <v>1259</v>
      </c>
      <c r="D19" t="s">
        <v>1259</v>
      </c>
      <c r="E19" t="s">
        <v>1259</v>
      </c>
      <c r="F19" t="s">
        <v>1259</v>
      </c>
      <c r="G19" t="s">
        <v>1259</v>
      </c>
      <c r="H19" t="s">
        <v>1259</v>
      </c>
      <c r="I19" t="s">
        <v>1259</v>
      </c>
      <c r="J19" t="s">
        <v>1259</v>
      </c>
      <c r="K19" t="s">
        <v>1259</v>
      </c>
      <c r="L19" t="s">
        <v>1259</v>
      </c>
      <c r="M19" t="s">
        <v>1259</v>
      </c>
      <c r="N19" t="s">
        <v>1259</v>
      </c>
      <c r="O19" t="s">
        <v>1259</v>
      </c>
      <c r="P19" t="s">
        <v>1259</v>
      </c>
      <c r="Q19" t="s">
        <v>1259</v>
      </c>
      <c r="R19" t="s">
        <v>1259</v>
      </c>
      <c r="S19" t="s">
        <v>1259</v>
      </c>
      <c r="T19" t="s">
        <v>1259</v>
      </c>
      <c r="U19" t="s">
        <v>1259</v>
      </c>
      <c r="V19" t="s">
        <v>1259</v>
      </c>
      <c r="W19" t="s">
        <v>1259</v>
      </c>
      <c r="X19" t="s">
        <v>1259</v>
      </c>
      <c r="Y19" t="s">
        <v>1259</v>
      </c>
      <c r="Z19" t="s">
        <v>1259</v>
      </c>
      <c r="AA19" t="s">
        <v>1259</v>
      </c>
      <c r="AB19" t="s">
        <v>1259</v>
      </c>
      <c r="AC19" t="s">
        <v>1259</v>
      </c>
      <c r="AD19" t="s">
        <v>1259</v>
      </c>
      <c r="AE19" t="s">
        <v>1259</v>
      </c>
      <c r="AF19" t="s">
        <v>1259</v>
      </c>
      <c r="AG19" t="s">
        <v>1259</v>
      </c>
      <c r="AH19" t="s">
        <v>1259</v>
      </c>
      <c r="AI19" t="s">
        <v>1259</v>
      </c>
      <c r="AJ19" t="s">
        <v>1259</v>
      </c>
      <c r="AK19" t="s">
        <v>1259</v>
      </c>
      <c r="AL19" t="s">
        <v>1259</v>
      </c>
      <c r="AM19" t="s">
        <v>1259</v>
      </c>
      <c r="AN19" t="s">
        <v>1259</v>
      </c>
      <c r="AO19" t="s">
        <v>1259</v>
      </c>
      <c r="AP19" t="s">
        <v>1259</v>
      </c>
      <c r="AQ19" t="s">
        <v>1259</v>
      </c>
      <c r="AR19" t="s">
        <v>1259</v>
      </c>
      <c r="AS19" t="s">
        <v>1259</v>
      </c>
      <c r="AT19" t="s">
        <v>1259</v>
      </c>
      <c r="AU19" t="s">
        <v>1259</v>
      </c>
      <c r="AV19" t="s">
        <v>1259</v>
      </c>
      <c r="AW19" t="s">
        <v>1259</v>
      </c>
      <c r="AX19" t="s">
        <v>1259</v>
      </c>
      <c r="AY19" t="s">
        <v>1259</v>
      </c>
      <c r="AZ19" t="s">
        <v>1259</v>
      </c>
      <c r="BA19" t="s">
        <v>1259</v>
      </c>
      <c r="BB19" t="s">
        <v>1259</v>
      </c>
      <c r="BC19" t="s">
        <v>1259</v>
      </c>
      <c r="BD19" t="s">
        <v>1259</v>
      </c>
      <c r="BE19" t="s">
        <v>1259</v>
      </c>
      <c r="BF19" t="s">
        <v>1259</v>
      </c>
      <c r="BG19" t="s">
        <v>1259</v>
      </c>
      <c r="BH19" t="s">
        <v>1259</v>
      </c>
      <c r="BI19" t="s">
        <v>1259</v>
      </c>
      <c r="BJ19" t="s">
        <v>1259</v>
      </c>
      <c r="BK19" t="s">
        <v>1259</v>
      </c>
      <c r="BL19" t="s">
        <v>1259</v>
      </c>
      <c r="BM19" t="s">
        <v>1259</v>
      </c>
      <c r="BN19" t="s">
        <v>1259</v>
      </c>
      <c r="BO19" t="s">
        <v>1259</v>
      </c>
      <c r="BP19" t="s">
        <v>1259</v>
      </c>
      <c r="BQ19" t="s">
        <v>1259</v>
      </c>
      <c r="BR19" t="s">
        <v>1259</v>
      </c>
      <c r="BS19" t="s">
        <v>1259</v>
      </c>
      <c r="BT19" t="s">
        <v>1259</v>
      </c>
      <c r="BU19" t="s">
        <v>1259</v>
      </c>
      <c r="BV19" t="s">
        <v>1259</v>
      </c>
      <c r="BW19" t="s">
        <v>1259</v>
      </c>
      <c r="BX19" t="s">
        <v>1259</v>
      </c>
      <c r="BY19" t="s">
        <v>1259</v>
      </c>
      <c r="BZ19" t="s">
        <v>1259</v>
      </c>
      <c r="CA19" t="s">
        <v>1259</v>
      </c>
      <c r="CB19" t="s">
        <v>1259</v>
      </c>
      <c r="CC19" t="s">
        <v>1259</v>
      </c>
      <c r="CD19" t="s">
        <v>1259</v>
      </c>
      <c r="CE19" t="s">
        <v>1259</v>
      </c>
      <c r="CF19" t="s">
        <v>1259</v>
      </c>
      <c r="CG19" t="s">
        <v>1259</v>
      </c>
      <c r="CH19" t="s">
        <v>1259</v>
      </c>
      <c r="CI19" t="s">
        <v>1259</v>
      </c>
      <c r="CJ19" t="s">
        <v>1259</v>
      </c>
      <c r="CK19" t="s">
        <v>1259</v>
      </c>
      <c r="CL19" t="s">
        <v>1259</v>
      </c>
      <c r="CM19" t="s">
        <v>1259</v>
      </c>
      <c r="CN19" t="s">
        <v>1259</v>
      </c>
      <c r="CO19" t="s">
        <v>1259</v>
      </c>
      <c r="CP19" t="s">
        <v>1259</v>
      </c>
      <c r="CQ19" t="s">
        <v>1259</v>
      </c>
      <c r="CR19" t="s">
        <v>1259</v>
      </c>
      <c r="CS19" t="s">
        <v>1259</v>
      </c>
      <c r="CT19" t="s">
        <v>1259</v>
      </c>
      <c r="CU19" t="s">
        <v>1259</v>
      </c>
      <c r="CV19" t="s">
        <v>1259</v>
      </c>
      <c r="CW19" t="s">
        <v>1259</v>
      </c>
      <c r="CX19" t="s">
        <v>1259</v>
      </c>
      <c r="CY19" t="s">
        <v>1259</v>
      </c>
      <c r="CZ19" t="s">
        <v>1259</v>
      </c>
      <c r="DA19" t="s">
        <v>1259</v>
      </c>
      <c r="DB19" t="s">
        <v>1259</v>
      </c>
      <c r="DC19" t="s">
        <v>1259</v>
      </c>
      <c r="DD19" t="s">
        <v>1259</v>
      </c>
      <c r="DE19" t="s">
        <v>1259</v>
      </c>
      <c r="DF19" t="s">
        <v>1259</v>
      </c>
      <c r="DG19" t="s">
        <v>1259</v>
      </c>
      <c r="DH19" t="s">
        <v>1259</v>
      </c>
      <c r="DI19" t="s">
        <v>1259</v>
      </c>
      <c r="DJ19" t="s">
        <v>1259</v>
      </c>
      <c r="DL19" s="21">
        <f t="shared" ref="DL19:DL21" si="2" xml:space="preserve"> ($DL$22-$DL$17)/5 + DL18</f>
        <v>157191.96021796096</v>
      </c>
      <c r="DM19" t="s">
        <v>1259</v>
      </c>
      <c r="DN19" t="s">
        <v>1259</v>
      </c>
      <c r="DO19" t="s">
        <v>1259</v>
      </c>
      <c r="DP19" t="s">
        <v>1259</v>
      </c>
      <c r="DQ19" t="s">
        <v>1259</v>
      </c>
      <c r="DR19" t="s">
        <v>1259</v>
      </c>
      <c r="DS19" t="s">
        <v>1259</v>
      </c>
      <c r="DT19" t="s">
        <v>1259</v>
      </c>
      <c r="DU19" t="s">
        <v>1259</v>
      </c>
      <c r="DV19" t="s">
        <v>1259</v>
      </c>
      <c r="DW19" t="s">
        <v>1259</v>
      </c>
      <c r="DX19" t="s">
        <v>1259</v>
      </c>
      <c r="DY19" t="s">
        <v>1259</v>
      </c>
      <c r="DZ19" t="s">
        <v>1259</v>
      </c>
      <c r="EA19" t="s">
        <v>1259</v>
      </c>
      <c r="EB19" t="s">
        <v>1259</v>
      </c>
      <c r="EC19" t="s">
        <v>1259</v>
      </c>
      <c r="ED19" t="s">
        <v>1259</v>
      </c>
      <c r="EE19" t="s">
        <v>1259</v>
      </c>
      <c r="EF19" t="s">
        <v>1259</v>
      </c>
      <c r="EG19" t="s">
        <v>1259</v>
      </c>
      <c r="EH19" t="s">
        <v>1259</v>
      </c>
      <c r="EI19" t="s">
        <v>1259</v>
      </c>
      <c r="EJ19" t="s">
        <v>1259</v>
      </c>
      <c r="EK19" t="s">
        <v>1259</v>
      </c>
      <c r="EL19" t="s">
        <v>1259</v>
      </c>
      <c r="EM19" t="s">
        <v>1259</v>
      </c>
      <c r="EN19" t="s">
        <v>1259</v>
      </c>
      <c r="EO19" t="s">
        <v>1259</v>
      </c>
      <c r="EP19" t="s">
        <v>1259</v>
      </c>
      <c r="EQ19" t="s">
        <v>1259</v>
      </c>
      <c r="ER19" t="s">
        <v>1259</v>
      </c>
      <c r="ES19" t="s">
        <v>1259</v>
      </c>
      <c r="ET19" t="s">
        <v>1259</v>
      </c>
      <c r="EU19" t="s">
        <v>1259</v>
      </c>
      <c r="EV19" t="s">
        <v>1259</v>
      </c>
      <c r="EW19" t="s">
        <v>1259</v>
      </c>
      <c r="EX19" t="s">
        <v>1259</v>
      </c>
      <c r="EY19" t="s">
        <v>1259</v>
      </c>
      <c r="EZ19" t="s">
        <v>1259</v>
      </c>
      <c r="FA19" t="s">
        <v>1259</v>
      </c>
      <c r="FB19" t="s">
        <v>1259</v>
      </c>
      <c r="FC19" t="s">
        <v>1259</v>
      </c>
      <c r="FD19" t="s">
        <v>1259</v>
      </c>
      <c r="FE19" t="s">
        <v>1259</v>
      </c>
      <c r="FF19" t="s">
        <v>1259</v>
      </c>
    </row>
    <row r="20" spans="1:162" ht="17.25" x14ac:dyDescent="0.3">
      <c r="A20" t="s">
        <v>1423</v>
      </c>
      <c r="B20" t="s">
        <v>1259</v>
      </c>
      <c r="C20" t="s">
        <v>1259</v>
      </c>
      <c r="D20" t="s">
        <v>1259</v>
      </c>
      <c r="E20" t="s">
        <v>1259</v>
      </c>
      <c r="F20" t="s">
        <v>1259</v>
      </c>
      <c r="G20" t="s">
        <v>1259</v>
      </c>
      <c r="H20" t="s">
        <v>1259</v>
      </c>
      <c r="I20" t="s">
        <v>1259</v>
      </c>
      <c r="J20" t="s">
        <v>1259</v>
      </c>
      <c r="K20" t="s">
        <v>1259</v>
      </c>
      <c r="L20" t="s">
        <v>1259</v>
      </c>
      <c r="M20" t="s">
        <v>1259</v>
      </c>
      <c r="N20" t="s">
        <v>1259</v>
      </c>
      <c r="O20" t="s">
        <v>1259</v>
      </c>
      <c r="P20" t="s">
        <v>1259</v>
      </c>
      <c r="Q20" t="s">
        <v>1259</v>
      </c>
      <c r="R20" t="s">
        <v>1259</v>
      </c>
      <c r="S20" t="s">
        <v>1259</v>
      </c>
      <c r="T20" t="s">
        <v>1259</v>
      </c>
      <c r="U20" t="s">
        <v>1259</v>
      </c>
      <c r="V20" t="s">
        <v>1259</v>
      </c>
      <c r="W20" t="s">
        <v>1259</v>
      </c>
      <c r="X20" t="s">
        <v>1259</v>
      </c>
      <c r="Y20" t="s">
        <v>1259</v>
      </c>
      <c r="Z20" t="s">
        <v>1259</v>
      </c>
      <c r="AA20" t="s">
        <v>1259</v>
      </c>
      <c r="AB20" t="s">
        <v>1259</v>
      </c>
      <c r="AC20" t="s">
        <v>1259</v>
      </c>
      <c r="AD20" t="s">
        <v>1259</v>
      </c>
      <c r="AE20" t="s">
        <v>1259</v>
      </c>
      <c r="AF20" t="s">
        <v>1259</v>
      </c>
      <c r="AG20" t="s">
        <v>1259</v>
      </c>
      <c r="AH20" t="s">
        <v>1259</v>
      </c>
      <c r="AI20" t="s">
        <v>1259</v>
      </c>
      <c r="AJ20" t="s">
        <v>1259</v>
      </c>
      <c r="AK20" t="s">
        <v>1259</v>
      </c>
      <c r="AL20" t="s">
        <v>1259</v>
      </c>
      <c r="AM20" t="s">
        <v>1259</v>
      </c>
      <c r="AN20" t="s">
        <v>1259</v>
      </c>
      <c r="AO20" t="s">
        <v>1259</v>
      </c>
      <c r="AP20" t="s">
        <v>1259</v>
      </c>
      <c r="AQ20" t="s">
        <v>1259</v>
      </c>
      <c r="AR20" t="s">
        <v>1259</v>
      </c>
      <c r="AS20" t="s">
        <v>1259</v>
      </c>
      <c r="AT20" t="s">
        <v>1259</v>
      </c>
      <c r="AU20" t="s">
        <v>1259</v>
      </c>
      <c r="AV20" t="s">
        <v>1259</v>
      </c>
      <c r="AW20" t="s">
        <v>1259</v>
      </c>
      <c r="AX20" t="s">
        <v>1259</v>
      </c>
      <c r="AY20" t="s">
        <v>1259</v>
      </c>
      <c r="AZ20" t="s">
        <v>1259</v>
      </c>
      <c r="BA20" t="s">
        <v>1259</v>
      </c>
      <c r="BB20" t="s">
        <v>1259</v>
      </c>
      <c r="BC20" t="s">
        <v>1259</v>
      </c>
      <c r="BD20" t="s">
        <v>1259</v>
      </c>
      <c r="BE20" t="s">
        <v>1259</v>
      </c>
      <c r="BF20" t="s">
        <v>1259</v>
      </c>
      <c r="BG20" t="s">
        <v>1259</v>
      </c>
      <c r="BH20" t="s">
        <v>1259</v>
      </c>
      <c r="BI20" t="s">
        <v>1259</v>
      </c>
      <c r="BJ20" t="s">
        <v>1259</v>
      </c>
      <c r="BK20" t="s">
        <v>1259</v>
      </c>
      <c r="BL20" t="s">
        <v>1259</v>
      </c>
      <c r="BM20" t="s">
        <v>1259</v>
      </c>
      <c r="BN20" t="s">
        <v>1259</v>
      </c>
      <c r="BO20" t="s">
        <v>1259</v>
      </c>
      <c r="BP20" t="s">
        <v>1259</v>
      </c>
      <c r="BQ20" t="s">
        <v>1259</v>
      </c>
      <c r="BR20" t="s">
        <v>1259</v>
      </c>
      <c r="BS20" t="s">
        <v>1259</v>
      </c>
      <c r="BT20" t="s">
        <v>1259</v>
      </c>
      <c r="BU20" t="s">
        <v>1259</v>
      </c>
      <c r="BV20" t="s">
        <v>1259</v>
      </c>
      <c r="BW20" t="s">
        <v>1259</v>
      </c>
      <c r="BX20" t="s">
        <v>1259</v>
      </c>
      <c r="BY20" t="s">
        <v>1259</v>
      </c>
      <c r="BZ20" t="s">
        <v>1259</v>
      </c>
      <c r="CA20" t="s">
        <v>1259</v>
      </c>
      <c r="CB20" t="s">
        <v>1259</v>
      </c>
      <c r="CC20" t="s">
        <v>1259</v>
      </c>
      <c r="CD20" t="s">
        <v>1259</v>
      </c>
      <c r="CE20" t="s">
        <v>1259</v>
      </c>
      <c r="CF20" t="s">
        <v>1259</v>
      </c>
      <c r="CG20" t="s">
        <v>1259</v>
      </c>
      <c r="CH20" t="s">
        <v>1259</v>
      </c>
      <c r="CI20" t="s">
        <v>1259</v>
      </c>
      <c r="CJ20" t="s">
        <v>1259</v>
      </c>
      <c r="CK20" t="s">
        <v>1259</v>
      </c>
      <c r="CL20" t="s">
        <v>1259</v>
      </c>
      <c r="CM20" t="s">
        <v>1259</v>
      </c>
      <c r="CN20" t="s">
        <v>1259</v>
      </c>
      <c r="CO20" t="s">
        <v>1259</v>
      </c>
      <c r="CP20" t="s">
        <v>1259</v>
      </c>
      <c r="CQ20" t="s">
        <v>1259</v>
      </c>
      <c r="CR20" t="s">
        <v>1259</v>
      </c>
      <c r="CS20" t="s">
        <v>1259</v>
      </c>
      <c r="CT20" t="s">
        <v>1259</v>
      </c>
      <c r="CU20" t="s">
        <v>1259</v>
      </c>
      <c r="CV20" t="s">
        <v>1259</v>
      </c>
      <c r="CW20" t="s">
        <v>1259</v>
      </c>
      <c r="CX20" t="s">
        <v>1259</v>
      </c>
      <c r="CY20" t="s">
        <v>1259</v>
      </c>
      <c r="CZ20" t="s">
        <v>1259</v>
      </c>
      <c r="DA20" t="s">
        <v>1259</v>
      </c>
      <c r="DB20" t="s">
        <v>1259</v>
      </c>
      <c r="DC20" t="s">
        <v>1259</v>
      </c>
      <c r="DD20" t="s">
        <v>1259</v>
      </c>
      <c r="DE20" t="s">
        <v>1259</v>
      </c>
      <c r="DF20" t="s">
        <v>1259</v>
      </c>
      <c r="DG20" t="s">
        <v>1259</v>
      </c>
      <c r="DH20" t="s">
        <v>1259</v>
      </c>
      <c r="DI20" t="s">
        <v>1259</v>
      </c>
      <c r="DJ20" t="s">
        <v>1259</v>
      </c>
      <c r="DL20" s="21">
        <f t="shared" si="2"/>
        <v>157214.70149221789</v>
      </c>
      <c r="DM20" t="s">
        <v>1259</v>
      </c>
      <c r="DN20" t="s">
        <v>1259</v>
      </c>
      <c r="DO20" t="s">
        <v>1259</v>
      </c>
      <c r="DP20" t="s">
        <v>1259</v>
      </c>
      <c r="DQ20" t="s">
        <v>1259</v>
      </c>
      <c r="DR20" t="s">
        <v>1259</v>
      </c>
      <c r="DS20" t="s">
        <v>1259</v>
      </c>
      <c r="DT20" t="s">
        <v>1259</v>
      </c>
      <c r="DU20" t="s">
        <v>1259</v>
      </c>
      <c r="DV20" t="s">
        <v>1259</v>
      </c>
      <c r="DW20" t="s">
        <v>1259</v>
      </c>
      <c r="DX20" t="s">
        <v>1259</v>
      </c>
      <c r="DY20" t="s">
        <v>1259</v>
      </c>
      <c r="DZ20" t="s">
        <v>1259</v>
      </c>
      <c r="EA20" t="s">
        <v>1259</v>
      </c>
      <c r="EB20" t="s">
        <v>1259</v>
      </c>
      <c r="EC20" t="s">
        <v>1259</v>
      </c>
      <c r="ED20" t="s">
        <v>1259</v>
      </c>
      <c r="EE20" t="s">
        <v>1259</v>
      </c>
      <c r="EF20" t="s">
        <v>1259</v>
      </c>
      <c r="EG20" t="s">
        <v>1259</v>
      </c>
      <c r="EH20" t="s">
        <v>1259</v>
      </c>
      <c r="EI20" t="s">
        <v>1259</v>
      </c>
      <c r="EJ20" t="s">
        <v>1259</v>
      </c>
      <c r="EK20" t="s">
        <v>1259</v>
      </c>
      <c r="EL20" t="s">
        <v>1259</v>
      </c>
      <c r="EM20" t="s">
        <v>1259</v>
      </c>
      <c r="EN20" t="s">
        <v>1259</v>
      </c>
      <c r="EO20" t="s">
        <v>1259</v>
      </c>
      <c r="EP20" t="s">
        <v>1259</v>
      </c>
      <c r="EQ20" t="s">
        <v>1259</v>
      </c>
      <c r="ER20" t="s">
        <v>1259</v>
      </c>
      <c r="ES20" t="s">
        <v>1259</v>
      </c>
      <c r="ET20" t="s">
        <v>1259</v>
      </c>
      <c r="EU20" t="s">
        <v>1259</v>
      </c>
      <c r="EV20" t="s">
        <v>1259</v>
      </c>
      <c r="EW20" t="s">
        <v>1259</v>
      </c>
      <c r="EX20" t="s">
        <v>1259</v>
      </c>
      <c r="EY20" t="s">
        <v>1259</v>
      </c>
      <c r="EZ20" t="s">
        <v>1259</v>
      </c>
      <c r="FA20" t="s">
        <v>1259</v>
      </c>
      <c r="FB20" t="s">
        <v>1259</v>
      </c>
      <c r="FC20" t="s">
        <v>1259</v>
      </c>
      <c r="FD20" t="s">
        <v>1259</v>
      </c>
      <c r="FE20" t="s">
        <v>1259</v>
      </c>
      <c r="FF20" t="s">
        <v>1259</v>
      </c>
    </row>
    <row r="21" spans="1:162" ht="17.25" x14ac:dyDescent="0.3">
      <c r="A21" t="s">
        <v>1424</v>
      </c>
      <c r="B21" t="s">
        <v>1259</v>
      </c>
      <c r="C21" t="s">
        <v>1259</v>
      </c>
      <c r="D21" t="s">
        <v>1259</v>
      </c>
      <c r="E21" t="s">
        <v>1259</v>
      </c>
      <c r="F21" t="s">
        <v>1259</v>
      </c>
      <c r="G21" t="s">
        <v>1259</v>
      </c>
      <c r="H21" t="s">
        <v>1259</v>
      </c>
      <c r="I21" t="s">
        <v>1259</v>
      </c>
      <c r="J21" t="s">
        <v>1259</v>
      </c>
      <c r="K21" t="s">
        <v>1259</v>
      </c>
      <c r="L21" t="s">
        <v>1259</v>
      </c>
      <c r="M21" t="s">
        <v>1259</v>
      </c>
      <c r="N21" t="s">
        <v>1259</v>
      </c>
      <c r="O21" t="s">
        <v>1259</v>
      </c>
      <c r="P21" t="s">
        <v>1259</v>
      </c>
      <c r="Q21" t="s">
        <v>1259</v>
      </c>
      <c r="R21" t="s">
        <v>1259</v>
      </c>
      <c r="S21" t="s">
        <v>1259</v>
      </c>
      <c r="T21" t="s">
        <v>1259</v>
      </c>
      <c r="U21" t="s">
        <v>1259</v>
      </c>
      <c r="V21" t="s">
        <v>1259</v>
      </c>
      <c r="W21" t="s">
        <v>1259</v>
      </c>
      <c r="X21" t="s">
        <v>1259</v>
      </c>
      <c r="Y21" t="s">
        <v>1259</v>
      </c>
      <c r="Z21" t="s">
        <v>1259</v>
      </c>
      <c r="AA21" t="s">
        <v>1259</v>
      </c>
      <c r="AB21" t="s">
        <v>1259</v>
      </c>
      <c r="AC21" t="s">
        <v>1259</v>
      </c>
      <c r="AD21" t="s">
        <v>1259</v>
      </c>
      <c r="AE21" t="s">
        <v>1259</v>
      </c>
      <c r="AF21" t="s">
        <v>1259</v>
      </c>
      <c r="AG21" t="s">
        <v>1259</v>
      </c>
      <c r="AH21" t="s">
        <v>1259</v>
      </c>
      <c r="AI21" t="s">
        <v>1259</v>
      </c>
      <c r="AJ21" t="s">
        <v>1259</v>
      </c>
      <c r="AK21" t="s">
        <v>1259</v>
      </c>
      <c r="AL21" t="s">
        <v>1259</v>
      </c>
      <c r="AM21" t="s">
        <v>1259</v>
      </c>
      <c r="AN21" t="s">
        <v>1259</v>
      </c>
      <c r="AO21" t="s">
        <v>1259</v>
      </c>
      <c r="AP21" t="s">
        <v>1259</v>
      </c>
      <c r="AQ21" t="s">
        <v>1259</v>
      </c>
      <c r="AR21" t="s">
        <v>1259</v>
      </c>
      <c r="AS21" t="s">
        <v>1259</v>
      </c>
      <c r="AT21" t="s">
        <v>1259</v>
      </c>
      <c r="AU21" t="s">
        <v>1259</v>
      </c>
      <c r="AV21" t="s">
        <v>1259</v>
      </c>
      <c r="AW21" t="s">
        <v>1259</v>
      </c>
      <c r="AX21" t="s">
        <v>1259</v>
      </c>
      <c r="AY21" t="s">
        <v>1259</v>
      </c>
      <c r="AZ21" t="s">
        <v>1259</v>
      </c>
      <c r="BA21" t="s">
        <v>1259</v>
      </c>
      <c r="BB21" t="s">
        <v>1259</v>
      </c>
      <c r="BC21" t="s">
        <v>1259</v>
      </c>
      <c r="BD21" t="s">
        <v>1259</v>
      </c>
      <c r="BE21" t="s">
        <v>1259</v>
      </c>
      <c r="BF21" t="s">
        <v>1259</v>
      </c>
      <c r="BG21" t="s">
        <v>1259</v>
      </c>
      <c r="BH21" t="s">
        <v>1259</v>
      </c>
      <c r="BI21" t="s">
        <v>1259</v>
      </c>
      <c r="BJ21" t="s">
        <v>1259</v>
      </c>
      <c r="BK21" t="s">
        <v>1259</v>
      </c>
      <c r="BL21" t="s">
        <v>1259</v>
      </c>
      <c r="BM21" t="s">
        <v>1259</v>
      </c>
      <c r="BN21" t="s">
        <v>1259</v>
      </c>
      <c r="BO21" t="s">
        <v>1259</v>
      </c>
      <c r="BP21" t="s">
        <v>1259</v>
      </c>
      <c r="BQ21" t="s">
        <v>1259</v>
      </c>
      <c r="BR21" t="s">
        <v>1259</v>
      </c>
      <c r="BS21" t="s">
        <v>1259</v>
      </c>
      <c r="BT21" t="s">
        <v>1259</v>
      </c>
      <c r="BU21" t="s">
        <v>1259</v>
      </c>
      <c r="BV21" t="s">
        <v>1259</v>
      </c>
      <c r="BW21" t="s">
        <v>1259</v>
      </c>
      <c r="BX21" t="s">
        <v>1259</v>
      </c>
      <c r="BY21" t="s">
        <v>1259</v>
      </c>
      <c r="BZ21" t="s">
        <v>1259</v>
      </c>
      <c r="CA21" t="s">
        <v>1259</v>
      </c>
      <c r="CB21" t="s">
        <v>1259</v>
      </c>
      <c r="CC21" t="s">
        <v>1259</v>
      </c>
      <c r="CD21" t="s">
        <v>1259</v>
      </c>
      <c r="CE21" t="s">
        <v>1259</v>
      </c>
      <c r="CF21" t="s">
        <v>1259</v>
      </c>
      <c r="CG21" t="s">
        <v>1259</v>
      </c>
      <c r="CH21" t="s">
        <v>1259</v>
      </c>
      <c r="CI21" t="s">
        <v>1259</v>
      </c>
      <c r="CJ21" t="s">
        <v>1259</v>
      </c>
      <c r="CK21" t="s">
        <v>1259</v>
      </c>
      <c r="CL21" t="s">
        <v>1259</v>
      </c>
      <c r="CM21" t="s">
        <v>1259</v>
      </c>
      <c r="CN21" t="s">
        <v>1259</v>
      </c>
      <c r="CO21" t="s">
        <v>1259</v>
      </c>
      <c r="CP21" t="s">
        <v>1259</v>
      </c>
      <c r="CQ21" t="s">
        <v>1259</v>
      </c>
      <c r="CR21" t="s">
        <v>1259</v>
      </c>
      <c r="CS21" t="s">
        <v>1259</v>
      </c>
      <c r="CT21" t="s">
        <v>1259</v>
      </c>
      <c r="CU21" t="s">
        <v>1259</v>
      </c>
      <c r="CV21" t="s">
        <v>1259</v>
      </c>
      <c r="CW21" t="s">
        <v>1259</v>
      </c>
      <c r="CX21" t="s">
        <v>1259</v>
      </c>
      <c r="CY21" t="s">
        <v>1259</v>
      </c>
      <c r="CZ21" t="s">
        <v>1259</v>
      </c>
      <c r="DA21" t="s">
        <v>1259</v>
      </c>
      <c r="DB21" t="s">
        <v>1259</v>
      </c>
      <c r="DC21" t="s">
        <v>1259</v>
      </c>
      <c r="DD21" t="s">
        <v>1259</v>
      </c>
      <c r="DE21" t="s">
        <v>1259</v>
      </c>
      <c r="DF21" t="s">
        <v>1259</v>
      </c>
      <c r="DG21" t="s">
        <v>1259</v>
      </c>
      <c r="DH21" t="s">
        <v>1259</v>
      </c>
      <c r="DI21" t="s">
        <v>1259</v>
      </c>
      <c r="DJ21" t="s">
        <v>1259</v>
      </c>
      <c r="DL21" s="21">
        <f t="shared" si="2"/>
        <v>157237.44276647482</v>
      </c>
      <c r="DM21" t="s">
        <v>1259</v>
      </c>
      <c r="DN21" t="s">
        <v>1259</v>
      </c>
      <c r="DO21" t="s">
        <v>1259</v>
      </c>
      <c r="DP21" t="s">
        <v>1259</v>
      </c>
      <c r="DQ21" t="s">
        <v>1259</v>
      </c>
      <c r="DR21" t="s">
        <v>1259</v>
      </c>
      <c r="DS21" t="s">
        <v>1259</v>
      </c>
      <c r="DT21" t="s">
        <v>1259</v>
      </c>
      <c r="DU21" t="s">
        <v>1259</v>
      </c>
      <c r="DV21" t="s">
        <v>1259</v>
      </c>
      <c r="DW21" t="s">
        <v>1259</v>
      </c>
      <c r="DX21" t="s">
        <v>1259</v>
      </c>
      <c r="DY21" t="s">
        <v>1259</v>
      </c>
      <c r="DZ21" t="s">
        <v>1259</v>
      </c>
      <c r="EA21" t="s">
        <v>1259</v>
      </c>
      <c r="EB21" t="s">
        <v>1259</v>
      </c>
      <c r="EC21" t="s">
        <v>1259</v>
      </c>
      <c r="ED21" t="s">
        <v>1259</v>
      </c>
      <c r="EE21" t="s">
        <v>1259</v>
      </c>
      <c r="EF21" t="s">
        <v>1259</v>
      </c>
      <c r="EG21" t="s">
        <v>1259</v>
      </c>
      <c r="EH21" t="s">
        <v>1259</v>
      </c>
      <c r="EI21" t="s">
        <v>1259</v>
      </c>
      <c r="EJ21" t="s">
        <v>1259</v>
      </c>
      <c r="EK21" t="s">
        <v>1259</v>
      </c>
      <c r="EL21" t="s">
        <v>1259</v>
      </c>
      <c r="EM21" t="s">
        <v>1259</v>
      </c>
      <c r="EN21" t="s">
        <v>1259</v>
      </c>
      <c r="EO21" t="s">
        <v>1259</v>
      </c>
      <c r="EP21" t="s">
        <v>1259</v>
      </c>
      <c r="EQ21" t="s">
        <v>1259</v>
      </c>
      <c r="ER21" t="s">
        <v>1259</v>
      </c>
      <c r="ES21" t="s">
        <v>1259</v>
      </c>
      <c r="ET21" t="s">
        <v>1259</v>
      </c>
      <c r="EU21" t="s">
        <v>1259</v>
      </c>
      <c r="EV21" t="s">
        <v>1259</v>
      </c>
      <c r="EW21" t="s">
        <v>1259</v>
      </c>
      <c r="EX21" t="s">
        <v>1259</v>
      </c>
      <c r="EY21" t="s">
        <v>1259</v>
      </c>
      <c r="EZ21" t="s">
        <v>1259</v>
      </c>
      <c r="FA21" t="s">
        <v>1259</v>
      </c>
      <c r="FB21" t="s">
        <v>1259</v>
      </c>
      <c r="FC21" t="s">
        <v>1259</v>
      </c>
      <c r="FD21" t="s">
        <v>1259</v>
      </c>
      <c r="FE21" t="s">
        <v>1259</v>
      </c>
      <c r="FF21" t="s">
        <v>1259</v>
      </c>
    </row>
    <row r="22" spans="1:162" x14ac:dyDescent="0.25">
      <c r="A22" t="s">
        <v>1425</v>
      </c>
      <c r="B22" t="s">
        <v>1426</v>
      </c>
      <c r="C22" t="s">
        <v>1427</v>
      </c>
      <c r="D22" t="s">
        <v>1428</v>
      </c>
      <c r="E22" t="s">
        <v>1429</v>
      </c>
      <c r="F22" t="s">
        <v>1430</v>
      </c>
      <c r="G22" t="s">
        <v>1431</v>
      </c>
      <c r="H22" t="s">
        <v>1432</v>
      </c>
      <c r="I22" t="s">
        <v>1433</v>
      </c>
      <c r="J22" t="s">
        <v>1434</v>
      </c>
      <c r="K22" t="s">
        <v>1435</v>
      </c>
      <c r="L22" t="s">
        <v>1436</v>
      </c>
      <c r="M22" t="s">
        <v>1437</v>
      </c>
      <c r="N22" t="s">
        <v>1438</v>
      </c>
      <c r="O22" t="s">
        <v>1439</v>
      </c>
      <c r="P22" t="s">
        <v>1440</v>
      </c>
      <c r="Q22" t="s">
        <v>1441</v>
      </c>
      <c r="R22" t="s">
        <v>1442</v>
      </c>
      <c r="S22" t="s">
        <v>1443</v>
      </c>
      <c r="T22" t="s">
        <v>1444</v>
      </c>
      <c r="U22" t="s">
        <v>1118</v>
      </c>
      <c r="V22" t="s">
        <v>1445</v>
      </c>
      <c r="W22" t="s">
        <v>1446</v>
      </c>
      <c r="X22" t="s">
        <v>1447</v>
      </c>
      <c r="Y22" t="s">
        <v>1448</v>
      </c>
      <c r="Z22" t="s">
        <v>1449</v>
      </c>
      <c r="AA22" t="s">
        <v>1450</v>
      </c>
      <c r="AB22" t="s">
        <v>1451</v>
      </c>
      <c r="AC22" t="s">
        <v>1452</v>
      </c>
      <c r="AD22" t="s">
        <v>1453</v>
      </c>
      <c r="AE22" t="s">
        <v>1454</v>
      </c>
      <c r="AF22" t="s">
        <v>1455</v>
      </c>
      <c r="AG22" t="s">
        <v>1456</v>
      </c>
      <c r="AH22" t="s">
        <v>1457</v>
      </c>
      <c r="AI22" t="s">
        <v>1458</v>
      </c>
      <c r="AJ22" t="s">
        <v>1459</v>
      </c>
      <c r="AK22" t="s">
        <v>1460</v>
      </c>
      <c r="AL22" t="s">
        <v>1461</v>
      </c>
      <c r="AM22" t="s">
        <v>1462</v>
      </c>
      <c r="AN22" t="s">
        <v>1463</v>
      </c>
      <c r="AO22" t="s">
        <v>1464</v>
      </c>
      <c r="AP22" t="s">
        <v>1465</v>
      </c>
      <c r="AQ22" t="s">
        <v>1466</v>
      </c>
      <c r="AR22" t="s">
        <v>1467</v>
      </c>
      <c r="AS22" t="s">
        <v>1468</v>
      </c>
      <c r="AT22" t="s">
        <v>1469</v>
      </c>
      <c r="AU22" t="s">
        <v>1470</v>
      </c>
      <c r="AV22" t="s">
        <v>1471</v>
      </c>
      <c r="AW22" t="s">
        <v>1472</v>
      </c>
      <c r="AX22" t="s">
        <v>1473</v>
      </c>
      <c r="AY22" t="s">
        <v>1474</v>
      </c>
      <c r="AZ22" t="s">
        <v>1475</v>
      </c>
      <c r="BA22" t="s">
        <v>1476</v>
      </c>
      <c r="BB22" t="s">
        <v>1477</v>
      </c>
      <c r="BC22" t="s">
        <v>1478</v>
      </c>
      <c r="BD22" t="s">
        <v>1479</v>
      </c>
      <c r="BE22" t="s">
        <v>1480</v>
      </c>
      <c r="BF22" t="s">
        <v>1481</v>
      </c>
      <c r="BG22" t="s">
        <v>1482</v>
      </c>
      <c r="BH22" t="s">
        <v>1483</v>
      </c>
      <c r="BI22" t="s">
        <v>1484</v>
      </c>
      <c r="BJ22" t="s">
        <v>1485</v>
      </c>
      <c r="BK22" t="s">
        <v>1486</v>
      </c>
      <c r="BL22" t="s">
        <v>1487</v>
      </c>
      <c r="BM22" t="s">
        <v>1488</v>
      </c>
      <c r="BN22" t="s">
        <v>1489</v>
      </c>
      <c r="BO22" t="s">
        <v>1490</v>
      </c>
      <c r="BP22" t="s">
        <v>1491</v>
      </c>
      <c r="BQ22" t="s">
        <v>1492</v>
      </c>
      <c r="BR22" t="s">
        <v>1493</v>
      </c>
      <c r="BS22" t="s">
        <v>1494</v>
      </c>
      <c r="BT22" t="s">
        <v>1495</v>
      </c>
      <c r="BU22" t="s">
        <v>1496</v>
      </c>
      <c r="BV22" t="s">
        <v>1497</v>
      </c>
      <c r="BW22" t="s">
        <v>1498</v>
      </c>
      <c r="BX22" t="s">
        <v>1499</v>
      </c>
      <c r="BY22" t="s">
        <v>1500</v>
      </c>
      <c r="BZ22" t="s">
        <v>1501</v>
      </c>
      <c r="CA22" t="s">
        <v>1502</v>
      </c>
      <c r="CB22" t="s">
        <v>1503</v>
      </c>
      <c r="CC22" t="s">
        <v>1504</v>
      </c>
      <c r="CD22" t="s">
        <v>1505</v>
      </c>
      <c r="CE22" t="s">
        <v>1506</v>
      </c>
      <c r="CF22" t="s">
        <v>1507</v>
      </c>
      <c r="CG22" t="s">
        <v>1508</v>
      </c>
      <c r="CH22" t="s">
        <v>1509</v>
      </c>
      <c r="CI22" t="s">
        <v>1510</v>
      </c>
      <c r="CJ22" t="s">
        <v>1511</v>
      </c>
      <c r="CK22" t="s">
        <v>1512</v>
      </c>
      <c r="CL22" t="s">
        <v>1513</v>
      </c>
      <c r="CM22" t="s">
        <v>1514</v>
      </c>
      <c r="CN22" t="s">
        <v>1515</v>
      </c>
      <c r="CO22" t="s">
        <v>1516</v>
      </c>
      <c r="CP22" t="s">
        <v>1517</v>
      </c>
      <c r="CQ22" t="s">
        <v>1518</v>
      </c>
      <c r="CR22" t="s">
        <v>1519</v>
      </c>
      <c r="CS22" t="s">
        <v>1520</v>
      </c>
      <c r="CT22" t="s">
        <v>1521</v>
      </c>
      <c r="CU22" t="s">
        <v>1522</v>
      </c>
      <c r="CV22" t="s">
        <v>1523</v>
      </c>
      <c r="CW22" t="s">
        <v>1524</v>
      </c>
      <c r="CX22" t="s">
        <v>1525</v>
      </c>
      <c r="CY22" t="s">
        <v>1526</v>
      </c>
      <c r="CZ22" t="s">
        <v>1527</v>
      </c>
      <c r="DA22" t="s">
        <v>1528</v>
      </c>
      <c r="DB22" t="s">
        <v>1529</v>
      </c>
      <c r="DC22" t="s">
        <v>1530</v>
      </c>
      <c r="DD22" t="s">
        <v>1531</v>
      </c>
      <c r="DE22" t="s">
        <v>1532</v>
      </c>
      <c r="DF22" t="s">
        <v>1533</v>
      </c>
      <c r="DG22" t="s">
        <v>1534</v>
      </c>
      <c r="DH22" t="s">
        <v>1535</v>
      </c>
      <c r="DI22" t="s">
        <v>1536</v>
      </c>
      <c r="DJ22" t="s">
        <v>1537</v>
      </c>
      <c r="DK22">
        <f t="shared" si="1"/>
        <v>157.2601840407317</v>
      </c>
      <c r="DL22">
        <f t="shared" ref="DL22:DL37" si="3">DK22*1000</f>
        <v>157260.18404073169</v>
      </c>
      <c r="DM22" t="s">
        <v>1538</v>
      </c>
      <c r="DN22" t="s">
        <v>1539</v>
      </c>
      <c r="DO22" t="s">
        <v>1540</v>
      </c>
      <c r="DP22" t="s">
        <v>1541</v>
      </c>
      <c r="DQ22" t="s">
        <v>1542</v>
      </c>
      <c r="DR22" t="s">
        <v>1543</v>
      </c>
      <c r="DS22" t="s">
        <v>1544</v>
      </c>
      <c r="DT22" t="s">
        <v>1545</v>
      </c>
      <c r="DU22" t="s">
        <v>1546</v>
      </c>
      <c r="DV22" t="s">
        <v>1547</v>
      </c>
      <c r="DW22" t="s">
        <v>1548</v>
      </c>
      <c r="DX22" t="s">
        <v>1549</v>
      </c>
      <c r="DY22" t="s">
        <v>1550</v>
      </c>
      <c r="DZ22" t="s">
        <v>1551</v>
      </c>
      <c r="EA22" t="s">
        <v>1552</v>
      </c>
      <c r="EB22" t="s">
        <v>1553</v>
      </c>
      <c r="EC22" t="s">
        <v>1554</v>
      </c>
      <c r="ED22" t="s">
        <v>1555</v>
      </c>
      <c r="EE22" t="s">
        <v>1556</v>
      </c>
      <c r="EF22" t="s">
        <v>1557</v>
      </c>
      <c r="EG22" t="s">
        <v>1558</v>
      </c>
      <c r="EH22" t="s">
        <v>1559</v>
      </c>
      <c r="EI22" t="s">
        <v>1560</v>
      </c>
      <c r="EJ22" t="s">
        <v>1561</v>
      </c>
      <c r="EK22" t="s">
        <v>1562</v>
      </c>
      <c r="EL22" t="s">
        <v>1563</v>
      </c>
      <c r="EM22" t="s">
        <v>1564</v>
      </c>
      <c r="EN22" t="s">
        <v>1565</v>
      </c>
      <c r="EO22" t="s">
        <v>1566</v>
      </c>
      <c r="EP22" t="s">
        <v>1567</v>
      </c>
      <c r="EQ22" t="s">
        <v>1568</v>
      </c>
      <c r="ER22" t="s">
        <v>1569</v>
      </c>
      <c r="ES22" t="s">
        <v>1570</v>
      </c>
      <c r="ET22" t="s">
        <v>1571</v>
      </c>
      <c r="EU22" t="s">
        <v>1572</v>
      </c>
      <c r="EV22" t="s">
        <v>1573</v>
      </c>
      <c r="EW22" t="s">
        <v>1574</v>
      </c>
      <c r="EX22" t="s">
        <v>1575</v>
      </c>
      <c r="EY22" t="s">
        <v>1576</v>
      </c>
      <c r="EZ22" t="s">
        <v>1577</v>
      </c>
      <c r="FA22" t="s">
        <v>1578</v>
      </c>
      <c r="FB22" t="s">
        <v>1579</v>
      </c>
      <c r="FC22" t="s">
        <v>1580</v>
      </c>
      <c r="FD22" t="s">
        <v>1581</v>
      </c>
      <c r="FE22" t="s">
        <v>1582</v>
      </c>
      <c r="FF22" t="s">
        <v>1583</v>
      </c>
    </row>
    <row r="23" spans="1:162" ht="17.25" x14ac:dyDescent="0.3">
      <c r="A23" t="s">
        <v>1584</v>
      </c>
      <c r="B23" t="s">
        <v>1259</v>
      </c>
      <c r="C23" t="s">
        <v>1259</v>
      </c>
      <c r="D23" t="s">
        <v>1259</v>
      </c>
      <c r="E23" t="s">
        <v>1259</v>
      </c>
      <c r="F23" t="s">
        <v>1259</v>
      </c>
      <c r="G23" t="s">
        <v>1259</v>
      </c>
      <c r="H23" t="s">
        <v>1259</v>
      </c>
      <c r="I23" t="s">
        <v>1259</v>
      </c>
      <c r="J23" t="s">
        <v>1259</v>
      </c>
      <c r="K23" t="s">
        <v>1259</v>
      </c>
      <c r="L23" t="s">
        <v>1259</v>
      </c>
      <c r="M23" t="s">
        <v>1259</v>
      </c>
      <c r="N23" t="s">
        <v>1259</v>
      </c>
      <c r="O23" t="s">
        <v>1259</v>
      </c>
      <c r="P23" t="s">
        <v>1259</v>
      </c>
      <c r="Q23" t="s">
        <v>1259</v>
      </c>
      <c r="R23" t="s">
        <v>1259</v>
      </c>
      <c r="S23" t="s">
        <v>1259</v>
      </c>
      <c r="T23" t="s">
        <v>1259</v>
      </c>
      <c r="U23" t="s">
        <v>1259</v>
      </c>
      <c r="V23" t="s">
        <v>1259</v>
      </c>
      <c r="W23" t="s">
        <v>1259</v>
      </c>
      <c r="X23" t="s">
        <v>1259</v>
      </c>
      <c r="Y23" t="s">
        <v>1259</v>
      </c>
      <c r="Z23" t="s">
        <v>1259</v>
      </c>
      <c r="AA23" t="s">
        <v>1259</v>
      </c>
      <c r="AB23" t="s">
        <v>1259</v>
      </c>
      <c r="AC23" t="s">
        <v>1259</v>
      </c>
      <c r="AD23" t="s">
        <v>1259</v>
      </c>
      <c r="AE23" t="s">
        <v>1259</v>
      </c>
      <c r="AF23" t="s">
        <v>1259</v>
      </c>
      <c r="AG23" t="s">
        <v>1259</v>
      </c>
      <c r="AH23" t="s">
        <v>1259</v>
      </c>
      <c r="AI23" t="s">
        <v>1259</v>
      </c>
      <c r="AJ23" t="s">
        <v>1259</v>
      </c>
      <c r="AK23" t="s">
        <v>1259</v>
      </c>
      <c r="AL23" t="s">
        <v>1259</v>
      </c>
      <c r="AM23" t="s">
        <v>1259</v>
      </c>
      <c r="AN23" t="s">
        <v>1259</v>
      </c>
      <c r="AO23" t="s">
        <v>1259</v>
      </c>
      <c r="AP23" t="s">
        <v>1259</v>
      </c>
      <c r="AQ23" t="s">
        <v>1259</v>
      </c>
      <c r="AR23" t="s">
        <v>1259</v>
      </c>
      <c r="AS23" t="s">
        <v>1259</v>
      </c>
      <c r="AT23" t="s">
        <v>1259</v>
      </c>
      <c r="AU23" t="s">
        <v>1259</v>
      </c>
      <c r="AV23" t="s">
        <v>1259</v>
      </c>
      <c r="AW23" t="s">
        <v>1259</v>
      </c>
      <c r="AX23" t="s">
        <v>1259</v>
      </c>
      <c r="AY23" t="s">
        <v>1259</v>
      </c>
      <c r="AZ23" t="s">
        <v>1259</v>
      </c>
      <c r="BA23" t="s">
        <v>1259</v>
      </c>
      <c r="BB23" t="s">
        <v>1259</v>
      </c>
      <c r="BC23" t="s">
        <v>1259</v>
      </c>
      <c r="BD23" t="s">
        <v>1259</v>
      </c>
      <c r="BE23" t="s">
        <v>1259</v>
      </c>
      <c r="BF23" t="s">
        <v>1259</v>
      </c>
      <c r="BG23" t="s">
        <v>1259</v>
      </c>
      <c r="BH23" t="s">
        <v>1259</v>
      </c>
      <c r="BI23" t="s">
        <v>1259</v>
      </c>
      <c r="BJ23" t="s">
        <v>1259</v>
      </c>
      <c r="BK23" t="s">
        <v>1259</v>
      </c>
      <c r="BL23" t="s">
        <v>1259</v>
      </c>
      <c r="BM23" t="s">
        <v>1259</v>
      </c>
      <c r="BN23" t="s">
        <v>1259</v>
      </c>
      <c r="BO23" t="s">
        <v>1259</v>
      </c>
      <c r="BP23" t="s">
        <v>1259</v>
      </c>
      <c r="BQ23" t="s">
        <v>1259</v>
      </c>
      <c r="BR23" t="s">
        <v>1259</v>
      </c>
      <c r="BS23" t="s">
        <v>1259</v>
      </c>
      <c r="BT23" t="s">
        <v>1259</v>
      </c>
      <c r="BU23" t="s">
        <v>1259</v>
      </c>
      <c r="BV23" t="s">
        <v>1259</v>
      </c>
      <c r="BW23" t="s">
        <v>1259</v>
      </c>
      <c r="BX23" t="s">
        <v>1259</v>
      </c>
      <c r="BY23" t="s">
        <v>1259</v>
      </c>
      <c r="BZ23" t="s">
        <v>1259</v>
      </c>
      <c r="CA23" t="s">
        <v>1259</v>
      </c>
      <c r="CB23" t="s">
        <v>1259</v>
      </c>
      <c r="CC23" t="s">
        <v>1259</v>
      </c>
      <c r="CD23" t="s">
        <v>1259</v>
      </c>
      <c r="CE23" t="s">
        <v>1259</v>
      </c>
      <c r="CF23" t="s">
        <v>1259</v>
      </c>
      <c r="CG23" t="s">
        <v>1259</v>
      </c>
      <c r="CH23" t="s">
        <v>1259</v>
      </c>
      <c r="CI23" t="s">
        <v>1259</v>
      </c>
      <c r="CJ23" t="s">
        <v>1259</v>
      </c>
      <c r="CK23" t="s">
        <v>1259</v>
      </c>
      <c r="CL23" t="s">
        <v>1259</v>
      </c>
      <c r="CM23" t="s">
        <v>1259</v>
      </c>
      <c r="CN23" t="s">
        <v>1259</v>
      </c>
      <c r="CO23" t="s">
        <v>1259</v>
      </c>
      <c r="CP23" t="s">
        <v>1259</v>
      </c>
      <c r="CQ23" t="s">
        <v>1259</v>
      </c>
      <c r="CR23" t="s">
        <v>1259</v>
      </c>
      <c r="CS23" t="s">
        <v>1259</v>
      </c>
      <c r="CT23" t="s">
        <v>1259</v>
      </c>
      <c r="CU23" t="s">
        <v>1259</v>
      </c>
      <c r="CV23" t="s">
        <v>1259</v>
      </c>
      <c r="CW23" t="s">
        <v>1259</v>
      </c>
      <c r="CX23" t="s">
        <v>1259</v>
      </c>
      <c r="CY23" t="s">
        <v>1259</v>
      </c>
      <c r="CZ23" t="s">
        <v>1259</v>
      </c>
      <c r="DA23" t="s">
        <v>1259</v>
      </c>
      <c r="DB23" t="s">
        <v>1259</v>
      </c>
      <c r="DC23" t="s">
        <v>1259</v>
      </c>
      <c r="DD23" t="s">
        <v>1259</v>
      </c>
      <c r="DE23" t="s">
        <v>1259</v>
      </c>
      <c r="DF23" t="s">
        <v>1259</v>
      </c>
      <c r="DG23" t="s">
        <v>1259</v>
      </c>
      <c r="DH23" t="s">
        <v>1259</v>
      </c>
      <c r="DI23" t="s">
        <v>1259</v>
      </c>
      <c r="DJ23" t="s">
        <v>1259</v>
      </c>
      <c r="DL23" s="21">
        <f xml:space="preserve"> ($DL$27-$DL$22)/5 + DL22</f>
        <v>154276.42476190868</v>
      </c>
      <c r="DM23" t="s">
        <v>1259</v>
      </c>
      <c r="DN23" t="s">
        <v>1259</v>
      </c>
      <c r="DO23" t="s">
        <v>1259</v>
      </c>
      <c r="DP23" t="s">
        <v>1259</v>
      </c>
      <c r="DQ23" t="s">
        <v>1259</v>
      </c>
      <c r="DR23" t="s">
        <v>1259</v>
      </c>
      <c r="DS23" t="s">
        <v>1259</v>
      </c>
      <c r="DT23" t="s">
        <v>1259</v>
      </c>
      <c r="DU23" t="s">
        <v>1259</v>
      </c>
      <c r="DV23" t="s">
        <v>1259</v>
      </c>
      <c r="DW23" t="s">
        <v>1259</v>
      </c>
      <c r="DX23" t="s">
        <v>1259</v>
      </c>
      <c r="DY23" t="s">
        <v>1259</v>
      </c>
      <c r="DZ23" t="s">
        <v>1259</v>
      </c>
      <c r="EA23" t="s">
        <v>1259</v>
      </c>
      <c r="EB23" t="s">
        <v>1259</v>
      </c>
      <c r="EC23" t="s">
        <v>1259</v>
      </c>
      <c r="ED23" t="s">
        <v>1259</v>
      </c>
      <c r="EE23" t="s">
        <v>1259</v>
      </c>
      <c r="EF23" t="s">
        <v>1259</v>
      </c>
      <c r="EG23" t="s">
        <v>1259</v>
      </c>
      <c r="EH23" t="s">
        <v>1259</v>
      </c>
      <c r="EI23" t="s">
        <v>1259</v>
      </c>
      <c r="EJ23" t="s">
        <v>1259</v>
      </c>
      <c r="EK23" t="s">
        <v>1259</v>
      </c>
      <c r="EL23" t="s">
        <v>1259</v>
      </c>
      <c r="EM23" t="s">
        <v>1259</v>
      </c>
      <c r="EN23" t="s">
        <v>1259</v>
      </c>
      <c r="EO23" t="s">
        <v>1259</v>
      </c>
      <c r="EP23" t="s">
        <v>1259</v>
      </c>
      <c r="EQ23" t="s">
        <v>1259</v>
      </c>
      <c r="ER23" t="s">
        <v>1259</v>
      </c>
      <c r="ES23" t="s">
        <v>1259</v>
      </c>
      <c r="ET23" t="s">
        <v>1259</v>
      </c>
      <c r="EU23" t="s">
        <v>1259</v>
      </c>
      <c r="EV23" t="s">
        <v>1259</v>
      </c>
      <c r="EW23" t="s">
        <v>1259</v>
      </c>
      <c r="EX23" t="s">
        <v>1259</v>
      </c>
      <c r="EY23" t="s">
        <v>1259</v>
      </c>
      <c r="EZ23" t="s">
        <v>1259</v>
      </c>
      <c r="FA23" t="s">
        <v>1259</v>
      </c>
      <c r="FB23" t="s">
        <v>1259</v>
      </c>
      <c r="FC23" t="s">
        <v>1259</v>
      </c>
      <c r="FD23" t="s">
        <v>1259</v>
      </c>
      <c r="FE23" t="s">
        <v>1259</v>
      </c>
      <c r="FF23" t="s">
        <v>1259</v>
      </c>
    </row>
    <row r="24" spans="1:162" ht="17.25" x14ac:dyDescent="0.3">
      <c r="A24" t="s">
        <v>1585</v>
      </c>
      <c r="B24" t="s">
        <v>1259</v>
      </c>
      <c r="C24" t="s">
        <v>1259</v>
      </c>
      <c r="D24" t="s">
        <v>1259</v>
      </c>
      <c r="E24" t="s">
        <v>1259</v>
      </c>
      <c r="F24" t="s">
        <v>1259</v>
      </c>
      <c r="G24" t="s">
        <v>1259</v>
      </c>
      <c r="H24" t="s">
        <v>1259</v>
      </c>
      <c r="I24" t="s">
        <v>1259</v>
      </c>
      <c r="J24" t="s">
        <v>1259</v>
      </c>
      <c r="K24" t="s">
        <v>1259</v>
      </c>
      <c r="L24" t="s">
        <v>1259</v>
      </c>
      <c r="M24" t="s">
        <v>1259</v>
      </c>
      <c r="N24" t="s">
        <v>1259</v>
      </c>
      <c r="O24" t="s">
        <v>1259</v>
      </c>
      <c r="P24" t="s">
        <v>1259</v>
      </c>
      <c r="Q24" t="s">
        <v>1259</v>
      </c>
      <c r="R24" t="s">
        <v>1259</v>
      </c>
      <c r="S24" t="s">
        <v>1259</v>
      </c>
      <c r="T24" t="s">
        <v>1259</v>
      </c>
      <c r="U24" t="s">
        <v>1259</v>
      </c>
      <c r="V24" t="s">
        <v>1259</v>
      </c>
      <c r="W24" t="s">
        <v>1259</v>
      </c>
      <c r="X24" t="s">
        <v>1259</v>
      </c>
      <c r="Y24" t="s">
        <v>1259</v>
      </c>
      <c r="Z24" t="s">
        <v>1259</v>
      </c>
      <c r="AA24" t="s">
        <v>1259</v>
      </c>
      <c r="AB24" t="s">
        <v>1259</v>
      </c>
      <c r="AC24" t="s">
        <v>1259</v>
      </c>
      <c r="AD24" t="s">
        <v>1259</v>
      </c>
      <c r="AE24" t="s">
        <v>1259</v>
      </c>
      <c r="AF24" t="s">
        <v>1259</v>
      </c>
      <c r="AG24" t="s">
        <v>1259</v>
      </c>
      <c r="AH24" t="s">
        <v>1259</v>
      </c>
      <c r="AI24" t="s">
        <v>1259</v>
      </c>
      <c r="AJ24" t="s">
        <v>1259</v>
      </c>
      <c r="AK24" t="s">
        <v>1259</v>
      </c>
      <c r="AL24" t="s">
        <v>1259</v>
      </c>
      <c r="AM24" t="s">
        <v>1259</v>
      </c>
      <c r="AN24" t="s">
        <v>1259</v>
      </c>
      <c r="AO24" t="s">
        <v>1259</v>
      </c>
      <c r="AP24" t="s">
        <v>1259</v>
      </c>
      <c r="AQ24" t="s">
        <v>1259</v>
      </c>
      <c r="AR24" t="s">
        <v>1259</v>
      </c>
      <c r="AS24" t="s">
        <v>1259</v>
      </c>
      <c r="AT24" t="s">
        <v>1259</v>
      </c>
      <c r="AU24" t="s">
        <v>1259</v>
      </c>
      <c r="AV24" t="s">
        <v>1259</v>
      </c>
      <c r="AW24" t="s">
        <v>1259</v>
      </c>
      <c r="AX24" t="s">
        <v>1259</v>
      </c>
      <c r="AY24" t="s">
        <v>1259</v>
      </c>
      <c r="AZ24" t="s">
        <v>1259</v>
      </c>
      <c r="BA24" t="s">
        <v>1259</v>
      </c>
      <c r="BB24" t="s">
        <v>1259</v>
      </c>
      <c r="BC24" t="s">
        <v>1259</v>
      </c>
      <c r="BD24" t="s">
        <v>1259</v>
      </c>
      <c r="BE24" t="s">
        <v>1259</v>
      </c>
      <c r="BF24" t="s">
        <v>1259</v>
      </c>
      <c r="BG24" t="s">
        <v>1259</v>
      </c>
      <c r="BH24" t="s">
        <v>1259</v>
      </c>
      <c r="BI24" t="s">
        <v>1259</v>
      </c>
      <c r="BJ24" t="s">
        <v>1259</v>
      </c>
      <c r="BK24" t="s">
        <v>1259</v>
      </c>
      <c r="BL24" t="s">
        <v>1259</v>
      </c>
      <c r="BM24" t="s">
        <v>1259</v>
      </c>
      <c r="BN24" t="s">
        <v>1259</v>
      </c>
      <c r="BO24" t="s">
        <v>1259</v>
      </c>
      <c r="BP24" t="s">
        <v>1259</v>
      </c>
      <c r="BQ24" t="s">
        <v>1259</v>
      </c>
      <c r="BR24" t="s">
        <v>1259</v>
      </c>
      <c r="BS24" t="s">
        <v>1259</v>
      </c>
      <c r="BT24" t="s">
        <v>1259</v>
      </c>
      <c r="BU24" t="s">
        <v>1259</v>
      </c>
      <c r="BV24" t="s">
        <v>1259</v>
      </c>
      <c r="BW24" t="s">
        <v>1259</v>
      </c>
      <c r="BX24" t="s">
        <v>1259</v>
      </c>
      <c r="BY24" t="s">
        <v>1259</v>
      </c>
      <c r="BZ24" t="s">
        <v>1259</v>
      </c>
      <c r="CA24" t="s">
        <v>1259</v>
      </c>
      <c r="CB24" t="s">
        <v>1259</v>
      </c>
      <c r="CC24" t="s">
        <v>1259</v>
      </c>
      <c r="CD24" t="s">
        <v>1259</v>
      </c>
      <c r="CE24" t="s">
        <v>1259</v>
      </c>
      <c r="CF24" t="s">
        <v>1259</v>
      </c>
      <c r="CG24" t="s">
        <v>1259</v>
      </c>
      <c r="CH24" t="s">
        <v>1259</v>
      </c>
      <c r="CI24" t="s">
        <v>1259</v>
      </c>
      <c r="CJ24" t="s">
        <v>1259</v>
      </c>
      <c r="CK24" t="s">
        <v>1259</v>
      </c>
      <c r="CL24" t="s">
        <v>1259</v>
      </c>
      <c r="CM24" t="s">
        <v>1259</v>
      </c>
      <c r="CN24" t="s">
        <v>1259</v>
      </c>
      <c r="CO24" t="s">
        <v>1259</v>
      </c>
      <c r="CP24" t="s">
        <v>1259</v>
      </c>
      <c r="CQ24" t="s">
        <v>1259</v>
      </c>
      <c r="CR24" t="s">
        <v>1259</v>
      </c>
      <c r="CS24" t="s">
        <v>1259</v>
      </c>
      <c r="CT24" t="s">
        <v>1259</v>
      </c>
      <c r="CU24" t="s">
        <v>1259</v>
      </c>
      <c r="CV24" t="s">
        <v>1259</v>
      </c>
      <c r="CW24" t="s">
        <v>1259</v>
      </c>
      <c r="CX24" t="s">
        <v>1259</v>
      </c>
      <c r="CY24" t="s">
        <v>1259</v>
      </c>
      <c r="CZ24" t="s">
        <v>1259</v>
      </c>
      <c r="DA24" t="s">
        <v>1259</v>
      </c>
      <c r="DB24" t="s">
        <v>1259</v>
      </c>
      <c r="DC24" t="s">
        <v>1259</v>
      </c>
      <c r="DD24" t="s">
        <v>1259</v>
      </c>
      <c r="DE24" t="s">
        <v>1259</v>
      </c>
      <c r="DF24" t="s">
        <v>1259</v>
      </c>
      <c r="DG24" t="s">
        <v>1259</v>
      </c>
      <c r="DH24" t="s">
        <v>1259</v>
      </c>
      <c r="DI24" t="s">
        <v>1259</v>
      </c>
      <c r="DJ24" t="s">
        <v>1259</v>
      </c>
      <c r="DL24" s="21">
        <f t="shared" ref="DL24:DL26" si="4" xml:space="preserve"> ($DL$27-$DL$22)/5 + DL23</f>
        <v>151292.66548308567</v>
      </c>
      <c r="DM24" t="s">
        <v>1259</v>
      </c>
      <c r="DN24" t="s">
        <v>1259</v>
      </c>
      <c r="DO24" t="s">
        <v>1259</v>
      </c>
      <c r="DP24" t="s">
        <v>1259</v>
      </c>
      <c r="DQ24" t="s">
        <v>1259</v>
      </c>
      <c r="DR24" t="s">
        <v>1259</v>
      </c>
      <c r="DS24" t="s">
        <v>1259</v>
      </c>
      <c r="DT24" t="s">
        <v>1259</v>
      </c>
      <c r="DU24" t="s">
        <v>1259</v>
      </c>
      <c r="DV24" t="s">
        <v>1259</v>
      </c>
      <c r="DW24" t="s">
        <v>1259</v>
      </c>
      <c r="DX24" t="s">
        <v>1259</v>
      </c>
      <c r="DY24" t="s">
        <v>1259</v>
      </c>
      <c r="DZ24" t="s">
        <v>1259</v>
      </c>
      <c r="EA24" t="s">
        <v>1259</v>
      </c>
      <c r="EB24" t="s">
        <v>1259</v>
      </c>
      <c r="EC24" t="s">
        <v>1259</v>
      </c>
      <c r="ED24" t="s">
        <v>1259</v>
      </c>
      <c r="EE24" t="s">
        <v>1259</v>
      </c>
      <c r="EF24" t="s">
        <v>1259</v>
      </c>
      <c r="EG24" t="s">
        <v>1259</v>
      </c>
      <c r="EH24" t="s">
        <v>1259</v>
      </c>
      <c r="EI24" t="s">
        <v>1259</v>
      </c>
      <c r="EJ24" t="s">
        <v>1259</v>
      </c>
      <c r="EK24" t="s">
        <v>1259</v>
      </c>
      <c r="EL24" t="s">
        <v>1259</v>
      </c>
      <c r="EM24" t="s">
        <v>1259</v>
      </c>
      <c r="EN24" t="s">
        <v>1259</v>
      </c>
      <c r="EO24" t="s">
        <v>1259</v>
      </c>
      <c r="EP24" t="s">
        <v>1259</v>
      </c>
      <c r="EQ24" t="s">
        <v>1259</v>
      </c>
      <c r="ER24" t="s">
        <v>1259</v>
      </c>
      <c r="ES24" t="s">
        <v>1259</v>
      </c>
      <c r="ET24" t="s">
        <v>1259</v>
      </c>
      <c r="EU24" t="s">
        <v>1259</v>
      </c>
      <c r="EV24" t="s">
        <v>1259</v>
      </c>
      <c r="EW24" t="s">
        <v>1259</v>
      </c>
      <c r="EX24" t="s">
        <v>1259</v>
      </c>
      <c r="EY24" t="s">
        <v>1259</v>
      </c>
      <c r="EZ24" t="s">
        <v>1259</v>
      </c>
      <c r="FA24" t="s">
        <v>1259</v>
      </c>
      <c r="FB24" t="s">
        <v>1259</v>
      </c>
      <c r="FC24" t="s">
        <v>1259</v>
      </c>
      <c r="FD24" t="s">
        <v>1259</v>
      </c>
      <c r="FE24" t="s">
        <v>1259</v>
      </c>
      <c r="FF24" t="s">
        <v>1259</v>
      </c>
    </row>
    <row r="25" spans="1:162" ht="17.25" x14ac:dyDescent="0.3">
      <c r="A25" t="s">
        <v>1586</v>
      </c>
      <c r="B25" t="s">
        <v>1259</v>
      </c>
      <c r="C25" t="s">
        <v>1259</v>
      </c>
      <c r="D25" t="s">
        <v>1259</v>
      </c>
      <c r="E25" t="s">
        <v>1259</v>
      </c>
      <c r="F25" t="s">
        <v>1259</v>
      </c>
      <c r="G25" t="s">
        <v>1259</v>
      </c>
      <c r="H25" t="s">
        <v>1259</v>
      </c>
      <c r="I25" t="s">
        <v>1259</v>
      </c>
      <c r="J25" t="s">
        <v>1259</v>
      </c>
      <c r="K25" t="s">
        <v>1259</v>
      </c>
      <c r="L25" t="s">
        <v>1259</v>
      </c>
      <c r="M25" t="s">
        <v>1259</v>
      </c>
      <c r="N25" t="s">
        <v>1259</v>
      </c>
      <c r="O25" t="s">
        <v>1259</v>
      </c>
      <c r="P25" t="s">
        <v>1259</v>
      </c>
      <c r="Q25" t="s">
        <v>1259</v>
      </c>
      <c r="R25" t="s">
        <v>1259</v>
      </c>
      <c r="S25" t="s">
        <v>1259</v>
      </c>
      <c r="T25" t="s">
        <v>1259</v>
      </c>
      <c r="U25" t="s">
        <v>1259</v>
      </c>
      <c r="V25" t="s">
        <v>1259</v>
      </c>
      <c r="W25" t="s">
        <v>1259</v>
      </c>
      <c r="X25" t="s">
        <v>1259</v>
      </c>
      <c r="Y25" t="s">
        <v>1259</v>
      </c>
      <c r="Z25" t="s">
        <v>1259</v>
      </c>
      <c r="AA25" t="s">
        <v>1259</v>
      </c>
      <c r="AB25" t="s">
        <v>1259</v>
      </c>
      <c r="AC25" t="s">
        <v>1259</v>
      </c>
      <c r="AD25" t="s">
        <v>1259</v>
      </c>
      <c r="AE25" t="s">
        <v>1259</v>
      </c>
      <c r="AF25" t="s">
        <v>1259</v>
      </c>
      <c r="AG25" t="s">
        <v>1259</v>
      </c>
      <c r="AH25" t="s">
        <v>1259</v>
      </c>
      <c r="AI25" t="s">
        <v>1259</v>
      </c>
      <c r="AJ25" t="s">
        <v>1259</v>
      </c>
      <c r="AK25" t="s">
        <v>1259</v>
      </c>
      <c r="AL25" t="s">
        <v>1259</v>
      </c>
      <c r="AM25" t="s">
        <v>1259</v>
      </c>
      <c r="AN25" t="s">
        <v>1259</v>
      </c>
      <c r="AO25" t="s">
        <v>1259</v>
      </c>
      <c r="AP25" t="s">
        <v>1259</v>
      </c>
      <c r="AQ25" t="s">
        <v>1259</v>
      </c>
      <c r="AR25" t="s">
        <v>1259</v>
      </c>
      <c r="AS25" t="s">
        <v>1259</v>
      </c>
      <c r="AT25" t="s">
        <v>1259</v>
      </c>
      <c r="AU25" t="s">
        <v>1259</v>
      </c>
      <c r="AV25" t="s">
        <v>1259</v>
      </c>
      <c r="AW25" t="s">
        <v>1259</v>
      </c>
      <c r="AX25" t="s">
        <v>1259</v>
      </c>
      <c r="AY25" t="s">
        <v>1259</v>
      </c>
      <c r="AZ25" t="s">
        <v>1259</v>
      </c>
      <c r="BA25" t="s">
        <v>1259</v>
      </c>
      <c r="BB25" t="s">
        <v>1259</v>
      </c>
      <c r="BC25" t="s">
        <v>1259</v>
      </c>
      <c r="BD25" t="s">
        <v>1259</v>
      </c>
      <c r="BE25" t="s">
        <v>1259</v>
      </c>
      <c r="BF25" t="s">
        <v>1259</v>
      </c>
      <c r="BG25" t="s">
        <v>1259</v>
      </c>
      <c r="BH25" t="s">
        <v>1259</v>
      </c>
      <c r="BI25" t="s">
        <v>1259</v>
      </c>
      <c r="BJ25" t="s">
        <v>1259</v>
      </c>
      <c r="BK25" t="s">
        <v>1259</v>
      </c>
      <c r="BL25" t="s">
        <v>1259</v>
      </c>
      <c r="BM25" t="s">
        <v>1259</v>
      </c>
      <c r="BN25" t="s">
        <v>1259</v>
      </c>
      <c r="BO25" t="s">
        <v>1259</v>
      </c>
      <c r="BP25" t="s">
        <v>1259</v>
      </c>
      <c r="BQ25" t="s">
        <v>1259</v>
      </c>
      <c r="BR25" t="s">
        <v>1259</v>
      </c>
      <c r="BS25" t="s">
        <v>1259</v>
      </c>
      <c r="BT25" t="s">
        <v>1259</v>
      </c>
      <c r="BU25" t="s">
        <v>1259</v>
      </c>
      <c r="BV25" t="s">
        <v>1259</v>
      </c>
      <c r="BW25" t="s">
        <v>1259</v>
      </c>
      <c r="BX25" t="s">
        <v>1259</v>
      </c>
      <c r="BY25" t="s">
        <v>1259</v>
      </c>
      <c r="BZ25" t="s">
        <v>1259</v>
      </c>
      <c r="CA25" t="s">
        <v>1259</v>
      </c>
      <c r="CB25" t="s">
        <v>1259</v>
      </c>
      <c r="CC25" t="s">
        <v>1259</v>
      </c>
      <c r="CD25" t="s">
        <v>1259</v>
      </c>
      <c r="CE25" t="s">
        <v>1259</v>
      </c>
      <c r="CF25" t="s">
        <v>1259</v>
      </c>
      <c r="CG25" t="s">
        <v>1259</v>
      </c>
      <c r="CH25" t="s">
        <v>1259</v>
      </c>
      <c r="CI25" t="s">
        <v>1259</v>
      </c>
      <c r="CJ25" t="s">
        <v>1259</v>
      </c>
      <c r="CK25" t="s">
        <v>1259</v>
      </c>
      <c r="CL25" t="s">
        <v>1259</v>
      </c>
      <c r="CM25" t="s">
        <v>1259</v>
      </c>
      <c r="CN25" t="s">
        <v>1259</v>
      </c>
      <c r="CO25" t="s">
        <v>1259</v>
      </c>
      <c r="CP25" t="s">
        <v>1259</v>
      </c>
      <c r="CQ25" t="s">
        <v>1259</v>
      </c>
      <c r="CR25" t="s">
        <v>1259</v>
      </c>
      <c r="CS25" t="s">
        <v>1259</v>
      </c>
      <c r="CT25" t="s">
        <v>1259</v>
      </c>
      <c r="CU25" t="s">
        <v>1259</v>
      </c>
      <c r="CV25" t="s">
        <v>1259</v>
      </c>
      <c r="CW25" t="s">
        <v>1259</v>
      </c>
      <c r="CX25" t="s">
        <v>1259</v>
      </c>
      <c r="CY25" t="s">
        <v>1259</v>
      </c>
      <c r="CZ25" t="s">
        <v>1259</v>
      </c>
      <c r="DA25" t="s">
        <v>1259</v>
      </c>
      <c r="DB25" t="s">
        <v>1259</v>
      </c>
      <c r="DC25" t="s">
        <v>1259</v>
      </c>
      <c r="DD25" t="s">
        <v>1259</v>
      </c>
      <c r="DE25" t="s">
        <v>1259</v>
      </c>
      <c r="DF25" t="s">
        <v>1259</v>
      </c>
      <c r="DG25" t="s">
        <v>1259</v>
      </c>
      <c r="DH25" t="s">
        <v>1259</v>
      </c>
      <c r="DI25" t="s">
        <v>1259</v>
      </c>
      <c r="DJ25" t="s">
        <v>1259</v>
      </c>
      <c r="DL25" s="21">
        <f t="shared" si="4"/>
        <v>148308.90620426266</v>
      </c>
      <c r="DM25" t="s">
        <v>1259</v>
      </c>
      <c r="DN25" t="s">
        <v>1259</v>
      </c>
      <c r="DO25" t="s">
        <v>1259</v>
      </c>
      <c r="DP25" t="s">
        <v>1259</v>
      </c>
      <c r="DQ25" t="s">
        <v>1259</v>
      </c>
      <c r="DR25" t="s">
        <v>1259</v>
      </c>
      <c r="DS25" t="s">
        <v>1259</v>
      </c>
      <c r="DT25" t="s">
        <v>1259</v>
      </c>
      <c r="DU25" t="s">
        <v>1259</v>
      </c>
      <c r="DV25" t="s">
        <v>1259</v>
      </c>
      <c r="DW25" t="s">
        <v>1259</v>
      </c>
      <c r="DX25" t="s">
        <v>1259</v>
      </c>
      <c r="DY25" t="s">
        <v>1259</v>
      </c>
      <c r="DZ25" t="s">
        <v>1259</v>
      </c>
      <c r="EA25" t="s">
        <v>1259</v>
      </c>
      <c r="EB25" t="s">
        <v>1259</v>
      </c>
      <c r="EC25" t="s">
        <v>1259</v>
      </c>
      <c r="ED25" t="s">
        <v>1259</v>
      </c>
      <c r="EE25" t="s">
        <v>1259</v>
      </c>
      <c r="EF25" t="s">
        <v>1259</v>
      </c>
      <c r="EG25" t="s">
        <v>1259</v>
      </c>
      <c r="EH25" t="s">
        <v>1259</v>
      </c>
      <c r="EI25" t="s">
        <v>1259</v>
      </c>
      <c r="EJ25" t="s">
        <v>1259</v>
      </c>
      <c r="EK25" t="s">
        <v>1259</v>
      </c>
      <c r="EL25" t="s">
        <v>1259</v>
      </c>
      <c r="EM25" t="s">
        <v>1259</v>
      </c>
      <c r="EN25" t="s">
        <v>1259</v>
      </c>
      <c r="EO25" t="s">
        <v>1259</v>
      </c>
      <c r="EP25" t="s">
        <v>1259</v>
      </c>
      <c r="EQ25" t="s">
        <v>1259</v>
      </c>
      <c r="ER25" t="s">
        <v>1259</v>
      </c>
      <c r="ES25" t="s">
        <v>1259</v>
      </c>
      <c r="ET25" t="s">
        <v>1259</v>
      </c>
      <c r="EU25" t="s">
        <v>1259</v>
      </c>
      <c r="EV25" t="s">
        <v>1259</v>
      </c>
      <c r="EW25" t="s">
        <v>1259</v>
      </c>
      <c r="EX25" t="s">
        <v>1259</v>
      </c>
      <c r="EY25" t="s">
        <v>1259</v>
      </c>
      <c r="EZ25" t="s">
        <v>1259</v>
      </c>
      <c r="FA25" t="s">
        <v>1259</v>
      </c>
      <c r="FB25" t="s">
        <v>1259</v>
      </c>
      <c r="FC25" t="s">
        <v>1259</v>
      </c>
      <c r="FD25" t="s">
        <v>1259</v>
      </c>
      <c r="FE25" t="s">
        <v>1259</v>
      </c>
      <c r="FF25" t="s">
        <v>1259</v>
      </c>
    </row>
    <row r="26" spans="1:162" ht="17.25" x14ac:dyDescent="0.3">
      <c r="A26" t="s">
        <v>1587</v>
      </c>
      <c r="B26" t="s">
        <v>1259</v>
      </c>
      <c r="C26" t="s">
        <v>1259</v>
      </c>
      <c r="D26" t="s">
        <v>1259</v>
      </c>
      <c r="E26" t="s">
        <v>1259</v>
      </c>
      <c r="F26" t="s">
        <v>1259</v>
      </c>
      <c r="G26" t="s">
        <v>1259</v>
      </c>
      <c r="H26" t="s">
        <v>1259</v>
      </c>
      <c r="I26" t="s">
        <v>1259</v>
      </c>
      <c r="J26" t="s">
        <v>1259</v>
      </c>
      <c r="K26" t="s">
        <v>1259</v>
      </c>
      <c r="L26" t="s">
        <v>1259</v>
      </c>
      <c r="M26" t="s">
        <v>1259</v>
      </c>
      <c r="N26" t="s">
        <v>1259</v>
      </c>
      <c r="O26" t="s">
        <v>1259</v>
      </c>
      <c r="P26" t="s">
        <v>1259</v>
      </c>
      <c r="Q26" t="s">
        <v>1259</v>
      </c>
      <c r="R26" t="s">
        <v>1259</v>
      </c>
      <c r="S26" t="s">
        <v>1259</v>
      </c>
      <c r="T26" t="s">
        <v>1259</v>
      </c>
      <c r="U26" t="s">
        <v>1259</v>
      </c>
      <c r="V26" t="s">
        <v>1259</v>
      </c>
      <c r="W26" t="s">
        <v>1259</v>
      </c>
      <c r="X26" t="s">
        <v>1259</v>
      </c>
      <c r="Y26" t="s">
        <v>1259</v>
      </c>
      <c r="Z26" t="s">
        <v>1259</v>
      </c>
      <c r="AA26" t="s">
        <v>1259</v>
      </c>
      <c r="AB26" t="s">
        <v>1259</v>
      </c>
      <c r="AC26" t="s">
        <v>1259</v>
      </c>
      <c r="AD26" t="s">
        <v>1259</v>
      </c>
      <c r="AE26" t="s">
        <v>1259</v>
      </c>
      <c r="AF26" t="s">
        <v>1259</v>
      </c>
      <c r="AG26" t="s">
        <v>1259</v>
      </c>
      <c r="AH26" t="s">
        <v>1259</v>
      </c>
      <c r="AI26" t="s">
        <v>1259</v>
      </c>
      <c r="AJ26" t="s">
        <v>1259</v>
      </c>
      <c r="AK26" t="s">
        <v>1259</v>
      </c>
      <c r="AL26" t="s">
        <v>1259</v>
      </c>
      <c r="AM26" t="s">
        <v>1259</v>
      </c>
      <c r="AN26" t="s">
        <v>1259</v>
      </c>
      <c r="AO26" t="s">
        <v>1259</v>
      </c>
      <c r="AP26" t="s">
        <v>1259</v>
      </c>
      <c r="AQ26" t="s">
        <v>1259</v>
      </c>
      <c r="AR26" t="s">
        <v>1259</v>
      </c>
      <c r="AS26" t="s">
        <v>1259</v>
      </c>
      <c r="AT26" t="s">
        <v>1259</v>
      </c>
      <c r="AU26" t="s">
        <v>1259</v>
      </c>
      <c r="AV26" t="s">
        <v>1259</v>
      </c>
      <c r="AW26" t="s">
        <v>1259</v>
      </c>
      <c r="AX26" t="s">
        <v>1259</v>
      </c>
      <c r="AY26" t="s">
        <v>1259</v>
      </c>
      <c r="AZ26" t="s">
        <v>1259</v>
      </c>
      <c r="BA26" t="s">
        <v>1259</v>
      </c>
      <c r="BB26" t="s">
        <v>1259</v>
      </c>
      <c r="BC26" t="s">
        <v>1259</v>
      </c>
      <c r="BD26" t="s">
        <v>1259</v>
      </c>
      <c r="BE26" t="s">
        <v>1259</v>
      </c>
      <c r="BF26" t="s">
        <v>1259</v>
      </c>
      <c r="BG26" t="s">
        <v>1259</v>
      </c>
      <c r="BH26" t="s">
        <v>1259</v>
      </c>
      <c r="BI26" t="s">
        <v>1259</v>
      </c>
      <c r="BJ26" t="s">
        <v>1259</v>
      </c>
      <c r="BK26" t="s">
        <v>1259</v>
      </c>
      <c r="BL26" t="s">
        <v>1259</v>
      </c>
      <c r="BM26" t="s">
        <v>1259</v>
      </c>
      <c r="BN26" t="s">
        <v>1259</v>
      </c>
      <c r="BO26" t="s">
        <v>1259</v>
      </c>
      <c r="BP26" t="s">
        <v>1259</v>
      </c>
      <c r="BQ26" t="s">
        <v>1259</v>
      </c>
      <c r="BR26" t="s">
        <v>1259</v>
      </c>
      <c r="BS26" t="s">
        <v>1259</v>
      </c>
      <c r="BT26" t="s">
        <v>1259</v>
      </c>
      <c r="BU26" t="s">
        <v>1259</v>
      </c>
      <c r="BV26" t="s">
        <v>1259</v>
      </c>
      <c r="BW26" t="s">
        <v>1259</v>
      </c>
      <c r="BX26" t="s">
        <v>1259</v>
      </c>
      <c r="BY26" t="s">
        <v>1259</v>
      </c>
      <c r="BZ26" t="s">
        <v>1259</v>
      </c>
      <c r="CA26" t="s">
        <v>1259</v>
      </c>
      <c r="CB26" t="s">
        <v>1259</v>
      </c>
      <c r="CC26" t="s">
        <v>1259</v>
      </c>
      <c r="CD26" t="s">
        <v>1259</v>
      </c>
      <c r="CE26" t="s">
        <v>1259</v>
      </c>
      <c r="CF26" t="s">
        <v>1259</v>
      </c>
      <c r="CG26" t="s">
        <v>1259</v>
      </c>
      <c r="CH26" t="s">
        <v>1259</v>
      </c>
      <c r="CI26" t="s">
        <v>1259</v>
      </c>
      <c r="CJ26" t="s">
        <v>1259</v>
      </c>
      <c r="CK26" t="s">
        <v>1259</v>
      </c>
      <c r="CL26" t="s">
        <v>1259</v>
      </c>
      <c r="CM26" t="s">
        <v>1259</v>
      </c>
      <c r="CN26" t="s">
        <v>1259</v>
      </c>
      <c r="CO26" t="s">
        <v>1259</v>
      </c>
      <c r="CP26" t="s">
        <v>1259</v>
      </c>
      <c r="CQ26" t="s">
        <v>1259</v>
      </c>
      <c r="CR26" t="s">
        <v>1259</v>
      </c>
      <c r="CS26" t="s">
        <v>1259</v>
      </c>
      <c r="CT26" t="s">
        <v>1259</v>
      </c>
      <c r="CU26" t="s">
        <v>1259</v>
      </c>
      <c r="CV26" t="s">
        <v>1259</v>
      </c>
      <c r="CW26" t="s">
        <v>1259</v>
      </c>
      <c r="CX26" t="s">
        <v>1259</v>
      </c>
      <c r="CY26" t="s">
        <v>1259</v>
      </c>
      <c r="CZ26" t="s">
        <v>1259</v>
      </c>
      <c r="DA26" t="s">
        <v>1259</v>
      </c>
      <c r="DB26" t="s">
        <v>1259</v>
      </c>
      <c r="DC26" t="s">
        <v>1259</v>
      </c>
      <c r="DD26" t="s">
        <v>1259</v>
      </c>
      <c r="DE26" t="s">
        <v>1259</v>
      </c>
      <c r="DF26" t="s">
        <v>1259</v>
      </c>
      <c r="DG26" t="s">
        <v>1259</v>
      </c>
      <c r="DH26" t="s">
        <v>1259</v>
      </c>
      <c r="DI26" t="s">
        <v>1259</v>
      </c>
      <c r="DJ26" t="s">
        <v>1259</v>
      </c>
      <c r="DL26" s="21">
        <f t="shared" si="4"/>
        <v>145325.14692543965</v>
      </c>
      <c r="DM26" t="s">
        <v>1259</v>
      </c>
      <c r="DN26" t="s">
        <v>1259</v>
      </c>
      <c r="DO26" t="s">
        <v>1259</v>
      </c>
      <c r="DP26" t="s">
        <v>1259</v>
      </c>
      <c r="DQ26" t="s">
        <v>1259</v>
      </c>
      <c r="DR26" t="s">
        <v>1259</v>
      </c>
      <c r="DS26" t="s">
        <v>1259</v>
      </c>
      <c r="DT26" t="s">
        <v>1259</v>
      </c>
      <c r="DU26" t="s">
        <v>1259</v>
      </c>
      <c r="DV26" t="s">
        <v>1259</v>
      </c>
      <c r="DW26" t="s">
        <v>1259</v>
      </c>
      <c r="DX26" t="s">
        <v>1259</v>
      </c>
      <c r="DY26" t="s">
        <v>1259</v>
      </c>
      <c r="DZ26" t="s">
        <v>1259</v>
      </c>
      <c r="EA26" t="s">
        <v>1259</v>
      </c>
      <c r="EB26" t="s">
        <v>1259</v>
      </c>
      <c r="EC26" t="s">
        <v>1259</v>
      </c>
      <c r="ED26" t="s">
        <v>1259</v>
      </c>
      <c r="EE26" t="s">
        <v>1259</v>
      </c>
      <c r="EF26" t="s">
        <v>1259</v>
      </c>
      <c r="EG26" t="s">
        <v>1259</v>
      </c>
      <c r="EH26" t="s">
        <v>1259</v>
      </c>
      <c r="EI26" t="s">
        <v>1259</v>
      </c>
      <c r="EJ26" t="s">
        <v>1259</v>
      </c>
      <c r="EK26" t="s">
        <v>1259</v>
      </c>
      <c r="EL26" t="s">
        <v>1259</v>
      </c>
      <c r="EM26" t="s">
        <v>1259</v>
      </c>
      <c r="EN26" t="s">
        <v>1259</v>
      </c>
      <c r="EO26" t="s">
        <v>1259</v>
      </c>
      <c r="EP26" t="s">
        <v>1259</v>
      </c>
      <c r="EQ26" t="s">
        <v>1259</v>
      </c>
      <c r="ER26" t="s">
        <v>1259</v>
      </c>
      <c r="ES26" t="s">
        <v>1259</v>
      </c>
      <c r="ET26" t="s">
        <v>1259</v>
      </c>
      <c r="EU26" t="s">
        <v>1259</v>
      </c>
      <c r="EV26" t="s">
        <v>1259</v>
      </c>
      <c r="EW26" t="s">
        <v>1259</v>
      </c>
      <c r="EX26" t="s">
        <v>1259</v>
      </c>
      <c r="EY26" t="s">
        <v>1259</v>
      </c>
      <c r="EZ26" t="s">
        <v>1259</v>
      </c>
      <c r="FA26" t="s">
        <v>1259</v>
      </c>
      <c r="FB26" t="s">
        <v>1259</v>
      </c>
      <c r="FC26" t="s">
        <v>1259</v>
      </c>
      <c r="FD26" t="s">
        <v>1259</v>
      </c>
      <c r="FE26" t="s">
        <v>1259</v>
      </c>
      <c r="FF26" t="s">
        <v>1259</v>
      </c>
    </row>
    <row r="27" spans="1:162" x14ac:dyDescent="0.25">
      <c r="A27" t="s">
        <v>1588</v>
      </c>
      <c r="B27" t="s">
        <v>1589</v>
      </c>
      <c r="C27" t="s">
        <v>1590</v>
      </c>
      <c r="D27" t="s">
        <v>1591</v>
      </c>
      <c r="E27" t="s">
        <v>1592</v>
      </c>
      <c r="F27" t="s">
        <v>1593</v>
      </c>
      <c r="G27" t="s">
        <v>1594</v>
      </c>
      <c r="H27" t="s">
        <v>1595</v>
      </c>
      <c r="I27" t="s">
        <v>1596</v>
      </c>
      <c r="J27" t="s">
        <v>1597</v>
      </c>
      <c r="K27" t="s">
        <v>1598</v>
      </c>
      <c r="L27" t="s">
        <v>1599</v>
      </c>
      <c r="M27" t="s">
        <v>1600</v>
      </c>
      <c r="N27" t="s">
        <v>1601</v>
      </c>
      <c r="O27" t="s">
        <v>1602</v>
      </c>
      <c r="P27" t="s">
        <v>1603</v>
      </c>
      <c r="Q27" t="s">
        <v>1604</v>
      </c>
      <c r="R27" t="s">
        <v>1605</v>
      </c>
      <c r="S27" t="s">
        <v>1606</v>
      </c>
      <c r="T27" t="s">
        <v>1607</v>
      </c>
      <c r="U27" t="s">
        <v>1118</v>
      </c>
      <c r="V27" t="s">
        <v>1608</v>
      </c>
      <c r="W27" t="s">
        <v>1609</v>
      </c>
      <c r="X27" t="s">
        <v>1610</v>
      </c>
      <c r="Y27" t="s">
        <v>1611</v>
      </c>
      <c r="Z27" t="s">
        <v>1612</v>
      </c>
      <c r="AA27" t="s">
        <v>1613</v>
      </c>
      <c r="AB27" t="s">
        <v>1614</v>
      </c>
      <c r="AC27" t="s">
        <v>1615</v>
      </c>
      <c r="AD27" t="s">
        <v>1616</v>
      </c>
      <c r="AE27" t="s">
        <v>1617</v>
      </c>
      <c r="AF27" t="s">
        <v>1618</v>
      </c>
      <c r="AG27" t="s">
        <v>1619</v>
      </c>
      <c r="AH27" t="s">
        <v>1620</v>
      </c>
      <c r="AI27" t="s">
        <v>1621</v>
      </c>
      <c r="AJ27" t="s">
        <v>1622</v>
      </c>
      <c r="AK27" t="s">
        <v>1623</v>
      </c>
      <c r="AL27" t="s">
        <v>1624</v>
      </c>
      <c r="AM27" t="s">
        <v>1625</v>
      </c>
      <c r="AN27" t="s">
        <v>1626</v>
      </c>
      <c r="AO27" t="s">
        <v>1627</v>
      </c>
      <c r="AP27" t="s">
        <v>1628</v>
      </c>
      <c r="AQ27" t="s">
        <v>1629</v>
      </c>
      <c r="AR27" t="s">
        <v>1630</v>
      </c>
      <c r="AS27" t="s">
        <v>1631</v>
      </c>
      <c r="AT27" t="s">
        <v>1632</v>
      </c>
      <c r="AU27" t="s">
        <v>1633</v>
      </c>
      <c r="AV27" t="s">
        <v>1634</v>
      </c>
      <c r="AW27" t="s">
        <v>1635</v>
      </c>
      <c r="AX27" t="s">
        <v>1636</v>
      </c>
      <c r="AY27" t="s">
        <v>1637</v>
      </c>
      <c r="AZ27" t="s">
        <v>1638</v>
      </c>
      <c r="BA27" t="s">
        <v>1639</v>
      </c>
      <c r="BB27" t="s">
        <v>1640</v>
      </c>
      <c r="BC27" t="s">
        <v>1641</v>
      </c>
      <c r="BD27" t="s">
        <v>1642</v>
      </c>
      <c r="BE27" t="s">
        <v>1643</v>
      </c>
      <c r="BF27" t="s">
        <v>1644</v>
      </c>
      <c r="BG27" t="s">
        <v>1645</v>
      </c>
      <c r="BH27" t="s">
        <v>1646</v>
      </c>
      <c r="BI27" t="s">
        <v>1647</v>
      </c>
      <c r="BJ27" t="s">
        <v>1648</v>
      </c>
      <c r="BK27" t="s">
        <v>1649</v>
      </c>
      <c r="BL27" t="s">
        <v>1650</v>
      </c>
      <c r="BM27" t="s">
        <v>1651</v>
      </c>
      <c r="BN27" t="s">
        <v>1652</v>
      </c>
      <c r="BO27" t="s">
        <v>1653</v>
      </c>
      <c r="BP27" t="s">
        <v>1654</v>
      </c>
      <c r="BQ27" t="s">
        <v>1655</v>
      </c>
      <c r="BR27" t="s">
        <v>1656</v>
      </c>
      <c r="BS27" t="s">
        <v>1657</v>
      </c>
      <c r="BT27" t="s">
        <v>1658</v>
      </c>
      <c r="BU27" t="s">
        <v>1659</v>
      </c>
      <c r="BV27" t="s">
        <v>1660</v>
      </c>
      <c r="BW27" t="s">
        <v>1661</v>
      </c>
      <c r="BX27" t="s">
        <v>1662</v>
      </c>
      <c r="BY27" t="s">
        <v>1663</v>
      </c>
      <c r="BZ27" t="s">
        <v>1664</v>
      </c>
      <c r="CA27" t="s">
        <v>1665</v>
      </c>
      <c r="CB27" t="s">
        <v>1666</v>
      </c>
      <c r="CC27" t="s">
        <v>1667</v>
      </c>
      <c r="CD27" t="s">
        <v>1668</v>
      </c>
      <c r="CE27" t="s">
        <v>1669</v>
      </c>
      <c r="CF27" t="s">
        <v>1670</v>
      </c>
      <c r="CG27" t="s">
        <v>1671</v>
      </c>
      <c r="CH27" t="s">
        <v>1672</v>
      </c>
      <c r="CI27" t="s">
        <v>1673</v>
      </c>
      <c r="CJ27" t="s">
        <v>1674</v>
      </c>
      <c r="CK27" t="s">
        <v>1675</v>
      </c>
      <c r="CL27" t="s">
        <v>1676</v>
      </c>
      <c r="CM27" t="s">
        <v>1677</v>
      </c>
      <c r="CN27" t="s">
        <v>1678</v>
      </c>
      <c r="CO27" t="s">
        <v>1679</v>
      </c>
      <c r="CP27" t="s">
        <v>1680</v>
      </c>
      <c r="CQ27" t="s">
        <v>1681</v>
      </c>
      <c r="CR27" t="s">
        <v>1682</v>
      </c>
      <c r="CS27" t="s">
        <v>1683</v>
      </c>
      <c r="CT27" t="s">
        <v>1684</v>
      </c>
      <c r="CU27" t="s">
        <v>1685</v>
      </c>
      <c r="CV27" t="s">
        <v>1686</v>
      </c>
      <c r="CW27" t="s">
        <v>1687</v>
      </c>
      <c r="CX27" t="s">
        <v>1688</v>
      </c>
      <c r="CY27" t="s">
        <v>1689</v>
      </c>
      <c r="CZ27" t="s">
        <v>1690</v>
      </c>
      <c r="DA27" t="s">
        <v>1691</v>
      </c>
      <c r="DB27" t="s">
        <v>1692</v>
      </c>
      <c r="DC27" t="s">
        <v>1693</v>
      </c>
      <c r="DD27" t="s">
        <v>1694</v>
      </c>
      <c r="DE27" t="s">
        <v>1695</v>
      </c>
      <c r="DF27" t="s">
        <v>1696</v>
      </c>
      <c r="DG27" t="s">
        <v>1697</v>
      </c>
      <c r="DH27" t="s">
        <v>1698</v>
      </c>
      <c r="DI27" t="s">
        <v>1699</v>
      </c>
      <c r="DJ27" t="s">
        <v>1700</v>
      </c>
      <c r="DK27">
        <f t="shared" si="1"/>
        <v>142.34138764661665</v>
      </c>
      <c r="DL27">
        <f t="shared" si="3"/>
        <v>142341.38764661664</v>
      </c>
      <c r="DM27" t="s">
        <v>1701</v>
      </c>
      <c r="DN27" t="s">
        <v>1702</v>
      </c>
      <c r="DO27" t="s">
        <v>1703</v>
      </c>
      <c r="DP27" t="s">
        <v>1704</v>
      </c>
      <c r="DQ27" t="s">
        <v>1705</v>
      </c>
      <c r="DR27" t="s">
        <v>1706</v>
      </c>
      <c r="DS27" t="s">
        <v>1707</v>
      </c>
      <c r="DT27" t="s">
        <v>1708</v>
      </c>
      <c r="DU27" t="s">
        <v>1709</v>
      </c>
      <c r="DV27" t="s">
        <v>1710</v>
      </c>
      <c r="DW27" t="s">
        <v>1711</v>
      </c>
      <c r="DX27" t="s">
        <v>1712</v>
      </c>
      <c r="DY27" t="s">
        <v>1713</v>
      </c>
      <c r="DZ27" t="s">
        <v>1714</v>
      </c>
      <c r="EA27" t="s">
        <v>1715</v>
      </c>
      <c r="EB27" t="s">
        <v>1716</v>
      </c>
      <c r="EC27" t="s">
        <v>1717</v>
      </c>
      <c r="ED27" t="s">
        <v>1718</v>
      </c>
      <c r="EE27" t="s">
        <v>1719</v>
      </c>
      <c r="EF27" t="s">
        <v>1720</v>
      </c>
      <c r="EG27" t="s">
        <v>1721</v>
      </c>
      <c r="EH27" t="s">
        <v>1722</v>
      </c>
      <c r="EI27" t="s">
        <v>1723</v>
      </c>
      <c r="EJ27" t="s">
        <v>1724</v>
      </c>
      <c r="EK27" t="s">
        <v>1725</v>
      </c>
      <c r="EL27" t="s">
        <v>1726</v>
      </c>
      <c r="EM27" t="s">
        <v>1727</v>
      </c>
      <c r="EN27" t="s">
        <v>1728</v>
      </c>
      <c r="EO27" t="s">
        <v>1729</v>
      </c>
      <c r="EP27" t="s">
        <v>1730</v>
      </c>
      <c r="EQ27" t="s">
        <v>1731</v>
      </c>
      <c r="ER27" t="s">
        <v>1732</v>
      </c>
      <c r="ES27" t="s">
        <v>1733</v>
      </c>
      <c r="ET27" t="s">
        <v>1734</v>
      </c>
      <c r="EU27" t="s">
        <v>1735</v>
      </c>
      <c r="EV27" t="s">
        <v>1736</v>
      </c>
      <c r="EW27" t="s">
        <v>1737</v>
      </c>
      <c r="EX27" t="s">
        <v>1738</v>
      </c>
      <c r="EY27" t="s">
        <v>1739</v>
      </c>
      <c r="EZ27" t="s">
        <v>1740</v>
      </c>
      <c r="FA27" t="s">
        <v>1741</v>
      </c>
      <c r="FB27" t="s">
        <v>1742</v>
      </c>
      <c r="FC27" t="s">
        <v>1743</v>
      </c>
      <c r="FD27" t="s">
        <v>1744</v>
      </c>
      <c r="FE27" t="s">
        <v>1745</v>
      </c>
      <c r="FF27" t="s">
        <v>1746</v>
      </c>
    </row>
    <row r="28" spans="1:162" ht="17.25" x14ac:dyDescent="0.3">
      <c r="A28" t="s">
        <v>1747</v>
      </c>
      <c r="B28" t="s">
        <v>1259</v>
      </c>
      <c r="C28" t="s">
        <v>1259</v>
      </c>
      <c r="D28" t="s">
        <v>1259</v>
      </c>
      <c r="E28" t="s">
        <v>1259</v>
      </c>
      <c r="F28" t="s">
        <v>1259</v>
      </c>
      <c r="G28" t="s">
        <v>1259</v>
      </c>
      <c r="H28" t="s">
        <v>1259</v>
      </c>
      <c r="I28" t="s">
        <v>1259</v>
      </c>
      <c r="J28" t="s">
        <v>1259</v>
      </c>
      <c r="K28" t="s">
        <v>1259</v>
      </c>
      <c r="L28" t="s">
        <v>1259</v>
      </c>
      <c r="M28" t="s">
        <v>1259</v>
      </c>
      <c r="N28" t="s">
        <v>1259</v>
      </c>
      <c r="O28" t="s">
        <v>1259</v>
      </c>
      <c r="P28" t="s">
        <v>1259</v>
      </c>
      <c r="Q28" t="s">
        <v>1259</v>
      </c>
      <c r="R28" t="s">
        <v>1259</v>
      </c>
      <c r="S28" t="s">
        <v>1259</v>
      </c>
      <c r="T28" t="s">
        <v>1259</v>
      </c>
      <c r="U28" t="s">
        <v>1259</v>
      </c>
      <c r="V28" t="s">
        <v>1259</v>
      </c>
      <c r="W28" t="s">
        <v>1259</v>
      </c>
      <c r="X28" t="s">
        <v>1259</v>
      </c>
      <c r="Y28" t="s">
        <v>1259</v>
      </c>
      <c r="Z28" t="s">
        <v>1259</v>
      </c>
      <c r="AA28" t="s">
        <v>1259</v>
      </c>
      <c r="AB28" t="s">
        <v>1259</v>
      </c>
      <c r="AC28" t="s">
        <v>1259</v>
      </c>
      <c r="AD28" t="s">
        <v>1259</v>
      </c>
      <c r="AE28" t="s">
        <v>1259</v>
      </c>
      <c r="AF28" t="s">
        <v>1259</v>
      </c>
      <c r="AG28" t="s">
        <v>1259</v>
      </c>
      <c r="AH28" t="s">
        <v>1259</v>
      </c>
      <c r="AI28" t="s">
        <v>1259</v>
      </c>
      <c r="AJ28" t="s">
        <v>1259</v>
      </c>
      <c r="AK28" t="s">
        <v>1259</v>
      </c>
      <c r="AL28" t="s">
        <v>1259</v>
      </c>
      <c r="AM28" t="s">
        <v>1259</v>
      </c>
      <c r="AN28" t="s">
        <v>1259</v>
      </c>
      <c r="AO28" t="s">
        <v>1259</v>
      </c>
      <c r="AP28" t="s">
        <v>1259</v>
      </c>
      <c r="AQ28" t="s">
        <v>1259</v>
      </c>
      <c r="AR28" t="s">
        <v>1259</v>
      </c>
      <c r="AS28" t="s">
        <v>1259</v>
      </c>
      <c r="AT28" t="s">
        <v>1259</v>
      </c>
      <c r="AU28" t="s">
        <v>1259</v>
      </c>
      <c r="AV28" t="s">
        <v>1259</v>
      </c>
      <c r="AW28" t="s">
        <v>1259</v>
      </c>
      <c r="AX28" t="s">
        <v>1259</v>
      </c>
      <c r="AY28" t="s">
        <v>1259</v>
      </c>
      <c r="AZ28" t="s">
        <v>1259</v>
      </c>
      <c r="BA28" t="s">
        <v>1259</v>
      </c>
      <c r="BB28" t="s">
        <v>1259</v>
      </c>
      <c r="BC28" t="s">
        <v>1259</v>
      </c>
      <c r="BD28" t="s">
        <v>1259</v>
      </c>
      <c r="BE28" t="s">
        <v>1259</v>
      </c>
      <c r="BF28" t="s">
        <v>1259</v>
      </c>
      <c r="BG28" t="s">
        <v>1259</v>
      </c>
      <c r="BH28" t="s">
        <v>1259</v>
      </c>
      <c r="BI28" t="s">
        <v>1259</v>
      </c>
      <c r="BJ28" t="s">
        <v>1259</v>
      </c>
      <c r="BK28" t="s">
        <v>1259</v>
      </c>
      <c r="BL28" t="s">
        <v>1259</v>
      </c>
      <c r="BM28" t="s">
        <v>1259</v>
      </c>
      <c r="BN28" t="s">
        <v>1259</v>
      </c>
      <c r="BO28" t="s">
        <v>1259</v>
      </c>
      <c r="BP28" t="s">
        <v>1259</v>
      </c>
      <c r="BQ28" t="s">
        <v>1259</v>
      </c>
      <c r="BR28" t="s">
        <v>1259</v>
      </c>
      <c r="BS28" t="s">
        <v>1259</v>
      </c>
      <c r="BT28" t="s">
        <v>1259</v>
      </c>
      <c r="BU28" t="s">
        <v>1259</v>
      </c>
      <c r="BV28" t="s">
        <v>1259</v>
      </c>
      <c r="BW28" t="s">
        <v>1259</v>
      </c>
      <c r="BX28" t="s">
        <v>1259</v>
      </c>
      <c r="BY28" t="s">
        <v>1259</v>
      </c>
      <c r="BZ28" t="s">
        <v>1259</v>
      </c>
      <c r="CA28" t="s">
        <v>1259</v>
      </c>
      <c r="CB28" t="s">
        <v>1259</v>
      </c>
      <c r="CC28" t="s">
        <v>1259</v>
      </c>
      <c r="CD28" t="s">
        <v>1259</v>
      </c>
      <c r="CE28" t="s">
        <v>1259</v>
      </c>
      <c r="CF28" t="s">
        <v>1259</v>
      </c>
      <c r="CG28" t="s">
        <v>1259</v>
      </c>
      <c r="CH28" t="s">
        <v>1259</v>
      </c>
      <c r="CI28" t="s">
        <v>1259</v>
      </c>
      <c r="CJ28" t="s">
        <v>1259</v>
      </c>
      <c r="CK28" t="s">
        <v>1259</v>
      </c>
      <c r="CL28" t="s">
        <v>1259</v>
      </c>
      <c r="CM28" t="s">
        <v>1259</v>
      </c>
      <c r="CN28" t="s">
        <v>1259</v>
      </c>
      <c r="CO28" t="s">
        <v>1259</v>
      </c>
      <c r="CP28" t="s">
        <v>1259</v>
      </c>
      <c r="CQ28" t="s">
        <v>1259</v>
      </c>
      <c r="CR28" t="s">
        <v>1259</v>
      </c>
      <c r="CS28" t="s">
        <v>1259</v>
      </c>
      <c r="CT28" t="s">
        <v>1259</v>
      </c>
      <c r="CU28" t="s">
        <v>1259</v>
      </c>
      <c r="CV28" t="s">
        <v>1259</v>
      </c>
      <c r="CW28" t="s">
        <v>1259</v>
      </c>
      <c r="CX28" t="s">
        <v>1259</v>
      </c>
      <c r="CY28" t="s">
        <v>1259</v>
      </c>
      <c r="CZ28" t="s">
        <v>1259</v>
      </c>
      <c r="DA28" t="s">
        <v>1259</v>
      </c>
      <c r="DB28" t="s">
        <v>1259</v>
      </c>
      <c r="DC28" t="s">
        <v>1259</v>
      </c>
      <c r="DD28" t="s">
        <v>1259</v>
      </c>
      <c r="DE28" t="s">
        <v>1259</v>
      </c>
      <c r="DF28" t="s">
        <v>1259</v>
      </c>
      <c r="DG28" t="s">
        <v>1259</v>
      </c>
      <c r="DH28" t="s">
        <v>1259</v>
      </c>
      <c r="DI28" t="s">
        <v>1259</v>
      </c>
      <c r="DJ28" t="s">
        <v>1259</v>
      </c>
      <c r="DL28" s="21">
        <f xml:space="preserve"> ($DL$32-$DL$27)/5 + DL27</f>
        <v>147786.39684341112</v>
      </c>
      <c r="DM28" t="s">
        <v>1259</v>
      </c>
      <c r="DN28" t="s">
        <v>1259</v>
      </c>
      <c r="DO28" t="s">
        <v>1259</v>
      </c>
      <c r="DP28" t="s">
        <v>1259</v>
      </c>
      <c r="DQ28" t="s">
        <v>1259</v>
      </c>
      <c r="DR28" t="s">
        <v>1259</v>
      </c>
      <c r="DS28" t="s">
        <v>1259</v>
      </c>
      <c r="DT28" t="s">
        <v>1259</v>
      </c>
      <c r="DU28" t="s">
        <v>1259</v>
      </c>
      <c r="DV28" t="s">
        <v>1259</v>
      </c>
      <c r="DW28" t="s">
        <v>1259</v>
      </c>
      <c r="DX28" t="s">
        <v>1259</v>
      </c>
      <c r="DY28" t="s">
        <v>1259</v>
      </c>
      <c r="DZ28" t="s">
        <v>1259</v>
      </c>
      <c r="EA28" t="s">
        <v>1259</v>
      </c>
      <c r="EB28" t="s">
        <v>1259</v>
      </c>
      <c r="EC28" t="s">
        <v>1259</v>
      </c>
      <c r="ED28" t="s">
        <v>1259</v>
      </c>
      <c r="EE28" t="s">
        <v>1259</v>
      </c>
      <c r="EF28" t="s">
        <v>1259</v>
      </c>
      <c r="EG28" t="s">
        <v>1259</v>
      </c>
      <c r="EH28" t="s">
        <v>1259</v>
      </c>
      <c r="EI28" t="s">
        <v>1259</v>
      </c>
      <c r="EJ28" t="s">
        <v>1259</v>
      </c>
      <c r="EK28" t="s">
        <v>1259</v>
      </c>
      <c r="EL28" t="s">
        <v>1259</v>
      </c>
      <c r="EM28" t="s">
        <v>1259</v>
      </c>
      <c r="EN28" t="s">
        <v>1259</v>
      </c>
      <c r="EO28" t="s">
        <v>1259</v>
      </c>
      <c r="EP28" t="s">
        <v>1259</v>
      </c>
      <c r="EQ28" t="s">
        <v>1259</v>
      </c>
      <c r="ER28" t="s">
        <v>1259</v>
      </c>
      <c r="ES28" t="s">
        <v>1259</v>
      </c>
      <c r="ET28" t="s">
        <v>1259</v>
      </c>
      <c r="EU28" t="s">
        <v>1259</v>
      </c>
      <c r="EV28" t="s">
        <v>1259</v>
      </c>
      <c r="EW28" t="s">
        <v>1259</v>
      </c>
      <c r="EX28" t="s">
        <v>1259</v>
      </c>
      <c r="EY28" t="s">
        <v>1259</v>
      </c>
      <c r="EZ28" t="s">
        <v>1259</v>
      </c>
      <c r="FA28" t="s">
        <v>1259</v>
      </c>
      <c r="FB28" t="s">
        <v>1259</v>
      </c>
      <c r="FC28" t="s">
        <v>1259</v>
      </c>
      <c r="FD28" t="s">
        <v>1259</v>
      </c>
      <c r="FE28" t="s">
        <v>1259</v>
      </c>
      <c r="FF28" t="s">
        <v>1259</v>
      </c>
    </row>
    <row r="29" spans="1:162" ht="17.25" x14ac:dyDescent="0.3">
      <c r="A29" t="s">
        <v>1748</v>
      </c>
      <c r="B29" t="s">
        <v>1259</v>
      </c>
      <c r="C29" t="s">
        <v>1259</v>
      </c>
      <c r="D29" t="s">
        <v>1259</v>
      </c>
      <c r="E29" t="s">
        <v>1259</v>
      </c>
      <c r="F29" t="s">
        <v>1259</v>
      </c>
      <c r="G29" t="s">
        <v>1259</v>
      </c>
      <c r="H29" t="s">
        <v>1259</v>
      </c>
      <c r="I29" t="s">
        <v>1259</v>
      </c>
      <c r="J29" t="s">
        <v>1259</v>
      </c>
      <c r="K29" t="s">
        <v>1259</v>
      </c>
      <c r="L29" t="s">
        <v>1259</v>
      </c>
      <c r="M29" t="s">
        <v>1259</v>
      </c>
      <c r="N29" t="s">
        <v>1259</v>
      </c>
      <c r="O29" t="s">
        <v>1259</v>
      </c>
      <c r="P29" t="s">
        <v>1259</v>
      </c>
      <c r="Q29" t="s">
        <v>1259</v>
      </c>
      <c r="R29" t="s">
        <v>1259</v>
      </c>
      <c r="S29" t="s">
        <v>1259</v>
      </c>
      <c r="T29" t="s">
        <v>1259</v>
      </c>
      <c r="U29" t="s">
        <v>1259</v>
      </c>
      <c r="V29" t="s">
        <v>1259</v>
      </c>
      <c r="W29" t="s">
        <v>1259</v>
      </c>
      <c r="X29" t="s">
        <v>1259</v>
      </c>
      <c r="Y29" t="s">
        <v>1259</v>
      </c>
      <c r="Z29" t="s">
        <v>1259</v>
      </c>
      <c r="AA29" t="s">
        <v>1259</v>
      </c>
      <c r="AB29" t="s">
        <v>1259</v>
      </c>
      <c r="AC29" t="s">
        <v>1259</v>
      </c>
      <c r="AD29" t="s">
        <v>1259</v>
      </c>
      <c r="AE29" t="s">
        <v>1259</v>
      </c>
      <c r="AF29" t="s">
        <v>1259</v>
      </c>
      <c r="AG29" t="s">
        <v>1259</v>
      </c>
      <c r="AH29" t="s">
        <v>1259</v>
      </c>
      <c r="AI29" t="s">
        <v>1259</v>
      </c>
      <c r="AJ29" t="s">
        <v>1259</v>
      </c>
      <c r="AK29" t="s">
        <v>1259</v>
      </c>
      <c r="AL29" t="s">
        <v>1259</v>
      </c>
      <c r="AM29" t="s">
        <v>1259</v>
      </c>
      <c r="AN29" t="s">
        <v>1259</v>
      </c>
      <c r="AO29" t="s">
        <v>1259</v>
      </c>
      <c r="AP29" t="s">
        <v>1259</v>
      </c>
      <c r="AQ29" t="s">
        <v>1259</v>
      </c>
      <c r="AR29" t="s">
        <v>1259</v>
      </c>
      <c r="AS29" t="s">
        <v>1259</v>
      </c>
      <c r="AT29" t="s">
        <v>1259</v>
      </c>
      <c r="AU29" t="s">
        <v>1259</v>
      </c>
      <c r="AV29" t="s">
        <v>1259</v>
      </c>
      <c r="AW29" t="s">
        <v>1259</v>
      </c>
      <c r="AX29" t="s">
        <v>1259</v>
      </c>
      <c r="AY29" t="s">
        <v>1259</v>
      </c>
      <c r="AZ29" t="s">
        <v>1259</v>
      </c>
      <c r="BA29" t="s">
        <v>1259</v>
      </c>
      <c r="BB29" t="s">
        <v>1259</v>
      </c>
      <c r="BC29" t="s">
        <v>1259</v>
      </c>
      <c r="BD29" t="s">
        <v>1259</v>
      </c>
      <c r="BE29" t="s">
        <v>1259</v>
      </c>
      <c r="BF29" t="s">
        <v>1259</v>
      </c>
      <c r="BG29" t="s">
        <v>1259</v>
      </c>
      <c r="BH29" t="s">
        <v>1259</v>
      </c>
      <c r="BI29" t="s">
        <v>1259</v>
      </c>
      <c r="BJ29" t="s">
        <v>1259</v>
      </c>
      <c r="BK29" t="s">
        <v>1259</v>
      </c>
      <c r="BL29" t="s">
        <v>1259</v>
      </c>
      <c r="BM29" t="s">
        <v>1259</v>
      </c>
      <c r="BN29" t="s">
        <v>1259</v>
      </c>
      <c r="BO29" t="s">
        <v>1259</v>
      </c>
      <c r="BP29" t="s">
        <v>1259</v>
      </c>
      <c r="BQ29" t="s">
        <v>1259</v>
      </c>
      <c r="BR29" t="s">
        <v>1259</v>
      </c>
      <c r="BS29" t="s">
        <v>1259</v>
      </c>
      <c r="BT29" t="s">
        <v>1259</v>
      </c>
      <c r="BU29" t="s">
        <v>1259</v>
      </c>
      <c r="BV29" t="s">
        <v>1259</v>
      </c>
      <c r="BW29" t="s">
        <v>1259</v>
      </c>
      <c r="BX29" t="s">
        <v>1259</v>
      </c>
      <c r="BY29" t="s">
        <v>1259</v>
      </c>
      <c r="BZ29" t="s">
        <v>1259</v>
      </c>
      <c r="CA29" t="s">
        <v>1259</v>
      </c>
      <c r="CB29" t="s">
        <v>1259</v>
      </c>
      <c r="CC29" t="s">
        <v>1259</v>
      </c>
      <c r="CD29" t="s">
        <v>1259</v>
      </c>
      <c r="CE29" t="s">
        <v>1259</v>
      </c>
      <c r="CF29" t="s">
        <v>1259</v>
      </c>
      <c r="CG29" t="s">
        <v>1259</v>
      </c>
      <c r="CH29" t="s">
        <v>1259</v>
      </c>
      <c r="CI29" t="s">
        <v>1259</v>
      </c>
      <c r="CJ29" t="s">
        <v>1259</v>
      </c>
      <c r="CK29" t="s">
        <v>1259</v>
      </c>
      <c r="CL29" t="s">
        <v>1259</v>
      </c>
      <c r="CM29" t="s">
        <v>1259</v>
      </c>
      <c r="CN29" t="s">
        <v>1259</v>
      </c>
      <c r="CO29" t="s">
        <v>1259</v>
      </c>
      <c r="CP29" t="s">
        <v>1259</v>
      </c>
      <c r="CQ29" t="s">
        <v>1259</v>
      </c>
      <c r="CR29" t="s">
        <v>1259</v>
      </c>
      <c r="CS29" t="s">
        <v>1259</v>
      </c>
      <c r="CT29" t="s">
        <v>1259</v>
      </c>
      <c r="CU29" t="s">
        <v>1259</v>
      </c>
      <c r="CV29" t="s">
        <v>1259</v>
      </c>
      <c r="CW29" t="s">
        <v>1259</v>
      </c>
      <c r="CX29" t="s">
        <v>1259</v>
      </c>
      <c r="CY29" t="s">
        <v>1259</v>
      </c>
      <c r="CZ29" t="s">
        <v>1259</v>
      </c>
      <c r="DA29" t="s">
        <v>1259</v>
      </c>
      <c r="DB29" t="s">
        <v>1259</v>
      </c>
      <c r="DC29" t="s">
        <v>1259</v>
      </c>
      <c r="DD29" t="s">
        <v>1259</v>
      </c>
      <c r="DE29" t="s">
        <v>1259</v>
      </c>
      <c r="DF29" t="s">
        <v>1259</v>
      </c>
      <c r="DG29" t="s">
        <v>1259</v>
      </c>
      <c r="DH29" t="s">
        <v>1259</v>
      </c>
      <c r="DI29" t="s">
        <v>1259</v>
      </c>
      <c r="DJ29" t="s">
        <v>1259</v>
      </c>
      <c r="DL29" s="21">
        <f t="shared" ref="DL29:DL31" si="5" xml:space="preserve"> ($DL$32-$DL$27)/5 + DL28</f>
        <v>153231.40604020559</v>
      </c>
      <c r="DM29" t="s">
        <v>1259</v>
      </c>
      <c r="DN29" t="s">
        <v>1259</v>
      </c>
      <c r="DO29" t="s">
        <v>1259</v>
      </c>
      <c r="DP29" t="s">
        <v>1259</v>
      </c>
      <c r="DQ29" t="s">
        <v>1259</v>
      </c>
      <c r="DR29" t="s">
        <v>1259</v>
      </c>
      <c r="DS29" t="s">
        <v>1259</v>
      </c>
      <c r="DT29" t="s">
        <v>1259</v>
      </c>
      <c r="DU29" t="s">
        <v>1259</v>
      </c>
      <c r="DV29" t="s">
        <v>1259</v>
      </c>
      <c r="DW29" t="s">
        <v>1259</v>
      </c>
      <c r="DX29" t="s">
        <v>1259</v>
      </c>
      <c r="DY29" t="s">
        <v>1259</v>
      </c>
      <c r="DZ29" t="s">
        <v>1259</v>
      </c>
      <c r="EA29" t="s">
        <v>1259</v>
      </c>
      <c r="EB29" t="s">
        <v>1259</v>
      </c>
      <c r="EC29" t="s">
        <v>1259</v>
      </c>
      <c r="ED29" t="s">
        <v>1259</v>
      </c>
      <c r="EE29" t="s">
        <v>1259</v>
      </c>
      <c r="EF29" t="s">
        <v>1259</v>
      </c>
      <c r="EG29" t="s">
        <v>1259</v>
      </c>
      <c r="EH29" t="s">
        <v>1259</v>
      </c>
      <c r="EI29" t="s">
        <v>1259</v>
      </c>
      <c r="EJ29" t="s">
        <v>1259</v>
      </c>
      <c r="EK29" t="s">
        <v>1259</v>
      </c>
      <c r="EL29" t="s">
        <v>1259</v>
      </c>
      <c r="EM29" t="s">
        <v>1259</v>
      </c>
      <c r="EN29" t="s">
        <v>1259</v>
      </c>
      <c r="EO29" t="s">
        <v>1259</v>
      </c>
      <c r="EP29" t="s">
        <v>1259</v>
      </c>
      <c r="EQ29" t="s">
        <v>1259</v>
      </c>
      <c r="ER29" t="s">
        <v>1259</v>
      </c>
      <c r="ES29" t="s">
        <v>1259</v>
      </c>
      <c r="ET29" t="s">
        <v>1259</v>
      </c>
      <c r="EU29" t="s">
        <v>1259</v>
      </c>
      <c r="EV29" t="s">
        <v>1259</v>
      </c>
      <c r="EW29" t="s">
        <v>1259</v>
      </c>
      <c r="EX29" t="s">
        <v>1259</v>
      </c>
      <c r="EY29" t="s">
        <v>1259</v>
      </c>
      <c r="EZ29" t="s">
        <v>1259</v>
      </c>
      <c r="FA29" t="s">
        <v>1259</v>
      </c>
      <c r="FB29" t="s">
        <v>1259</v>
      </c>
      <c r="FC29" t="s">
        <v>1259</v>
      </c>
      <c r="FD29" t="s">
        <v>1259</v>
      </c>
      <c r="FE29" t="s">
        <v>1259</v>
      </c>
      <c r="FF29" t="s">
        <v>1259</v>
      </c>
    </row>
    <row r="30" spans="1:162" ht="17.25" x14ac:dyDescent="0.3">
      <c r="A30" t="s">
        <v>1749</v>
      </c>
      <c r="B30" t="s">
        <v>1259</v>
      </c>
      <c r="C30" t="s">
        <v>1259</v>
      </c>
      <c r="D30" t="s">
        <v>1259</v>
      </c>
      <c r="E30" t="s">
        <v>1259</v>
      </c>
      <c r="F30" t="s">
        <v>1259</v>
      </c>
      <c r="G30" t="s">
        <v>1259</v>
      </c>
      <c r="H30" t="s">
        <v>1259</v>
      </c>
      <c r="I30" t="s">
        <v>1259</v>
      </c>
      <c r="J30" t="s">
        <v>1259</v>
      </c>
      <c r="K30" t="s">
        <v>1259</v>
      </c>
      <c r="L30" t="s">
        <v>1259</v>
      </c>
      <c r="M30" t="s">
        <v>1259</v>
      </c>
      <c r="N30" t="s">
        <v>1259</v>
      </c>
      <c r="O30" t="s">
        <v>1259</v>
      </c>
      <c r="P30" t="s">
        <v>1259</v>
      </c>
      <c r="Q30" t="s">
        <v>1259</v>
      </c>
      <c r="R30" t="s">
        <v>1259</v>
      </c>
      <c r="S30" t="s">
        <v>1259</v>
      </c>
      <c r="T30" t="s">
        <v>1259</v>
      </c>
      <c r="U30" t="s">
        <v>1259</v>
      </c>
      <c r="V30" t="s">
        <v>1259</v>
      </c>
      <c r="W30" t="s">
        <v>1259</v>
      </c>
      <c r="X30" t="s">
        <v>1259</v>
      </c>
      <c r="Y30" t="s">
        <v>1259</v>
      </c>
      <c r="Z30" t="s">
        <v>1259</v>
      </c>
      <c r="AA30" t="s">
        <v>1259</v>
      </c>
      <c r="AB30" t="s">
        <v>1259</v>
      </c>
      <c r="AC30" t="s">
        <v>1259</v>
      </c>
      <c r="AD30" t="s">
        <v>1259</v>
      </c>
      <c r="AE30" t="s">
        <v>1259</v>
      </c>
      <c r="AF30" t="s">
        <v>1259</v>
      </c>
      <c r="AG30" t="s">
        <v>1259</v>
      </c>
      <c r="AH30" t="s">
        <v>1259</v>
      </c>
      <c r="AI30" t="s">
        <v>1259</v>
      </c>
      <c r="AJ30" t="s">
        <v>1259</v>
      </c>
      <c r="AK30" t="s">
        <v>1259</v>
      </c>
      <c r="AL30" t="s">
        <v>1259</v>
      </c>
      <c r="AM30" t="s">
        <v>1259</v>
      </c>
      <c r="AN30" t="s">
        <v>1259</v>
      </c>
      <c r="AO30" t="s">
        <v>1259</v>
      </c>
      <c r="AP30" t="s">
        <v>1259</v>
      </c>
      <c r="AQ30" t="s">
        <v>1259</v>
      </c>
      <c r="AR30" t="s">
        <v>1259</v>
      </c>
      <c r="AS30" t="s">
        <v>1259</v>
      </c>
      <c r="AT30" t="s">
        <v>1259</v>
      </c>
      <c r="AU30" t="s">
        <v>1259</v>
      </c>
      <c r="AV30" t="s">
        <v>1259</v>
      </c>
      <c r="AW30" t="s">
        <v>1259</v>
      </c>
      <c r="AX30" t="s">
        <v>1259</v>
      </c>
      <c r="AY30" t="s">
        <v>1259</v>
      </c>
      <c r="AZ30" t="s">
        <v>1259</v>
      </c>
      <c r="BA30" t="s">
        <v>1259</v>
      </c>
      <c r="BB30" t="s">
        <v>1259</v>
      </c>
      <c r="BC30" t="s">
        <v>1259</v>
      </c>
      <c r="BD30" t="s">
        <v>1259</v>
      </c>
      <c r="BE30" t="s">
        <v>1259</v>
      </c>
      <c r="BF30" t="s">
        <v>1259</v>
      </c>
      <c r="BG30" t="s">
        <v>1259</v>
      </c>
      <c r="BH30" t="s">
        <v>1259</v>
      </c>
      <c r="BI30" t="s">
        <v>1259</v>
      </c>
      <c r="BJ30" t="s">
        <v>1259</v>
      </c>
      <c r="BK30" t="s">
        <v>1259</v>
      </c>
      <c r="BL30" t="s">
        <v>1259</v>
      </c>
      <c r="BM30" t="s">
        <v>1259</v>
      </c>
      <c r="BN30" t="s">
        <v>1259</v>
      </c>
      <c r="BO30" t="s">
        <v>1259</v>
      </c>
      <c r="BP30" t="s">
        <v>1259</v>
      </c>
      <c r="BQ30" t="s">
        <v>1259</v>
      </c>
      <c r="BR30" t="s">
        <v>1259</v>
      </c>
      <c r="BS30" t="s">
        <v>1259</v>
      </c>
      <c r="BT30" t="s">
        <v>1259</v>
      </c>
      <c r="BU30" t="s">
        <v>1259</v>
      </c>
      <c r="BV30" t="s">
        <v>1259</v>
      </c>
      <c r="BW30" t="s">
        <v>1259</v>
      </c>
      <c r="BX30" t="s">
        <v>1259</v>
      </c>
      <c r="BY30" t="s">
        <v>1259</v>
      </c>
      <c r="BZ30" t="s">
        <v>1259</v>
      </c>
      <c r="CA30" t="s">
        <v>1259</v>
      </c>
      <c r="CB30" t="s">
        <v>1259</v>
      </c>
      <c r="CC30" t="s">
        <v>1259</v>
      </c>
      <c r="CD30" t="s">
        <v>1259</v>
      </c>
      <c r="CE30" t="s">
        <v>1259</v>
      </c>
      <c r="CF30" t="s">
        <v>1259</v>
      </c>
      <c r="CG30" t="s">
        <v>1259</v>
      </c>
      <c r="CH30" t="s">
        <v>1259</v>
      </c>
      <c r="CI30" t="s">
        <v>1259</v>
      </c>
      <c r="CJ30" t="s">
        <v>1259</v>
      </c>
      <c r="CK30" t="s">
        <v>1259</v>
      </c>
      <c r="CL30" t="s">
        <v>1259</v>
      </c>
      <c r="CM30" t="s">
        <v>1259</v>
      </c>
      <c r="CN30" t="s">
        <v>1259</v>
      </c>
      <c r="CO30" t="s">
        <v>1259</v>
      </c>
      <c r="CP30" t="s">
        <v>1259</v>
      </c>
      <c r="CQ30" t="s">
        <v>1259</v>
      </c>
      <c r="CR30" t="s">
        <v>1259</v>
      </c>
      <c r="CS30" t="s">
        <v>1259</v>
      </c>
      <c r="CT30" t="s">
        <v>1259</v>
      </c>
      <c r="CU30" t="s">
        <v>1259</v>
      </c>
      <c r="CV30" t="s">
        <v>1259</v>
      </c>
      <c r="CW30" t="s">
        <v>1259</v>
      </c>
      <c r="CX30" t="s">
        <v>1259</v>
      </c>
      <c r="CY30" t="s">
        <v>1259</v>
      </c>
      <c r="CZ30" t="s">
        <v>1259</v>
      </c>
      <c r="DA30" t="s">
        <v>1259</v>
      </c>
      <c r="DB30" t="s">
        <v>1259</v>
      </c>
      <c r="DC30" t="s">
        <v>1259</v>
      </c>
      <c r="DD30" t="s">
        <v>1259</v>
      </c>
      <c r="DE30" t="s">
        <v>1259</v>
      </c>
      <c r="DF30" t="s">
        <v>1259</v>
      </c>
      <c r="DG30" t="s">
        <v>1259</v>
      </c>
      <c r="DH30" t="s">
        <v>1259</v>
      </c>
      <c r="DI30" t="s">
        <v>1259</v>
      </c>
      <c r="DJ30" t="s">
        <v>1259</v>
      </c>
      <c r="DL30" s="21">
        <f t="shared" si="5"/>
        <v>158676.41523700007</v>
      </c>
      <c r="DM30" t="s">
        <v>1259</v>
      </c>
      <c r="DN30" t="s">
        <v>1259</v>
      </c>
      <c r="DO30" t="s">
        <v>1259</v>
      </c>
      <c r="DP30" t="s">
        <v>1259</v>
      </c>
      <c r="DQ30" t="s">
        <v>1259</v>
      </c>
      <c r="DR30" t="s">
        <v>1259</v>
      </c>
      <c r="DS30" t="s">
        <v>1259</v>
      </c>
      <c r="DT30" t="s">
        <v>1259</v>
      </c>
      <c r="DU30" t="s">
        <v>1259</v>
      </c>
      <c r="DV30" t="s">
        <v>1259</v>
      </c>
      <c r="DW30" t="s">
        <v>1259</v>
      </c>
      <c r="DX30" t="s">
        <v>1259</v>
      </c>
      <c r="DY30" t="s">
        <v>1259</v>
      </c>
      <c r="DZ30" t="s">
        <v>1259</v>
      </c>
      <c r="EA30" t="s">
        <v>1259</v>
      </c>
      <c r="EB30" t="s">
        <v>1259</v>
      </c>
      <c r="EC30" t="s">
        <v>1259</v>
      </c>
      <c r="ED30" t="s">
        <v>1259</v>
      </c>
      <c r="EE30" t="s">
        <v>1259</v>
      </c>
      <c r="EF30" t="s">
        <v>1259</v>
      </c>
      <c r="EG30" t="s">
        <v>1259</v>
      </c>
      <c r="EH30" t="s">
        <v>1259</v>
      </c>
      <c r="EI30" t="s">
        <v>1259</v>
      </c>
      <c r="EJ30" t="s">
        <v>1259</v>
      </c>
      <c r="EK30" t="s">
        <v>1259</v>
      </c>
      <c r="EL30" t="s">
        <v>1259</v>
      </c>
      <c r="EM30" t="s">
        <v>1259</v>
      </c>
      <c r="EN30" t="s">
        <v>1259</v>
      </c>
      <c r="EO30" t="s">
        <v>1259</v>
      </c>
      <c r="EP30" t="s">
        <v>1259</v>
      </c>
      <c r="EQ30" t="s">
        <v>1259</v>
      </c>
      <c r="ER30" t="s">
        <v>1259</v>
      </c>
      <c r="ES30" t="s">
        <v>1259</v>
      </c>
      <c r="ET30" t="s">
        <v>1259</v>
      </c>
      <c r="EU30" t="s">
        <v>1259</v>
      </c>
      <c r="EV30" t="s">
        <v>1259</v>
      </c>
      <c r="EW30" t="s">
        <v>1259</v>
      </c>
      <c r="EX30" t="s">
        <v>1259</v>
      </c>
      <c r="EY30" t="s">
        <v>1259</v>
      </c>
      <c r="EZ30" t="s">
        <v>1259</v>
      </c>
      <c r="FA30" t="s">
        <v>1259</v>
      </c>
      <c r="FB30" t="s">
        <v>1259</v>
      </c>
      <c r="FC30" t="s">
        <v>1259</v>
      </c>
      <c r="FD30" t="s">
        <v>1259</v>
      </c>
      <c r="FE30" t="s">
        <v>1259</v>
      </c>
      <c r="FF30" t="s">
        <v>1259</v>
      </c>
    </row>
    <row r="31" spans="1:162" ht="17.25" x14ac:dyDescent="0.3">
      <c r="A31" t="s">
        <v>1750</v>
      </c>
      <c r="B31" t="s">
        <v>1259</v>
      </c>
      <c r="C31" t="s">
        <v>1259</v>
      </c>
      <c r="D31" t="s">
        <v>1259</v>
      </c>
      <c r="E31" t="s">
        <v>1259</v>
      </c>
      <c r="F31" t="s">
        <v>1259</v>
      </c>
      <c r="G31" t="s">
        <v>1259</v>
      </c>
      <c r="H31" t="s">
        <v>1259</v>
      </c>
      <c r="I31" t="s">
        <v>1259</v>
      </c>
      <c r="J31" t="s">
        <v>1259</v>
      </c>
      <c r="K31" t="s">
        <v>1259</v>
      </c>
      <c r="L31" t="s">
        <v>1259</v>
      </c>
      <c r="M31" t="s">
        <v>1259</v>
      </c>
      <c r="N31" t="s">
        <v>1259</v>
      </c>
      <c r="O31" t="s">
        <v>1259</v>
      </c>
      <c r="P31" t="s">
        <v>1259</v>
      </c>
      <c r="Q31" t="s">
        <v>1259</v>
      </c>
      <c r="R31" t="s">
        <v>1259</v>
      </c>
      <c r="S31" t="s">
        <v>1259</v>
      </c>
      <c r="T31" t="s">
        <v>1259</v>
      </c>
      <c r="U31" t="s">
        <v>1259</v>
      </c>
      <c r="V31" t="s">
        <v>1259</v>
      </c>
      <c r="W31" t="s">
        <v>1259</v>
      </c>
      <c r="X31" t="s">
        <v>1259</v>
      </c>
      <c r="Y31" t="s">
        <v>1259</v>
      </c>
      <c r="Z31" t="s">
        <v>1259</v>
      </c>
      <c r="AA31" t="s">
        <v>1259</v>
      </c>
      <c r="AB31" t="s">
        <v>1259</v>
      </c>
      <c r="AC31" t="s">
        <v>1259</v>
      </c>
      <c r="AD31" t="s">
        <v>1259</v>
      </c>
      <c r="AE31" t="s">
        <v>1259</v>
      </c>
      <c r="AF31" t="s">
        <v>1259</v>
      </c>
      <c r="AG31" t="s">
        <v>1259</v>
      </c>
      <c r="AH31" t="s">
        <v>1259</v>
      </c>
      <c r="AI31" t="s">
        <v>1259</v>
      </c>
      <c r="AJ31" t="s">
        <v>1259</v>
      </c>
      <c r="AK31" t="s">
        <v>1259</v>
      </c>
      <c r="AL31" t="s">
        <v>1259</v>
      </c>
      <c r="AM31" t="s">
        <v>1259</v>
      </c>
      <c r="AN31" t="s">
        <v>1259</v>
      </c>
      <c r="AO31" t="s">
        <v>1259</v>
      </c>
      <c r="AP31" t="s">
        <v>1259</v>
      </c>
      <c r="AQ31" t="s">
        <v>1259</v>
      </c>
      <c r="AR31" t="s">
        <v>1259</v>
      </c>
      <c r="AS31" t="s">
        <v>1259</v>
      </c>
      <c r="AT31" t="s">
        <v>1259</v>
      </c>
      <c r="AU31" t="s">
        <v>1259</v>
      </c>
      <c r="AV31" t="s">
        <v>1259</v>
      </c>
      <c r="AW31" t="s">
        <v>1259</v>
      </c>
      <c r="AX31" t="s">
        <v>1259</v>
      </c>
      <c r="AY31" t="s">
        <v>1259</v>
      </c>
      <c r="AZ31" t="s">
        <v>1259</v>
      </c>
      <c r="BA31" t="s">
        <v>1259</v>
      </c>
      <c r="BB31" t="s">
        <v>1259</v>
      </c>
      <c r="BC31" t="s">
        <v>1259</v>
      </c>
      <c r="BD31" t="s">
        <v>1259</v>
      </c>
      <c r="BE31" t="s">
        <v>1259</v>
      </c>
      <c r="BF31" t="s">
        <v>1259</v>
      </c>
      <c r="BG31" t="s">
        <v>1259</v>
      </c>
      <c r="BH31" t="s">
        <v>1259</v>
      </c>
      <c r="BI31" t="s">
        <v>1259</v>
      </c>
      <c r="BJ31" t="s">
        <v>1259</v>
      </c>
      <c r="BK31" t="s">
        <v>1259</v>
      </c>
      <c r="BL31" t="s">
        <v>1259</v>
      </c>
      <c r="BM31" t="s">
        <v>1259</v>
      </c>
      <c r="BN31" t="s">
        <v>1259</v>
      </c>
      <c r="BO31" t="s">
        <v>1259</v>
      </c>
      <c r="BP31" t="s">
        <v>1259</v>
      </c>
      <c r="BQ31" t="s">
        <v>1259</v>
      </c>
      <c r="BR31" t="s">
        <v>1259</v>
      </c>
      <c r="BS31" t="s">
        <v>1259</v>
      </c>
      <c r="BT31" t="s">
        <v>1259</v>
      </c>
      <c r="BU31" t="s">
        <v>1259</v>
      </c>
      <c r="BV31" t="s">
        <v>1259</v>
      </c>
      <c r="BW31" t="s">
        <v>1259</v>
      </c>
      <c r="BX31" t="s">
        <v>1259</v>
      </c>
      <c r="BY31" t="s">
        <v>1259</v>
      </c>
      <c r="BZ31" t="s">
        <v>1259</v>
      </c>
      <c r="CA31" t="s">
        <v>1259</v>
      </c>
      <c r="CB31" t="s">
        <v>1259</v>
      </c>
      <c r="CC31" t="s">
        <v>1259</v>
      </c>
      <c r="CD31" t="s">
        <v>1259</v>
      </c>
      <c r="CE31" t="s">
        <v>1259</v>
      </c>
      <c r="CF31" t="s">
        <v>1259</v>
      </c>
      <c r="CG31" t="s">
        <v>1259</v>
      </c>
      <c r="CH31" t="s">
        <v>1259</v>
      </c>
      <c r="CI31" t="s">
        <v>1259</v>
      </c>
      <c r="CJ31" t="s">
        <v>1259</v>
      </c>
      <c r="CK31" t="s">
        <v>1259</v>
      </c>
      <c r="CL31" t="s">
        <v>1259</v>
      </c>
      <c r="CM31" t="s">
        <v>1259</v>
      </c>
      <c r="CN31" t="s">
        <v>1259</v>
      </c>
      <c r="CO31" t="s">
        <v>1259</v>
      </c>
      <c r="CP31" t="s">
        <v>1259</v>
      </c>
      <c r="CQ31" t="s">
        <v>1259</v>
      </c>
      <c r="CR31" t="s">
        <v>1259</v>
      </c>
      <c r="CS31" t="s">
        <v>1259</v>
      </c>
      <c r="CT31" t="s">
        <v>1259</v>
      </c>
      <c r="CU31" t="s">
        <v>1259</v>
      </c>
      <c r="CV31" t="s">
        <v>1259</v>
      </c>
      <c r="CW31" t="s">
        <v>1259</v>
      </c>
      <c r="CX31" t="s">
        <v>1259</v>
      </c>
      <c r="CY31" t="s">
        <v>1259</v>
      </c>
      <c r="CZ31" t="s">
        <v>1259</v>
      </c>
      <c r="DA31" t="s">
        <v>1259</v>
      </c>
      <c r="DB31" t="s">
        <v>1259</v>
      </c>
      <c r="DC31" t="s">
        <v>1259</v>
      </c>
      <c r="DD31" t="s">
        <v>1259</v>
      </c>
      <c r="DE31" t="s">
        <v>1259</v>
      </c>
      <c r="DF31" t="s">
        <v>1259</v>
      </c>
      <c r="DG31" t="s">
        <v>1259</v>
      </c>
      <c r="DH31" t="s">
        <v>1259</v>
      </c>
      <c r="DI31" t="s">
        <v>1259</v>
      </c>
      <c r="DJ31" t="s">
        <v>1259</v>
      </c>
      <c r="DL31" s="21">
        <f t="shared" si="5"/>
        <v>164121.42443379454</v>
      </c>
      <c r="DM31" t="s">
        <v>1259</v>
      </c>
      <c r="DN31" t="s">
        <v>1259</v>
      </c>
      <c r="DO31" t="s">
        <v>1259</v>
      </c>
      <c r="DP31" t="s">
        <v>1259</v>
      </c>
      <c r="DQ31" t="s">
        <v>1259</v>
      </c>
      <c r="DR31" t="s">
        <v>1259</v>
      </c>
      <c r="DS31" t="s">
        <v>1259</v>
      </c>
      <c r="DT31" t="s">
        <v>1259</v>
      </c>
      <c r="DU31" t="s">
        <v>1259</v>
      </c>
      <c r="DV31" t="s">
        <v>1259</v>
      </c>
      <c r="DW31" t="s">
        <v>1259</v>
      </c>
      <c r="DX31" t="s">
        <v>1259</v>
      </c>
      <c r="DY31" t="s">
        <v>1259</v>
      </c>
      <c r="DZ31" t="s">
        <v>1259</v>
      </c>
      <c r="EA31" t="s">
        <v>1259</v>
      </c>
      <c r="EB31" t="s">
        <v>1259</v>
      </c>
      <c r="EC31" t="s">
        <v>1259</v>
      </c>
      <c r="ED31" t="s">
        <v>1259</v>
      </c>
      <c r="EE31" t="s">
        <v>1259</v>
      </c>
      <c r="EF31" t="s">
        <v>1259</v>
      </c>
      <c r="EG31" t="s">
        <v>1259</v>
      </c>
      <c r="EH31" t="s">
        <v>1259</v>
      </c>
      <c r="EI31" t="s">
        <v>1259</v>
      </c>
      <c r="EJ31" t="s">
        <v>1259</v>
      </c>
      <c r="EK31" t="s">
        <v>1259</v>
      </c>
      <c r="EL31" t="s">
        <v>1259</v>
      </c>
      <c r="EM31" t="s">
        <v>1259</v>
      </c>
      <c r="EN31" t="s">
        <v>1259</v>
      </c>
      <c r="EO31" t="s">
        <v>1259</v>
      </c>
      <c r="EP31" t="s">
        <v>1259</v>
      </c>
      <c r="EQ31" t="s">
        <v>1259</v>
      </c>
      <c r="ER31" t="s">
        <v>1259</v>
      </c>
      <c r="ES31" t="s">
        <v>1259</v>
      </c>
      <c r="ET31" t="s">
        <v>1259</v>
      </c>
      <c r="EU31" t="s">
        <v>1259</v>
      </c>
      <c r="EV31" t="s">
        <v>1259</v>
      </c>
      <c r="EW31" t="s">
        <v>1259</v>
      </c>
      <c r="EX31" t="s">
        <v>1259</v>
      </c>
      <c r="EY31" t="s">
        <v>1259</v>
      </c>
      <c r="EZ31" t="s">
        <v>1259</v>
      </c>
      <c r="FA31" t="s">
        <v>1259</v>
      </c>
      <c r="FB31" t="s">
        <v>1259</v>
      </c>
      <c r="FC31" t="s">
        <v>1259</v>
      </c>
      <c r="FD31" t="s">
        <v>1259</v>
      </c>
      <c r="FE31" t="s">
        <v>1259</v>
      </c>
      <c r="FF31" t="s">
        <v>1259</v>
      </c>
    </row>
    <row r="32" spans="1:162" x14ac:dyDescent="0.25">
      <c r="A32" t="s">
        <v>1751</v>
      </c>
      <c r="B32" t="s">
        <v>1752</v>
      </c>
      <c r="C32" t="s">
        <v>1753</v>
      </c>
      <c r="D32" t="s">
        <v>1754</v>
      </c>
      <c r="E32" t="s">
        <v>1755</v>
      </c>
      <c r="F32" t="s">
        <v>1756</v>
      </c>
      <c r="G32" t="s">
        <v>1757</v>
      </c>
      <c r="H32" t="s">
        <v>1758</v>
      </c>
      <c r="I32" t="s">
        <v>1759</v>
      </c>
      <c r="J32" t="s">
        <v>1760</v>
      </c>
      <c r="K32" t="s">
        <v>1761</v>
      </c>
      <c r="L32" t="s">
        <v>1762</v>
      </c>
      <c r="M32" t="s">
        <v>1763</v>
      </c>
      <c r="N32" t="s">
        <v>1764</v>
      </c>
      <c r="O32" t="s">
        <v>1765</v>
      </c>
      <c r="P32" t="s">
        <v>1766</v>
      </c>
      <c r="Q32" t="s">
        <v>1767</v>
      </c>
      <c r="R32" t="s">
        <v>1768</v>
      </c>
      <c r="S32" t="s">
        <v>1769</v>
      </c>
      <c r="T32" t="s">
        <v>1770</v>
      </c>
      <c r="U32" t="s">
        <v>1118</v>
      </c>
      <c r="V32" t="s">
        <v>1771</v>
      </c>
      <c r="W32" t="s">
        <v>1772</v>
      </c>
      <c r="X32" t="s">
        <v>1773</v>
      </c>
      <c r="Y32" t="s">
        <v>1774</v>
      </c>
      <c r="Z32" t="s">
        <v>1775</v>
      </c>
      <c r="AA32" t="s">
        <v>1776</v>
      </c>
      <c r="AB32" t="s">
        <v>1777</v>
      </c>
      <c r="AC32" t="s">
        <v>1778</v>
      </c>
      <c r="AD32" t="s">
        <v>1779</v>
      </c>
      <c r="AE32" t="s">
        <v>1780</v>
      </c>
      <c r="AF32" t="s">
        <v>1781</v>
      </c>
      <c r="AG32" t="s">
        <v>1782</v>
      </c>
      <c r="AH32" t="s">
        <v>1783</v>
      </c>
      <c r="AI32" t="s">
        <v>1784</v>
      </c>
      <c r="AJ32" t="s">
        <v>1785</v>
      </c>
      <c r="AK32" t="s">
        <v>1786</v>
      </c>
      <c r="AL32" t="s">
        <v>1787</v>
      </c>
      <c r="AM32" t="s">
        <v>1788</v>
      </c>
      <c r="AN32" t="s">
        <v>1789</v>
      </c>
      <c r="AO32" t="s">
        <v>1790</v>
      </c>
      <c r="AP32" t="s">
        <v>1791</v>
      </c>
      <c r="AQ32" t="s">
        <v>1792</v>
      </c>
      <c r="AR32" t="s">
        <v>1793</v>
      </c>
      <c r="AS32" t="s">
        <v>1794</v>
      </c>
      <c r="AT32" t="s">
        <v>1795</v>
      </c>
      <c r="AU32" t="s">
        <v>1796</v>
      </c>
      <c r="AV32" t="s">
        <v>1797</v>
      </c>
      <c r="AW32" t="s">
        <v>1798</v>
      </c>
      <c r="AX32" t="s">
        <v>1799</v>
      </c>
      <c r="AY32" t="s">
        <v>1800</v>
      </c>
      <c r="AZ32" t="s">
        <v>1801</v>
      </c>
      <c r="BA32" t="s">
        <v>1802</v>
      </c>
      <c r="BB32" t="s">
        <v>1803</v>
      </c>
      <c r="BC32" t="s">
        <v>1804</v>
      </c>
      <c r="BD32" t="s">
        <v>1805</v>
      </c>
      <c r="BE32" t="s">
        <v>1806</v>
      </c>
      <c r="BF32" t="s">
        <v>1807</v>
      </c>
      <c r="BG32" t="s">
        <v>1808</v>
      </c>
      <c r="BH32" t="s">
        <v>1809</v>
      </c>
      <c r="BI32" t="s">
        <v>1810</v>
      </c>
      <c r="BJ32" t="s">
        <v>1811</v>
      </c>
      <c r="BK32" t="s">
        <v>1812</v>
      </c>
      <c r="BL32" t="s">
        <v>1813</v>
      </c>
      <c r="BM32" t="s">
        <v>1814</v>
      </c>
      <c r="BN32" t="s">
        <v>1815</v>
      </c>
      <c r="BO32" t="s">
        <v>1816</v>
      </c>
      <c r="BP32" t="s">
        <v>1817</v>
      </c>
      <c r="BQ32" t="s">
        <v>1818</v>
      </c>
      <c r="BR32" t="s">
        <v>1819</v>
      </c>
      <c r="BS32" t="s">
        <v>1820</v>
      </c>
      <c r="BT32" t="s">
        <v>1821</v>
      </c>
      <c r="BU32" t="s">
        <v>1822</v>
      </c>
      <c r="BV32" t="s">
        <v>1823</v>
      </c>
      <c r="BW32" t="s">
        <v>1824</v>
      </c>
      <c r="BX32" t="s">
        <v>1825</v>
      </c>
      <c r="BY32" t="s">
        <v>1826</v>
      </c>
      <c r="BZ32" t="s">
        <v>1827</v>
      </c>
      <c r="CA32" t="s">
        <v>1828</v>
      </c>
      <c r="CB32" t="s">
        <v>1829</v>
      </c>
      <c r="CC32" t="s">
        <v>1830</v>
      </c>
      <c r="CD32" t="s">
        <v>1831</v>
      </c>
      <c r="CE32" t="s">
        <v>1832</v>
      </c>
      <c r="CF32" t="s">
        <v>1833</v>
      </c>
      <c r="CG32" t="s">
        <v>1834</v>
      </c>
      <c r="CH32" t="s">
        <v>1835</v>
      </c>
      <c r="CI32" t="s">
        <v>1836</v>
      </c>
      <c r="CJ32" t="s">
        <v>1837</v>
      </c>
      <c r="CK32" t="s">
        <v>1838</v>
      </c>
      <c r="CL32" t="s">
        <v>1839</v>
      </c>
      <c r="CM32" t="s">
        <v>1840</v>
      </c>
      <c r="CN32" t="s">
        <v>1841</v>
      </c>
      <c r="CO32" t="s">
        <v>1842</v>
      </c>
      <c r="CP32" t="s">
        <v>1843</v>
      </c>
      <c r="CQ32" t="s">
        <v>1844</v>
      </c>
      <c r="CR32" t="s">
        <v>1845</v>
      </c>
      <c r="CS32" t="s">
        <v>1846</v>
      </c>
      <c r="CT32" t="s">
        <v>1847</v>
      </c>
      <c r="CU32" t="s">
        <v>1848</v>
      </c>
      <c r="CV32" t="s">
        <v>1849</v>
      </c>
      <c r="CW32" t="s">
        <v>1850</v>
      </c>
      <c r="CX32" t="s">
        <v>1851</v>
      </c>
      <c r="CY32" t="s">
        <v>1852</v>
      </c>
      <c r="CZ32" t="s">
        <v>1853</v>
      </c>
      <c r="DA32" t="s">
        <v>1854</v>
      </c>
      <c r="DB32" t="s">
        <v>1855</v>
      </c>
      <c r="DC32" t="s">
        <v>1856</v>
      </c>
      <c r="DD32" t="s">
        <v>1857</v>
      </c>
      <c r="DE32" t="s">
        <v>1858</v>
      </c>
      <c r="DF32" t="s">
        <v>1859</v>
      </c>
      <c r="DG32" t="s">
        <v>1860</v>
      </c>
      <c r="DH32" t="s">
        <v>1861</v>
      </c>
      <c r="DI32" t="s">
        <v>1862</v>
      </c>
      <c r="DJ32" t="s">
        <v>1863</v>
      </c>
      <c r="DK32">
        <f t="shared" si="1"/>
        <v>169.56643363058899</v>
      </c>
      <c r="DL32">
        <f t="shared" si="3"/>
        <v>169566.43363058899</v>
      </c>
      <c r="DM32" t="s">
        <v>1864</v>
      </c>
      <c r="DN32" t="s">
        <v>1865</v>
      </c>
      <c r="DO32" t="s">
        <v>1866</v>
      </c>
      <c r="DP32" t="s">
        <v>1867</v>
      </c>
      <c r="DQ32" t="s">
        <v>1868</v>
      </c>
      <c r="DR32" t="s">
        <v>1869</v>
      </c>
      <c r="DS32" t="s">
        <v>1870</v>
      </c>
      <c r="DT32" t="s">
        <v>1871</v>
      </c>
      <c r="DU32" t="s">
        <v>1872</v>
      </c>
      <c r="DV32" t="s">
        <v>1873</v>
      </c>
      <c r="DW32" t="s">
        <v>1874</v>
      </c>
      <c r="DX32" t="s">
        <v>1875</v>
      </c>
      <c r="DY32" t="s">
        <v>1876</v>
      </c>
      <c r="DZ32" t="s">
        <v>1877</v>
      </c>
      <c r="EA32" t="s">
        <v>1878</v>
      </c>
      <c r="EB32" t="s">
        <v>1879</v>
      </c>
      <c r="EC32" t="s">
        <v>1880</v>
      </c>
      <c r="ED32" t="s">
        <v>1881</v>
      </c>
      <c r="EE32" t="s">
        <v>1882</v>
      </c>
      <c r="EF32" t="s">
        <v>1883</v>
      </c>
      <c r="EG32" t="s">
        <v>1884</v>
      </c>
      <c r="EH32" t="s">
        <v>1885</v>
      </c>
      <c r="EI32" t="s">
        <v>1886</v>
      </c>
      <c r="EJ32" t="s">
        <v>1887</v>
      </c>
      <c r="EK32" t="s">
        <v>1888</v>
      </c>
      <c r="EL32" t="s">
        <v>1889</v>
      </c>
      <c r="EM32" t="s">
        <v>1890</v>
      </c>
      <c r="EN32" t="s">
        <v>1891</v>
      </c>
      <c r="EO32" t="s">
        <v>1892</v>
      </c>
      <c r="EP32" t="s">
        <v>1893</v>
      </c>
      <c r="EQ32" t="s">
        <v>1894</v>
      </c>
      <c r="ER32" t="s">
        <v>1895</v>
      </c>
      <c r="ES32" t="s">
        <v>1896</v>
      </c>
      <c r="ET32" t="s">
        <v>1897</v>
      </c>
      <c r="EU32" t="s">
        <v>1898</v>
      </c>
      <c r="EV32" t="s">
        <v>1899</v>
      </c>
      <c r="EW32" t="s">
        <v>1900</v>
      </c>
      <c r="EX32" t="s">
        <v>1901</v>
      </c>
      <c r="EY32" t="s">
        <v>1902</v>
      </c>
      <c r="EZ32" t="s">
        <v>1903</v>
      </c>
      <c r="FA32" t="s">
        <v>1904</v>
      </c>
      <c r="FB32" t="s">
        <v>1905</v>
      </c>
      <c r="FC32" t="s">
        <v>1906</v>
      </c>
      <c r="FD32" t="s">
        <v>1907</v>
      </c>
      <c r="FE32" t="s">
        <v>1908</v>
      </c>
      <c r="FF32" t="s">
        <v>1909</v>
      </c>
    </row>
    <row r="33" spans="1:162" ht="17.25" x14ac:dyDescent="0.3">
      <c r="A33" t="s">
        <v>1910</v>
      </c>
      <c r="B33" t="s">
        <v>1259</v>
      </c>
      <c r="C33" t="s">
        <v>1259</v>
      </c>
      <c r="D33" t="s">
        <v>1259</v>
      </c>
      <c r="E33" t="s">
        <v>1259</v>
      </c>
      <c r="F33" t="s">
        <v>1259</v>
      </c>
      <c r="G33" t="s">
        <v>1259</v>
      </c>
      <c r="H33" t="s">
        <v>1259</v>
      </c>
      <c r="I33" t="s">
        <v>1259</v>
      </c>
      <c r="J33" t="s">
        <v>1259</v>
      </c>
      <c r="K33" t="s">
        <v>1259</v>
      </c>
      <c r="L33" t="s">
        <v>1259</v>
      </c>
      <c r="M33" t="s">
        <v>1259</v>
      </c>
      <c r="N33" t="s">
        <v>1259</v>
      </c>
      <c r="O33" t="s">
        <v>1259</v>
      </c>
      <c r="P33" t="s">
        <v>1259</v>
      </c>
      <c r="Q33" t="s">
        <v>1259</v>
      </c>
      <c r="R33" t="s">
        <v>1259</v>
      </c>
      <c r="S33" t="s">
        <v>1259</v>
      </c>
      <c r="T33" t="s">
        <v>1259</v>
      </c>
      <c r="U33" t="s">
        <v>1259</v>
      </c>
      <c r="V33" t="s">
        <v>1259</v>
      </c>
      <c r="W33" t="s">
        <v>1259</v>
      </c>
      <c r="X33" t="s">
        <v>1259</v>
      </c>
      <c r="Y33" t="s">
        <v>1259</v>
      </c>
      <c r="Z33" t="s">
        <v>1259</v>
      </c>
      <c r="AA33" t="s">
        <v>1259</v>
      </c>
      <c r="AB33" t="s">
        <v>1259</v>
      </c>
      <c r="AC33" t="s">
        <v>1259</v>
      </c>
      <c r="AD33" t="s">
        <v>1259</v>
      </c>
      <c r="AE33" t="s">
        <v>1259</v>
      </c>
      <c r="AF33" t="s">
        <v>1259</v>
      </c>
      <c r="AG33" t="s">
        <v>1259</v>
      </c>
      <c r="AH33" t="s">
        <v>1259</v>
      </c>
      <c r="AI33" t="s">
        <v>1259</v>
      </c>
      <c r="AJ33" t="s">
        <v>1259</v>
      </c>
      <c r="AK33" t="s">
        <v>1259</v>
      </c>
      <c r="AL33" t="s">
        <v>1259</v>
      </c>
      <c r="AM33" t="s">
        <v>1259</v>
      </c>
      <c r="AN33" t="s">
        <v>1259</v>
      </c>
      <c r="AO33" t="s">
        <v>1259</v>
      </c>
      <c r="AP33" t="s">
        <v>1259</v>
      </c>
      <c r="AQ33" t="s">
        <v>1259</v>
      </c>
      <c r="AR33" t="s">
        <v>1259</v>
      </c>
      <c r="AS33" t="s">
        <v>1259</v>
      </c>
      <c r="AT33" t="s">
        <v>1259</v>
      </c>
      <c r="AU33" t="s">
        <v>1259</v>
      </c>
      <c r="AV33" t="s">
        <v>1259</v>
      </c>
      <c r="AW33" t="s">
        <v>1259</v>
      </c>
      <c r="AX33" t="s">
        <v>1259</v>
      </c>
      <c r="AY33" t="s">
        <v>1259</v>
      </c>
      <c r="AZ33" t="s">
        <v>1259</v>
      </c>
      <c r="BA33" t="s">
        <v>1259</v>
      </c>
      <c r="BB33" t="s">
        <v>1259</v>
      </c>
      <c r="BC33" t="s">
        <v>1259</v>
      </c>
      <c r="BD33" t="s">
        <v>1259</v>
      </c>
      <c r="BE33" t="s">
        <v>1259</v>
      </c>
      <c r="BF33" t="s">
        <v>1259</v>
      </c>
      <c r="BG33" t="s">
        <v>1259</v>
      </c>
      <c r="BH33" t="s">
        <v>1259</v>
      </c>
      <c r="BI33" t="s">
        <v>1259</v>
      </c>
      <c r="BJ33" t="s">
        <v>1259</v>
      </c>
      <c r="BK33" t="s">
        <v>1259</v>
      </c>
      <c r="BL33" t="s">
        <v>1259</v>
      </c>
      <c r="BM33" t="s">
        <v>1259</v>
      </c>
      <c r="BN33" t="s">
        <v>1259</v>
      </c>
      <c r="BO33" t="s">
        <v>1259</v>
      </c>
      <c r="BP33" t="s">
        <v>1259</v>
      </c>
      <c r="BQ33" t="s">
        <v>1259</v>
      </c>
      <c r="BR33" t="s">
        <v>1259</v>
      </c>
      <c r="BS33" t="s">
        <v>1259</v>
      </c>
      <c r="BT33" t="s">
        <v>1259</v>
      </c>
      <c r="BU33" t="s">
        <v>1259</v>
      </c>
      <c r="BV33" t="s">
        <v>1259</v>
      </c>
      <c r="BW33" t="s">
        <v>1259</v>
      </c>
      <c r="BX33" t="s">
        <v>1259</v>
      </c>
      <c r="BY33" t="s">
        <v>1259</v>
      </c>
      <c r="BZ33" t="s">
        <v>1259</v>
      </c>
      <c r="CA33" t="s">
        <v>1259</v>
      </c>
      <c r="CB33" t="s">
        <v>1259</v>
      </c>
      <c r="CC33" t="s">
        <v>1259</v>
      </c>
      <c r="CD33" t="s">
        <v>1259</v>
      </c>
      <c r="CE33" t="s">
        <v>1259</v>
      </c>
      <c r="CF33" t="s">
        <v>1259</v>
      </c>
      <c r="CG33" t="s">
        <v>1259</v>
      </c>
      <c r="CH33" t="s">
        <v>1259</v>
      </c>
      <c r="CI33" t="s">
        <v>1259</v>
      </c>
      <c r="CJ33" t="s">
        <v>1259</v>
      </c>
      <c r="CK33" t="s">
        <v>1259</v>
      </c>
      <c r="CL33" t="s">
        <v>1259</v>
      </c>
      <c r="CM33" t="s">
        <v>1259</v>
      </c>
      <c r="CN33" t="s">
        <v>1259</v>
      </c>
      <c r="CO33" t="s">
        <v>1259</v>
      </c>
      <c r="CP33" t="s">
        <v>1259</v>
      </c>
      <c r="CQ33" t="s">
        <v>1259</v>
      </c>
      <c r="CR33" t="s">
        <v>1259</v>
      </c>
      <c r="CS33" t="s">
        <v>1259</v>
      </c>
      <c r="CT33" t="s">
        <v>1259</v>
      </c>
      <c r="CU33" t="s">
        <v>1259</v>
      </c>
      <c r="CV33" t="s">
        <v>1259</v>
      </c>
      <c r="CW33" t="s">
        <v>1259</v>
      </c>
      <c r="CX33" t="s">
        <v>1259</v>
      </c>
      <c r="CY33" t="s">
        <v>1259</v>
      </c>
      <c r="CZ33" t="s">
        <v>1259</v>
      </c>
      <c r="DA33" t="s">
        <v>1259</v>
      </c>
      <c r="DB33" t="s">
        <v>1259</v>
      </c>
      <c r="DC33" t="s">
        <v>1259</v>
      </c>
      <c r="DD33" t="s">
        <v>1259</v>
      </c>
      <c r="DE33" t="s">
        <v>1259</v>
      </c>
      <c r="DF33" t="s">
        <v>1259</v>
      </c>
      <c r="DG33" t="s">
        <v>1259</v>
      </c>
      <c r="DH33" t="s">
        <v>1259</v>
      </c>
      <c r="DI33" t="s">
        <v>1259</v>
      </c>
      <c r="DJ33" t="s">
        <v>1259</v>
      </c>
      <c r="DL33" s="21">
        <f xml:space="preserve"> ($DL$37-$DL$32)/5 + DL32</f>
        <v>172018.20912880628</v>
      </c>
      <c r="DM33" t="s">
        <v>1259</v>
      </c>
      <c r="DN33" t="s">
        <v>1259</v>
      </c>
      <c r="DO33" t="s">
        <v>1259</v>
      </c>
      <c r="DP33" t="s">
        <v>1259</v>
      </c>
      <c r="DQ33" t="s">
        <v>1259</v>
      </c>
      <c r="DR33" t="s">
        <v>1259</v>
      </c>
      <c r="DS33" t="s">
        <v>1259</v>
      </c>
      <c r="DT33" t="s">
        <v>1259</v>
      </c>
      <c r="DU33" t="s">
        <v>1259</v>
      </c>
      <c r="DV33" t="s">
        <v>1259</v>
      </c>
      <c r="DW33" t="s">
        <v>1259</v>
      </c>
      <c r="DX33" t="s">
        <v>1259</v>
      </c>
      <c r="DY33" t="s">
        <v>1259</v>
      </c>
      <c r="DZ33" t="s">
        <v>1259</v>
      </c>
      <c r="EA33" t="s">
        <v>1259</v>
      </c>
      <c r="EB33" t="s">
        <v>1259</v>
      </c>
      <c r="EC33" t="s">
        <v>1259</v>
      </c>
      <c r="ED33" t="s">
        <v>1259</v>
      </c>
      <c r="EE33" t="s">
        <v>1259</v>
      </c>
      <c r="EF33" t="s">
        <v>1259</v>
      </c>
      <c r="EG33" t="s">
        <v>1259</v>
      </c>
      <c r="EH33" t="s">
        <v>1259</v>
      </c>
      <c r="EI33" t="s">
        <v>1259</v>
      </c>
      <c r="EJ33" t="s">
        <v>1259</v>
      </c>
      <c r="EK33" t="s">
        <v>1259</v>
      </c>
      <c r="EL33" t="s">
        <v>1259</v>
      </c>
      <c r="EM33" t="s">
        <v>1259</v>
      </c>
      <c r="EN33" t="s">
        <v>1259</v>
      </c>
      <c r="EO33" t="s">
        <v>1259</v>
      </c>
      <c r="EP33" t="s">
        <v>1259</v>
      </c>
      <c r="EQ33" t="s">
        <v>1259</v>
      </c>
      <c r="ER33" t="s">
        <v>1259</v>
      </c>
      <c r="ES33" t="s">
        <v>1259</v>
      </c>
      <c r="ET33" t="s">
        <v>1259</v>
      </c>
      <c r="EU33" t="s">
        <v>1259</v>
      </c>
      <c r="EV33" t="s">
        <v>1259</v>
      </c>
      <c r="EW33" t="s">
        <v>1259</v>
      </c>
      <c r="EX33" t="s">
        <v>1259</v>
      </c>
      <c r="EY33" t="s">
        <v>1259</v>
      </c>
      <c r="EZ33" t="s">
        <v>1259</v>
      </c>
      <c r="FA33" t="s">
        <v>1259</v>
      </c>
      <c r="FB33" t="s">
        <v>1259</v>
      </c>
      <c r="FC33" t="s">
        <v>1259</v>
      </c>
      <c r="FD33" t="s">
        <v>1259</v>
      </c>
      <c r="FE33" t="s">
        <v>1259</v>
      </c>
      <c r="FF33" t="s">
        <v>1259</v>
      </c>
    </row>
    <row r="34" spans="1:162" ht="17.25" x14ac:dyDescent="0.3">
      <c r="A34" t="s">
        <v>1911</v>
      </c>
      <c r="B34" t="s">
        <v>1259</v>
      </c>
      <c r="C34" t="s">
        <v>1259</v>
      </c>
      <c r="D34" t="s">
        <v>1259</v>
      </c>
      <c r="E34" t="s">
        <v>1259</v>
      </c>
      <c r="F34" t="s">
        <v>1259</v>
      </c>
      <c r="G34" t="s">
        <v>1259</v>
      </c>
      <c r="H34" t="s">
        <v>1259</v>
      </c>
      <c r="I34" t="s">
        <v>1259</v>
      </c>
      <c r="J34" t="s">
        <v>1259</v>
      </c>
      <c r="K34" t="s">
        <v>1259</v>
      </c>
      <c r="L34" t="s">
        <v>1259</v>
      </c>
      <c r="M34" t="s">
        <v>1259</v>
      </c>
      <c r="N34" t="s">
        <v>1259</v>
      </c>
      <c r="O34" t="s">
        <v>1259</v>
      </c>
      <c r="P34" t="s">
        <v>1259</v>
      </c>
      <c r="Q34" t="s">
        <v>1259</v>
      </c>
      <c r="R34" t="s">
        <v>1259</v>
      </c>
      <c r="S34" t="s">
        <v>1259</v>
      </c>
      <c r="T34" t="s">
        <v>1259</v>
      </c>
      <c r="U34" t="s">
        <v>1259</v>
      </c>
      <c r="V34" t="s">
        <v>1259</v>
      </c>
      <c r="W34" t="s">
        <v>1259</v>
      </c>
      <c r="X34" t="s">
        <v>1259</v>
      </c>
      <c r="Y34" t="s">
        <v>1259</v>
      </c>
      <c r="Z34" t="s">
        <v>1259</v>
      </c>
      <c r="AA34" t="s">
        <v>1259</v>
      </c>
      <c r="AB34" t="s">
        <v>1259</v>
      </c>
      <c r="AC34" t="s">
        <v>1259</v>
      </c>
      <c r="AD34" t="s">
        <v>1259</v>
      </c>
      <c r="AE34" t="s">
        <v>1259</v>
      </c>
      <c r="AF34" t="s">
        <v>1259</v>
      </c>
      <c r="AG34" t="s">
        <v>1259</v>
      </c>
      <c r="AH34" t="s">
        <v>1259</v>
      </c>
      <c r="AI34" t="s">
        <v>1259</v>
      </c>
      <c r="AJ34" t="s">
        <v>1259</v>
      </c>
      <c r="AK34" t="s">
        <v>1259</v>
      </c>
      <c r="AL34" t="s">
        <v>1259</v>
      </c>
      <c r="AM34" t="s">
        <v>1259</v>
      </c>
      <c r="AN34" t="s">
        <v>1259</v>
      </c>
      <c r="AO34" t="s">
        <v>1259</v>
      </c>
      <c r="AP34" t="s">
        <v>1259</v>
      </c>
      <c r="AQ34" t="s">
        <v>1259</v>
      </c>
      <c r="AR34" t="s">
        <v>1259</v>
      </c>
      <c r="AS34" t="s">
        <v>1259</v>
      </c>
      <c r="AT34" t="s">
        <v>1259</v>
      </c>
      <c r="AU34" t="s">
        <v>1259</v>
      </c>
      <c r="AV34" t="s">
        <v>1259</v>
      </c>
      <c r="AW34" t="s">
        <v>1259</v>
      </c>
      <c r="AX34" t="s">
        <v>1259</v>
      </c>
      <c r="AY34" t="s">
        <v>1259</v>
      </c>
      <c r="AZ34" t="s">
        <v>1259</v>
      </c>
      <c r="BA34" t="s">
        <v>1259</v>
      </c>
      <c r="BB34" t="s">
        <v>1259</v>
      </c>
      <c r="BC34" t="s">
        <v>1259</v>
      </c>
      <c r="BD34" t="s">
        <v>1259</v>
      </c>
      <c r="BE34" t="s">
        <v>1259</v>
      </c>
      <c r="BF34" t="s">
        <v>1259</v>
      </c>
      <c r="BG34" t="s">
        <v>1259</v>
      </c>
      <c r="BH34" t="s">
        <v>1259</v>
      </c>
      <c r="BI34" t="s">
        <v>1259</v>
      </c>
      <c r="BJ34" t="s">
        <v>1259</v>
      </c>
      <c r="BK34" t="s">
        <v>1259</v>
      </c>
      <c r="BL34" t="s">
        <v>1259</v>
      </c>
      <c r="BM34" t="s">
        <v>1259</v>
      </c>
      <c r="BN34" t="s">
        <v>1259</v>
      </c>
      <c r="BO34" t="s">
        <v>1259</v>
      </c>
      <c r="BP34" t="s">
        <v>1259</v>
      </c>
      <c r="BQ34" t="s">
        <v>1259</v>
      </c>
      <c r="BR34" t="s">
        <v>1259</v>
      </c>
      <c r="BS34" t="s">
        <v>1259</v>
      </c>
      <c r="BT34" t="s">
        <v>1259</v>
      </c>
      <c r="BU34" t="s">
        <v>1259</v>
      </c>
      <c r="BV34" t="s">
        <v>1259</v>
      </c>
      <c r="BW34" t="s">
        <v>1259</v>
      </c>
      <c r="BX34" t="s">
        <v>1259</v>
      </c>
      <c r="BY34" t="s">
        <v>1259</v>
      </c>
      <c r="BZ34" t="s">
        <v>1259</v>
      </c>
      <c r="CA34" t="s">
        <v>1259</v>
      </c>
      <c r="CB34" t="s">
        <v>1259</v>
      </c>
      <c r="CC34" t="s">
        <v>1259</v>
      </c>
      <c r="CD34" t="s">
        <v>1259</v>
      </c>
      <c r="CE34" t="s">
        <v>1259</v>
      </c>
      <c r="CF34" t="s">
        <v>1259</v>
      </c>
      <c r="CG34" t="s">
        <v>1259</v>
      </c>
      <c r="CH34" t="s">
        <v>1259</v>
      </c>
      <c r="CI34" t="s">
        <v>1259</v>
      </c>
      <c r="CJ34" t="s">
        <v>1259</v>
      </c>
      <c r="CK34" t="s">
        <v>1259</v>
      </c>
      <c r="CL34" t="s">
        <v>1259</v>
      </c>
      <c r="CM34" t="s">
        <v>1259</v>
      </c>
      <c r="CN34" t="s">
        <v>1259</v>
      </c>
      <c r="CO34" t="s">
        <v>1259</v>
      </c>
      <c r="CP34" t="s">
        <v>1259</v>
      </c>
      <c r="CQ34" t="s">
        <v>1259</v>
      </c>
      <c r="CR34" t="s">
        <v>1259</v>
      </c>
      <c r="CS34" t="s">
        <v>1259</v>
      </c>
      <c r="CT34" t="s">
        <v>1259</v>
      </c>
      <c r="CU34" t="s">
        <v>1259</v>
      </c>
      <c r="CV34" t="s">
        <v>1259</v>
      </c>
      <c r="CW34" t="s">
        <v>1259</v>
      </c>
      <c r="CX34" t="s">
        <v>1259</v>
      </c>
      <c r="CY34" t="s">
        <v>1259</v>
      </c>
      <c r="CZ34" t="s">
        <v>1259</v>
      </c>
      <c r="DA34" t="s">
        <v>1259</v>
      </c>
      <c r="DB34" t="s">
        <v>1259</v>
      </c>
      <c r="DC34" t="s">
        <v>1259</v>
      </c>
      <c r="DD34" t="s">
        <v>1259</v>
      </c>
      <c r="DE34" t="s">
        <v>1259</v>
      </c>
      <c r="DF34" t="s">
        <v>1259</v>
      </c>
      <c r="DG34" t="s">
        <v>1259</v>
      </c>
      <c r="DH34" t="s">
        <v>1259</v>
      </c>
      <c r="DI34" t="s">
        <v>1259</v>
      </c>
      <c r="DJ34" t="s">
        <v>1259</v>
      </c>
      <c r="DL34" s="21">
        <f t="shared" ref="DL34:DL36" si="6" xml:space="preserve"> ($DL$37-$DL$32)/5 + DL33</f>
        <v>174469.98462702357</v>
      </c>
      <c r="DM34" t="s">
        <v>1259</v>
      </c>
      <c r="DN34" t="s">
        <v>1259</v>
      </c>
      <c r="DO34" t="s">
        <v>1259</v>
      </c>
      <c r="DP34" t="s">
        <v>1259</v>
      </c>
      <c r="DQ34" t="s">
        <v>1259</v>
      </c>
      <c r="DR34" t="s">
        <v>1259</v>
      </c>
      <c r="DS34" t="s">
        <v>1259</v>
      </c>
      <c r="DT34" t="s">
        <v>1259</v>
      </c>
      <c r="DU34" t="s">
        <v>1259</v>
      </c>
      <c r="DV34" t="s">
        <v>1259</v>
      </c>
      <c r="DW34" t="s">
        <v>1259</v>
      </c>
      <c r="DX34" t="s">
        <v>1259</v>
      </c>
      <c r="DY34" t="s">
        <v>1259</v>
      </c>
      <c r="DZ34" t="s">
        <v>1259</v>
      </c>
      <c r="EA34" t="s">
        <v>1259</v>
      </c>
      <c r="EB34" t="s">
        <v>1259</v>
      </c>
      <c r="EC34" t="s">
        <v>1259</v>
      </c>
      <c r="ED34" t="s">
        <v>1259</v>
      </c>
      <c r="EE34" t="s">
        <v>1259</v>
      </c>
      <c r="EF34" t="s">
        <v>1259</v>
      </c>
      <c r="EG34" t="s">
        <v>1259</v>
      </c>
      <c r="EH34" t="s">
        <v>1259</v>
      </c>
      <c r="EI34" t="s">
        <v>1259</v>
      </c>
      <c r="EJ34" t="s">
        <v>1259</v>
      </c>
      <c r="EK34" t="s">
        <v>1259</v>
      </c>
      <c r="EL34" t="s">
        <v>1259</v>
      </c>
      <c r="EM34" t="s">
        <v>1259</v>
      </c>
      <c r="EN34" t="s">
        <v>1259</v>
      </c>
      <c r="EO34" t="s">
        <v>1259</v>
      </c>
      <c r="EP34" t="s">
        <v>1259</v>
      </c>
      <c r="EQ34" t="s">
        <v>1259</v>
      </c>
      <c r="ER34" t="s">
        <v>1259</v>
      </c>
      <c r="ES34" t="s">
        <v>1259</v>
      </c>
      <c r="ET34" t="s">
        <v>1259</v>
      </c>
      <c r="EU34" t="s">
        <v>1259</v>
      </c>
      <c r="EV34" t="s">
        <v>1259</v>
      </c>
      <c r="EW34" t="s">
        <v>1259</v>
      </c>
      <c r="EX34" t="s">
        <v>1259</v>
      </c>
      <c r="EY34" t="s">
        <v>1259</v>
      </c>
      <c r="EZ34" t="s">
        <v>1259</v>
      </c>
      <c r="FA34" t="s">
        <v>1259</v>
      </c>
      <c r="FB34" t="s">
        <v>1259</v>
      </c>
      <c r="FC34" t="s">
        <v>1259</v>
      </c>
      <c r="FD34" t="s">
        <v>1259</v>
      </c>
      <c r="FE34" t="s">
        <v>1259</v>
      </c>
      <c r="FF34" t="s">
        <v>1259</v>
      </c>
    </row>
    <row r="35" spans="1:162" ht="17.25" x14ac:dyDescent="0.3">
      <c r="A35" t="s">
        <v>1912</v>
      </c>
      <c r="B35" t="s">
        <v>1259</v>
      </c>
      <c r="C35" t="s">
        <v>1259</v>
      </c>
      <c r="D35" t="s">
        <v>1259</v>
      </c>
      <c r="E35" t="s">
        <v>1259</v>
      </c>
      <c r="F35" t="s">
        <v>1259</v>
      </c>
      <c r="G35" t="s">
        <v>1259</v>
      </c>
      <c r="H35" t="s">
        <v>1259</v>
      </c>
      <c r="I35" t="s">
        <v>1259</v>
      </c>
      <c r="J35" t="s">
        <v>1259</v>
      </c>
      <c r="K35" t="s">
        <v>1259</v>
      </c>
      <c r="L35" t="s">
        <v>1259</v>
      </c>
      <c r="M35" t="s">
        <v>1259</v>
      </c>
      <c r="N35" t="s">
        <v>1259</v>
      </c>
      <c r="O35" t="s">
        <v>1259</v>
      </c>
      <c r="P35" t="s">
        <v>1259</v>
      </c>
      <c r="Q35" t="s">
        <v>1259</v>
      </c>
      <c r="R35" t="s">
        <v>1259</v>
      </c>
      <c r="S35" t="s">
        <v>1259</v>
      </c>
      <c r="T35" t="s">
        <v>1259</v>
      </c>
      <c r="U35" t="s">
        <v>1259</v>
      </c>
      <c r="V35" t="s">
        <v>1259</v>
      </c>
      <c r="W35" t="s">
        <v>1259</v>
      </c>
      <c r="X35" t="s">
        <v>1259</v>
      </c>
      <c r="Y35" t="s">
        <v>1259</v>
      </c>
      <c r="Z35" t="s">
        <v>1259</v>
      </c>
      <c r="AA35" t="s">
        <v>1259</v>
      </c>
      <c r="AB35" t="s">
        <v>1259</v>
      </c>
      <c r="AC35" t="s">
        <v>1259</v>
      </c>
      <c r="AD35" t="s">
        <v>1259</v>
      </c>
      <c r="AE35" t="s">
        <v>1259</v>
      </c>
      <c r="AF35" t="s">
        <v>1259</v>
      </c>
      <c r="AG35" t="s">
        <v>1259</v>
      </c>
      <c r="AH35" t="s">
        <v>1259</v>
      </c>
      <c r="AI35" t="s">
        <v>1259</v>
      </c>
      <c r="AJ35" t="s">
        <v>1259</v>
      </c>
      <c r="AK35" t="s">
        <v>1259</v>
      </c>
      <c r="AL35" t="s">
        <v>1259</v>
      </c>
      <c r="AM35" t="s">
        <v>1259</v>
      </c>
      <c r="AN35" t="s">
        <v>1259</v>
      </c>
      <c r="AO35" t="s">
        <v>1259</v>
      </c>
      <c r="AP35" t="s">
        <v>1259</v>
      </c>
      <c r="AQ35" t="s">
        <v>1259</v>
      </c>
      <c r="AR35" t="s">
        <v>1259</v>
      </c>
      <c r="AS35" t="s">
        <v>1259</v>
      </c>
      <c r="AT35" t="s">
        <v>1259</v>
      </c>
      <c r="AU35" t="s">
        <v>1259</v>
      </c>
      <c r="AV35" t="s">
        <v>1259</v>
      </c>
      <c r="AW35" t="s">
        <v>1259</v>
      </c>
      <c r="AX35" t="s">
        <v>1259</v>
      </c>
      <c r="AY35" t="s">
        <v>1259</v>
      </c>
      <c r="AZ35" t="s">
        <v>1259</v>
      </c>
      <c r="BA35" t="s">
        <v>1259</v>
      </c>
      <c r="BB35" t="s">
        <v>1259</v>
      </c>
      <c r="BC35" t="s">
        <v>1259</v>
      </c>
      <c r="BD35" t="s">
        <v>1259</v>
      </c>
      <c r="BE35" t="s">
        <v>1259</v>
      </c>
      <c r="BF35" t="s">
        <v>1259</v>
      </c>
      <c r="BG35" t="s">
        <v>1259</v>
      </c>
      <c r="BH35" t="s">
        <v>1259</v>
      </c>
      <c r="BI35" t="s">
        <v>1259</v>
      </c>
      <c r="BJ35" t="s">
        <v>1259</v>
      </c>
      <c r="BK35" t="s">
        <v>1259</v>
      </c>
      <c r="BL35" t="s">
        <v>1259</v>
      </c>
      <c r="BM35" t="s">
        <v>1259</v>
      </c>
      <c r="BN35" t="s">
        <v>1259</v>
      </c>
      <c r="BO35" t="s">
        <v>1259</v>
      </c>
      <c r="BP35" t="s">
        <v>1259</v>
      </c>
      <c r="BQ35" t="s">
        <v>1259</v>
      </c>
      <c r="BR35" t="s">
        <v>1259</v>
      </c>
      <c r="BS35" t="s">
        <v>1259</v>
      </c>
      <c r="BT35" t="s">
        <v>1259</v>
      </c>
      <c r="BU35" t="s">
        <v>1259</v>
      </c>
      <c r="BV35" t="s">
        <v>1259</v>
      </c>
      <c r="BW35" t="s">
        <v>1259</v>
      </c>
      <c r="BX35" t="s">
        <v>1259</v>
      </c>
      <c r="BY35" t="s">
        <v>1259</v>
      </c>
      <c r="BZ35" t="s">
        <v>1259</v>
      </c>
      <c r="CA35" t="s">
        <v>1259</v>
      </c>
      <c r="CB35" t="s">
        <v>1259</v>
      </c>
      <c r="CC35" t="s">
        <v>1259</v>
      </c>
      <c r="CD35" t="s">
        <v>1259</v>
      </c>
      <c r="CE35" t="s">
        <v>1259</v>
      </c>
      <c r="CF35" t="s">
        <v>1259</v>
      </c>
      <c r="CG35" t="s">
        <v>1259</v>
      </c>
      <c r="CH35" t="s">
        <v>1259</v>
      </c>
      <c r="CI35" t="s">
        <v>1259</v>
      </c>
      <c r="CJ35" t="s">
        <v>1259</v>
      </c>
      <c r="CK35" t="s">
        <v>1259</v>
      </c>
      <c r="CL35" t="s">
        <v>1259</v>
      </c>
      <c r="CM35" t="s">
        <v>1259</v>
      </c>
      <c r="CN35" t="s">
        <v>1259</v>
      </c>
      <c r="CO35" t="s">
        <v>1259</v>
      </c>
      <c r="CP35" t="s">
        <v>1259</v>
      </c>
      <c r="CQ35" t="s">
        <v>1259</v>
      </c>
      <c r="CR35" t="s">
        <v>1259</v>
      </c>
      <c r="CS35" t="s">
        <v>1259</v>
      </c>
      <c r="CT35" t="s">
        <v>1259</v>
      </c>
      <c r="CU35" t="s">
        <v>1259</v>
      </c>
      <c r="CV35" t="s">
        <v>1259</v>
      </c>
      <c r="CW35" t="s">
        <v>1259</v>
      </c>
      <c r="CX35" t="s">
        <v>1259</v>
      </c>
      <c r="CY35" t="s">
        <v>1259</v>
      </c>
      <c r="CZ35" t="s">
        <v>1259</v>
      </c>
      <c r="DA35" t="s">
        <v>1259</v>
      </c>
      <c r="DB35" t="s">
        <v>1259</v>
      </c>
      <c r="DC35" t="s">
        <v>1259</v>
      </c>
      <c r="DD35" t="s">
        <v>1259</v>
      </c>
      <c r="DE35" t="s">
        <v>1259</v>
      </c>
      <c r="DF35" t="s">
        <v>1259</v>
      </c>
      <c r="DG35" t="s">
        <v>1259</v>
      </c>
      <c r="DH35" t="s">
        <v>1259</v>
      </c>
      <c r="DI35" t="s">
        <v>1259</v>
      </c>
      <c r="DJ35" t="s">
        <v>1259</v>
      </c>
      <c r="DL35" s="21">
        <f t="shared" si="6"/>
        <v>176921.76012524086</v>
      </c>
      <c r="DM35" t="s">
        <v>1259</v>
      </c>
      <c r="DN35" t="s">
        <v>1259</v>
      </c>
      <c r="DO35" t="s">
        <v>1259</v>
      </c>
      <c r="DP35" t="s">
        <v>1259</v>
      </c>
      <c r="DQ35" t="s">
        <v>1259</v>
      </c>
      <c r="DR35" t="s">
        <v>1259</v>
      </c>
      <c r="DS35" t="s">
        <v>1259</v>
      </c>
      <c r="DT35" t="s">
        <v>1259</v>
      </c>
      <c r="DU35" t="s">
        <v>1259</v>
      </c>
      <c r="DV35" t="s">
        <v>1259</v>
      </c>
      <c r="DW35" t="s">
        <v>1259</v>
      </c>
      <c r="DX35" t="s">
        <v>1259</v>
      </c>
      <c r="DY35" t="s">
        <v>1259</v>
      </c>
      <c r="DZ35" t="s">
        <v>1259</v>
      </c>
      <c r="EA35" t="s">
        <v>1259</v>
      </c>
      <c r="EB35" t="s">
        <v>1259</v>
      </c>
      <c r="EC35" t="s">
        <v>1259</v>
      </c>
      <c r="ED35" t="s">
        <v>1259</v>
      </c>
      <c r="EE35" t="s">
        <v>1259</v>
      </c>
      <c r="EF35" t="s">
        <v>1259</v>
      </c>
      <c r="EG35" t="s">
        <v>1259</v>
      </c>
      <c r="EH35" t="s">
        <v>1259</v>
      </c>
      <c r="EI35" t="s">
        <v>1259</v>
      </c>
      <c r="EJ35" t="s">
        <v>1259</v>
      </c>
      <c r="EK35" t="s">
        <v>1259</v>
      </c>
      <c r="EL35" t="s">
        <v>1259</v>
      </c>
      <c r="EM35" t="s">
        <v>1259</v>
      </c>
      <c r="EN35" t="s">
        <v>1259</v>
      </c>
      <c r="EO35" t="s">
        <v>1259</v>
      </c>
      <c r="EP35" t="s">
        <v>1259</v>
      </c>
      <c r="EQ35" t="s">
        <v>1259</v>
      </c>
      <c r="ER35" t="s">
        <v>1259</v>
      </c>
      <c r="ES35" t="s">
        <v>1259</v>
      </c>
      <c r="ET35" t="s">
        <v>1259</v>
      </c>
      <c r="EU35" t="s">
        <v>1259</v>
      </c>
      <c r="EV35" t="s">
        <v>1259</v>
      </c>
      <c r="EW35" t="s">
        <v>1259</v>
      </c>
      <c r="EX35" t="s">
        <v>1259</v>
      </c>
      <c r="EY35" t="s">
        <v>1259</v>
      </c>
      <c r="EZ35" t="s">
        <v>1259</v>
      </c>
      <c r="FA35" t="s">
        <v>1259</v>
      </c>
      <c r="FB35" t="s">
        <v>1259</v>
      </c>
      <c r="FC35" t="s">
        <v>1259</v>
      </c>
      <c r="FD35" t="s">
        <v>1259</v>
      </c>
      <c r="FE35" t="s">
        <v>1259</v>
      </c>
      <c r="FF35" t="s">
        <v>1259</v>
      </c>
    </row>
    <row r="36" spans="1:162" ht="17.25" x14ac:dyDescent="0.3">
      <c r="A36" t="s">
        <v>1913</v>
      </c>
      <c r="B36" t="s">
        <v>1259</v>
      </c>
      <c r="C36" t="s">
        <v>1259</v>
      </c>
      <c r="D36" t="s">
        <v>1259</v>
      </c>
      <c r="E36" t="s">
        <v>1259</v>
      </c>
      <c r="F36" t="s">
        <v>1259</v>
      </c>
      <c r="G36" t="s">
        <v>1259</v>
      </c>
      <c r="H36" t="s">
        <v>1259</v>
      </c>
      <c r="I36" t="s">
        <v>1259</v>
      </c>
      <c r="J36" t="s">
        <v>1259</v>
      </c>
      <c r="K36" t="s">
        <v>1259</v>
      </c>
      <c r="L36" t="s">
        <v>1259</v>
      </c>
      <c r="M36" t="s">
        <v>1259</v>
      </c>
      <c r="N36" t="s">
        <v>1259</v>
      </c>
      <c r="O36" t="s">
        <v>1259</v>
      </c>
      <c r="P36" t="s">
        <v>1259</v>
      </c>
      <c r="Q36" t="s">
        <v>1259</v>
      </c>
      <c r="R36" t="s">
        <v>1259</v>
      </c>
      <c r="S36" t="s">
        <v>1259</v>
      </c>
      <c r="T36" t="s">
        <v>1259</v>
      </c>
      <c r="U36" t="s">
        <v>1259</v>
      </c>
      <c r="V36" t="s">
        <v>1259</v>
      </c>
      <c r="W36" t="s">
        <v>1259</v>
      </c>
      <c r="X36" t="s">
        <v>1259</v>
      </c>
      <c r="Y36" t="s">
        <v>1259</v>
      </c>
      <c r="Z36" t="s">
        <v>1259</v>
      </c>
      <c r="AA36" t="s">
        <v>1259</v>
      </c>
      <c r="AB36" t="s">
        <v>1259</v>
      </c>
      <c r="AC36" t="s">
        <v>1259</v>
      </c>
      <c r="AD36" t="s">
        <v>1259</v>
      </c>
      <c r="AE36" t="s">
        <v>1259</v>
      </c>
      <c r="AF36" t="s">
        <v>1259</v>
      </c>
      <c r="AG36" t="s">
        <v>1259</v>
      </c>
      <c r="AH36" t="s">
        <v>1259</v>
      </c>
      <c r="AI36" t="s">
        <v>1259</v>
      </c>
      <c r="AJ36" t="s">
        <v>1259</v>
      </c>
      <c r="AK36" t="s">
        <v>1259</v>
      </c>
      <c r="AL36" t="s">
        <v>1259</v>
      </c>
      <c r="AM36" t="s">
        <v>1259</v>
      </c>
      <c r="AN36" t="s">
        <v>1259</v>
      </c>
      <c r="AO36" t="s">
        <v>1259</v>
      </c>
      <c r="AP36" t="s">
        <v>1259</v>
      </c>
      <c r="AQ36" t="s">
        <v>1259</v>
      </c>
      <c r="AR36" t="s">
        <v>1259</v>
      </c>
      <c r="AS36" t="s">
        <v>1259</v>
      </c>
      <c r="AT36" t="s">
        <v>1259</v>
      </c>
      <c r="AU36" t="s">
        <v>1259</v>
      </c>
      <c r="AV36" t="s">
        <v>1259</v>
      </c>
      <c r="AW36" t="s">
        <v>1259</v>
      </c>
      <c r="AX36" t="s">
        <v>1259</v>
      </c>
      <c r="AY36" t="s">
        <v>1259</v>
      </c>
      <c r="AZ36" t="s">
        <v>1259</v>
      </c>
      <c r="BA36" t="s">
        <v>1259</v>
      </c>
      <c r="BB36" t="s">
        <v>1259</v>
      </c>
      <c r="BC36" t="s">
        <v>1259</v>
      </c>
      <c r="BD36" t="s">
        <v>1259</v>
      </c>
      <c r="BE36" t="s">
        <v>1259</v>
      </c>
      <c r="BF36" t="s">
        <v>1259</v>
      </c>
      <c r="BG36" t="s">
        <v>1259</v>
      </c>
      <c r="BH36" t="s">
        <v>1259</v>
      </c>
      <c r="BI36" t="s">
        <v>1259</v>
      </c>
      <c r="BJ36" t="s">
        <v>1259</v>
      </c>
      <c r="BK36" t="s">
        <v>1259</v>
      </c>
      <c r="BL36" t="s">
        <v>1259</v>
      </c>
      <c r="BM36" t="s">
        <v>1259</v>
      </c>
      <c r="BN36" t="s">
        <v>1259</v>
      </c>
      <c r="BO36" t="s">
        <v>1259</v>
      </c>
      <c r="BP36" t="s">
        <v>1259</v>
      </c>
      <c r="BQ36" t="s">
        <v>1259</v>
      </c>
      <c r="BR36" t="s">
        <v>1259</v>
      </c>
      <c r="BS36" t="s">
        <v>1259</v>
      </c>
      <c r="BT36" t="s">
        <v>1259</v>
      </c>
      <c r="BU36" t="s">
        <v>1259</v>
      </c>
      <c r="BV36" t="s">
        <v>1259</v>
      </c>
      <c r="BW36" t="s">
        <v>1259</v>
      </c>
      <c r="BX36" t="s">
        <v>1259</v>
      </c>
      <c r="BY36" t="s">
        <v>1259</v>
      </c>
      <c r="BZ36" t="s">
        <v>1259</v>
      </c>
      <c r="CA36" t="s">
        <v>1259</v>
      </c>
      <c r="CB36" t="s">
        <v>1259</v>
      </c>
      <c r="CC36" t="s">
        <v>1259</v>
      </c>
      <c r="CD36" t="s">
        <v>1259</v>
      </c>
      <c r="CE36" t="s">
        <v>1259</v>
      </c>
      <c r="CF36" t="s">
        <v>1259</v>
      </c>
      <c r="CG36" t="s">
        <v>1259</v>
      </c>
      <c r="CH36" t="s">
        <v>1259</v>
      </c>
      <c r="CI36" t="s">
        <v>1259</v>
      </c>
      <c r="CJ36" t="s">
        <v>1259</v>
      </c>
      <c r="CK36" t="s">
        <v>1259</v>
      </c>
      <c r="CL36" t="s">
        <v>1259</v>
      </c>
      <c r="CM36" t="s">
        <v>1259</v>
      </c>
      <c r="CN36" t="s">
        <v>1259</v>
      </c>
      <c r="CO36" t="s">
        <v>1259</v>
      </c>
      <c r="CP36" t="s">
        <v>1259</v>
      </c>
      <c r="CQ36" t="s">
        <v>1259</v>
      </c>
      <c r="CR36" t="s">
        <v>1259</v>
      </c>
      <c r="CS36" t="s">
        <v>1259</v>
      </c>
      <c r="CT36" t="s">
        <v>1259</v>
      </c>
      <c r="CU36" t="s">
        <v>1259</v>
      </c>
      <c r="CV36" t="s">
        <v>1259</v>
      </c>
      <c r="CW36" t="s">
        <v>1259</v>
      </c>
      <c r="CX36" t="s">
        <v>1259</v>
      </c>
      <c r="CY36" t="s">
        <v>1259</v>
      </c>
      <c r="CZ36" t="s">
        <v>1259</v>
      </c>
      <c r="DA36" t="s">
        <v>1259</v>
      </c>
      <c r="DB36" t="s">
        <v>1259</v>
      </c>
      <c r="DC36" t="s">
        <v>1259</v>
      </c>
      <c r="DD36" t="s">
        <v>1259</v>
      </c>
      <c r="DE36" t="s">
        <v>1259</v>
      </c>
      <c r="DF36" t="s">
        <v>1259</v>
      </c>
      <c r="DG36" t="s">
        <v>1259</v>
      </c>
      <c r="DH36" t="s">
        <v>1259</v>
      </c>
      <c r="DI36" t="s">
        <v>1259</v>
      </c>
      <c r="DJ36" t="s">
        <v>1259</v>
      </c>
      <c r="DL36" s="21">
        <f t="shared" si="6"/>
        <v>179373.53562345816</v>
      </c>
      <c r="DM36" t="s">
        <v>1259</v>
      </c>
      <c r="DN36" t="s">
        <v>1259</v>
      </c>
      <c r="DO36" t="s">
        <v>1259</v>
      </c>
      <c r="DP36" t="s">
        <v>1259</v>
      </c>
      <c r="DQ36" t="s">
        <v>1259</v>
      </c>
      <c r="DR36" t="s">
        <v>1259</v>
      </c>
      <c r="DS36" t="s">
        <v>1259</v>
      </c>
      <c r="DT36" t="s">
        <v>1259</v>
      </c>
      <c r="DU36" t="s">
        <v>1259</v>
      </c>
      <c r="DV36" t="s">
        <v>1259</v>
      </c>
      <c r="DW36" t="s">
        <v>1259</v>
      </c>
      <c r="DX36" t="s">
        <v>1259</v>
      </c>
      <c r="DY36" t="s">
        <v>1259</v>
      </c>
      <c r="DZ36" t="s">
        <v>1259</v>
      </c>
      <c r="EA36" t="s">
        <v>1259</v>
      </c>
      <c r="EB36" t="s">
        <v>1259</v>
      </c>
      <c r="EC36" t="s">
        <v>1259</v>
      </c>
      <c r="ED36" t="s">
        <v>1259</v>
      </c>
      <c r="EE36" t="s">
        <v>1259</v>
      </c>
      <c r="EF36" t="s">
        <v>1259</v>
      </c>
      <c r="EG36" t="s">
        <v>1259</v>
      </c>
      <c r="EH36" t="s">
        <v>1259</v>
      </c>
      <c r="EI36" t="s">
        <v>1259</v>
      </c>
      <c r="EJ36" t="s">
        <v>1259</v>
      </c>
      <c r="EK36" t="s">
        <v>1259</v>
      </c>
      <c r="EL36" t="s">
        <v>1259</v>
      </c>
      <c r="EM36" t="s">
        <v>1259</v>
      </c>
      <c r="EN36" t="s">
        <v>1259</v>
      </c>
      <c r="EO36" t="s">
        <v>1259</v>
      </c>
      <c r="EP36" t="s">
        <v>1259</v>
      </c>
      <c r="EQ36" t="s">
        <v>1259</v>
      </c>
      <c r="ER36" t="s">
        <v>1259</v>
      </c>
      <c r="ES36" t="s">
        <v>1259</v>
      </c>
      <c r="ET36" t="s">
        <v>1259</v>
      </c>
      <c r="EU36" t="s">
        <v>1259</v>
      </c>
      <c r="EV36" t="s">
        <v>1259</v>
      </c>
      <c r="EW36" t="s">
        <v>1259</v>
      </c>
      <c r="EX36" t="s">
        <v>1259</v>
      </c>
      <c r="EY36" t="s">
        <v>1259</v>
      </c>
      <c r="EZ36" t="s">
        <v>1259</v>
      </c>
      <c r="FA36" t="s">
        <v>1259</v>
      </c>
      <c r="FB36" t="s">
        <v>1259</v>
      </c>
      <c r="FC36" t="s">
        <v>1259</v>
      </c>
      <c r="FD36" t="s">
        <v>1259</v>
      </c>
      <c r="FE36" t="s">
        <v>1259</v>
      </c>
      <c r="FF36" t="s">
        <v>1259</v>
      </c>
    </row>
    <row r="37" spans="1:162" x14ac:dyDescent="0.25">
      <c r="A37" t="s">
        <v>1914</v>
      </c>
      <c r="B37" t="s">
        <v>1915</v>
      </c>
      <c r="C37" t="s">
        <v>1916</v>
      </c>
      <c r="D37" t="s">
        <v>1917</v>
      </c>
      <c r="E37" t="s">
        <v>1918</v>
      </c>
      <c r="F37" t="s">
        <v>1919</v>
      </c>
      <c r="G37" t="s">
        <v>1920</v>
      </c>
      <c r="H37" t="s">
        <v>1921</v>
      </c>
      <c r="I37" t="s">
        <v>1922</v>
      </c>
      <c r="J37" t="s">
        <v>1923</v>
      </c>
      <c r="K37" t="s">
        <v>1924</v>
      </c>
      <c r="L37" t="s">
        <v>1925</v>
      </c>
      <c r="M37" t="s">
        <v>1926</v>
      </c>
      <c r="N37" t="s">
        <v>1927</v>
      </c>
      <c r="O37" t="s">
        <v>1928</v>
      </c>
      <c r="P37" t="s">
        <v>1929</v>
      </c>
      <c r="Q37" t="s">
        <v>1930</v>
      </c>
      <c r="R37" t="s">
        <v>1931</v>
      </c>
      <c r="S37" t="s">
        <v>1932</v>
      </c>
      <c r="T37" t="s">
        <v>1933</v>
      </c>
      <c r="U37" t="s">
        <v>1118</v>
      </c>
      <c r="V37" t="s">
        <v>1934</v>
      </c>
      <c r="W37" t="s">
        <v>1935</v>
      </c>
      <c r="X37" t="s">
        <v>1936</v>
      </c>
      <c r="Y37" t="s">
        <v>1937</v>
      </c>
      <c r="Z37" t="s">
        <v>1938</v>
      </c>
      <c r="AA37" t="s">
        <v>1939</v>
      </c>
      <c r="AB37" t="s">
        <v>1940</v>
      </c>
      <c r="AC37" t="s">
        <v>1941</v>
      </c>
      <c r="AD37" t="s">
        <v>1942</v>
      </c>
      <c r="AE37" t="s">
        <v>1943</v>
      </c>
      <c r="AF37" t="s">
        <v>1944</v>
      </c>
      <c r="AG37" t="s">
        <v>1945</v>
      </c>
      <c r="AH37" t="s">
        <v>1946</v>
      </c>
      <c r="AI37" t="s">
        <v>1947</v>
      </c>
      <c r="AJ37" t="s">
        <v>1948</v>
      </c>
      <c r="AK37" t="s">
        <v>1949</v>
      </c>
      <c r="AL37" t="s">
        <v>1950</v>
      </c>
      <c r="AM37" t="s">
        <v>1951</v>
      </c>
      <c r="AN37" t="s">
        <v>1952</v>
      </c>
      <c r="AO37" t="s">
        <v>1953</v>
      </c>
      <c r="AP37" t="s">
        <v>1954</v>
      </c>
      <c r="AQ37" t="s">
        <v>1955</v>
      </c>
      <c r="AR37" t="s">
        <v>1956</v>
      </c>
      <c r="AS37" t="s">
        <v>1957</v>
      </c>
      <c r="AT37" t="s">
        <v>1958</v>
      </c>
      <c r="AU37" t="s">
        <v>1959</v>
      </c>
      <c r="AV37" t="s">
        <v>1960</v>
      </c>
      <c r="AW37" t="s">
        <v>1961</v>
      </c>
      <c r="AX37" t="s">
        <v>1962</v>
      </c>
      <c r="AY37" t="s">
        <v>1963</v>
      </c>
      <c r="AZ37" t="s">
        <v>1964</v>
      </c>
      <c r="BA37" t="s">
        <v>1965</v>
      </c>
      <c r="BB37" t="s">
        <v>1966</v>
      </c>
      <c r="BC37" t="s">
        <v>1967</v>
      </c>
      <c r="BD37" t="s">
        <v>1968</v>
      </c>
      <c r="BE37" t="s">
        <v>1969</v>
      </c>
      <c r="BF37" t="s">
        <v>1970</v>
      </c>
      <c r="BG37" t="s">
        <v>1971</v>
      </c>
      <c r="BH37" t="s">
        <v>1972</v>
      </c>
      <c r="BI37" t="s">
        <v>1973</v>
      </c>
      <c r="BJ37" t="s">
        <v>1974</v>
      </c>
      <c r="BK37" t="s">
        <v>1975</v>
      </c>
      <c r="BL37" t="s">
        <v>1976</v>
      </c>
      <c r="BM37" t="s">
        <v>1977</v>
      </c>
      <c r="BN37" t="s">
        <v>1978</v>
      </c>
      <c r="BO37" t="s">
        <v>1979</v>
      </c>
      <c r="BP37" t="s">
        <v>1980</v>
      </c>
      <c r="BQ37" t="s">
        <v>1981</v>
      </c>
      <c r="BR37" t="s">
        <v>1982</v>
      </c>
      <c r="BS37" t="s">
        <v>1983</v>
      </c>
      <c r="BT37" t="s">
        <v>1984</v>
      </c>
      <c r="BU37" t="s">
        <v>1985</v>
      </c>
      <c r="BV37" t="s">
        <v>1986</v>
      </c>
      <c r="BW37" t="s">
        <v>1987</v>
      </c>
      <c r="BX37" t="s">
        <v>1988</v>
      </c>
      <c r="BY37" t="s">
        <v>1989</v>
      </c>
      <c r="BZ37" t="s">
        <v>1990</v>
      </c>
      <c r="CA37" t="s">
        <v>1991</v>
      </c>
      <c r="CB37" t="s">
        <v>1992</v>
      </c>
      <c r="CC37" t="s">
        <v>1993</v>
      </c>
      <c r="CD37" t="s">
        <v>1994</v>
      </c>
      <c r="CE37" t="s">
        <v>1995</v>
      </c>
      <c r="CF37" t="s">
        <v>1996</v>
      </c>
      <c r="CG37" t="s">
        <v>1997</v>
      </c>
      <c r="CH37" t="s">
        <v>1998</v>
      </c>
      <c r="CI37" t="s">
        <v>1999</v>
      </c>
      <c r="CJ37" t="s">
        <v>2000</v>
      </c>
      <c r="CK37" t="s">
        <v>2001</v>
      </c>
      <c r="CL37" t="s">
        <v>2002</v>
      </c>
      <c r="CM37" t="s">
        <v>2003</v>
      </c>
      <c r="CN37" t="s">
        <v>2004</v>
      </c>
      <c r="CO37" t="s">
        <v>2005</v>
      </c>
      <c r="CP37" t="s">
        <v>2006</v>
      </c>
      <c r="CQ37" t="s">
        <v>2007</v>
      </c>
      <c r="CR37" t="s">
        <v>2008</v>
      </c>
      <c r="CS37" t="s">
        <v>2009</v>
      </c>
      <c r="CT37" t="s">
        <v>2010</v>
      </c>
      <c r="CU37" t="s">
        <v>2011</v>
      </c>
      <c r="CV37" t="s">
        <v>2012</v>
      </c>
      <c r="CW37" t="s">
        <v>2013</v>
      </c>
      <c r="CX37" t="s">
        <v>2014</v>
      </c>
      <c r="CY37" t="s">
        <v>2015</v>
      </c>
      <c r="CZ37" t="s">
        <v>2016</v>
      </c>
      <c r="DA37" t="s">
        <v>2017</v>
      </c>
      <c r="DB37" t="s">
        <v>2018</v>
      </c>
      <c r="DC37" t="s">
        <v>2019</v>
      </c>
      <c r="DD37" t="s">
        <v>2020</v>
      </c>
      <c r="DE37" t="s">
        <v>2021</v>
      </c>
      <c r="DF37" t="s">
        <v>2022</v>
      </c>
      <c r="DG37" t="s">
        <v>2023</v>
      </c>
      <c r="DH37" t="s">
        <v>2024</v>
      </c>
      <c r="DI37" t="s">
        <v>2025</v>
      </c>
      <c r="DJ37" t="s">
        <v>2026</v>
      </c>
      <c r="DK37">
        <f t="shared" si="1"/>
        <v>181.82531112167541</v>
      </c>
      <c r="DL37">
        <f t="shared" si="3"/>
        <v>181825.31112167542</v>
      </c>
      <c r="DM37" t="s">
        <v>2027</v>
      </c>
      <c r="DN37" t="s">
        <v>2028</v>
      </c>
      <c r="DO37" t="s">
        <v>2029</v>
      </c>
      <c r="DP37" t="s">
        <v>2030</v>
      </c>
      <c r="DQ37" t="s">
        <v>2031</v>
      </c>
      <c r="DR37" t="s">
        <v>2032</v>
      </c>
      <c r="DS37" t="s">
        <v>2033</v>
      </c>
      <c r="DT37" t="s">
        <v>2034</v>
      </c>
      <c r="DU37" t="s">
        <v>2035</v>
      </c>
      <c r="DV37" t="s">
        <v>2036</v>
      </c>
      <c r="DW37" t="s">
        <v>2037</v>
      </c>
      <c r="DX37" t="s">
        <v>2038</v>
      </c>
      <c r="DY37" t="s">
        <v>2039</v>
      </c>
      <c r="DZ37" t="s">
        <v>2040</v>
      </c>
      <c r="EA37" t="s">
        <v>2041</v>
      </c>
      <c r="EB37" t="s">
        <v>2042</v>
      </c>
      <c r="EC37" t="s">
        <v>2043</v>
      </c>
      <c r="ED37" t="s">
        <v>2044</v>
      </c>
      <c r="EE37" t="s">
        <v>2045</v>
      </c>
      <c r="EF37" t="s">
        <v>2046</v>
      </c>
      <c r="EG37" t="s">
        <v>2047</v>
      </c>
      <c r="EH37" t="s">
        <v>2048</v>
      </c>
      <c r="EI37" t="s">
        <v>2049</v>
      </c>
      <c r="EJ37" t="s">
        <v>2050</v>
      </c>
      <c r="EK37" t="s">
        <v>2051</v>
      </c>
      <c r="EL37" t="s">
        <v>2052</v>
      </c>
      <c r="EM37" t="s">
        <v>2053</v>
      </c>
      <c r="EN37" t="s">
        <v>2054</v>
      </c>
      <c r="EO37" t="s">
        <v>2055</v>
      </c>
      <c r="EP37" t="s">
        <v>2056</v>
      </c>
      <c r="EQ37" t="s">
        <v>2057</v>
      </c>
      <c r="ER37" t="s">
        <v>2058</v>
      </c>
      <c r="ES37" t="s">
        <v>2059</v>
      </c>
      <c r="ET37" t="s">
        <v>2060</v>
      </c>
      <c r="EU37" t="s">
        <v>2061</v>
      </c>
      <c r="EV37" t="s">
        <v>2062</v>
      </c>
      <c r="EW37" t="s">
        <v>2063</v>
      </c>
      <c r="EX37" t="s">
        <v>2064</v>
      </c>
      <c r="EY37" t="s">
        <v>2065</v>
      </c>
      <c r="EZ37" t="s">
        <v>2066</v>
      </c>
      <c r="FA37" t="s">
        <v>2067</v>
      </c>
      <c r="FB37" t="s">
        <v>2068</v>
      </c>
      <c r="FC37" t="s">
        <v>2069</v>
      </c>
      <c r="FD37" t="s">
        <v>2070</v>
      </c>
      <c r="FE37" t="s">
        <v>2071</v>
      </c>
      <c r="FF37" t="s">
        <v>2072</v>
      </c>
    </row>
    <row r="38" spans="1:162" x14ac:dyDescent="0.25">
      <c r="A38" t="s">
        <v>929</v>
      </c>
      <c r="B38" t="s">
        <v>929</v>
      </c>
      <c r="C38" t="s">
        <v>929</v>
      </c>
      <c r="D38" t="s">
        <v>929</v>
      </c>
      <c r="E38" t="s">
        <v>929</v>
      </c>
      <c r="F38" t="s">
        <v>929</v>
      </c>
      <c r="G38" t="s">
        <v>929</v>
      </c>
      <c r="H38" t="s">
        <v>929</v>
      </c>
      <c r="I38" t="s">
        <v>929</v>
      </c>
      <c r="J38" t="s">
        <v>929</v>
      </c>
      <c r="K38" t="s">
        <v>929</v>
      </c>
      <c r="L38" t="s">
        <v>929</v>
      </c>
      <c r="M38" t="s">
        <v>929</v>
      </c>
      <c r="N38" t="s">
        <v>929</v>
      </c>
      <c r="O38" t="s">
        <v>929</v>
      </c>
      <c r="P38" t="s">
        <v>929</v>
      </c>
      <c r="Q38" t="s">
        <v>929</v>
      </c>
      <c r="R38" t="s">
        <v>929</v>
      </c>
      <c r="S38" t="s">
        <v>929</v>
      </c>
      <c r="T38" t="s">
        <v>929</v>
      </c>
      <c r="U38" t="s">
        <v>929</v>
      </c>
      <c r="V38" t="s">
        <v>929</v>
      </c>
      <c r="W38" t="s">
        <v>929</v>
      </c>
      <c r="X38" t="s">
        <v>929</v>
      </c>
      <c r="Y38" t="s">
        <v>929</v>
      </c>
      <c r="Z38" t="s">
        <v>929</v>
      </c>
      <c r="AA38" t="s">
        <v>929</v>
      </c>
      <c r="AB38" t="s">
        <v>929</v>
      </c>
      <c r="AC38" t="s">
        <v>929</v>
      </c>
      <c r="AD38" t="s">
        <v>929</v>
      </c>
      <c r="AE38" t="s">
        <v>929</v>
      </c>
      <c r="AF38" t="s">
        <v>929</v>
      </c>
      <c r="AG38" t="s">
        <v>929</v>
      </c>
      <c r="AH38" t="s">
        <v>929</v>
      </c>
      <c r="AI38" t="s">
        <v>929</v>
      </c>
      <c r="AJ38" t="s">
        <v>929</v>
      </c>
      <c r="AK38" t="s">
        <v>929</v>
      </c>
      <c r="AL38" t="s">
        <v>929</v>
      </c>
      <c r="AM38" t="s">
        <v>929</v>
      </c>
      <c r="AN38" t="s">
        <v>929</v>
      </c>
      <c r="AO38" t="s">
        <v>929</v>
      </c>
      <c r="AP38" t="s">
        <v>929</v>
      </c>
      <c r="AQ38" t="s">
        <v>929</v>
      </c>
      <c r="AR38" t="s">
        <v>929</v>
      </c>
      <c r="AS38" t="s">
        <v>929</v>
      </c>
      <c r="AT38" t="s">
        <v>929</v>
      </c>
      <c r="AU38" t="s">
        <v>929</v>
      </c>
      <c r="AV38" t="s">
        <v>929</v>
      </c>
      <c r="AW38" t="s">
        <v>929</v>
      </c>
      <c r="AX38" t="s">
        <v>929</v>
      </c>
      <c r="AY38" t="s">
        <v>929</v>
      </c>
      <c r="AZ38" t="s">
        <v>929</v>
      </c>
      <c r="BA38" t="s">
        <v>929</v>
      </c>
      <c r="BB38" t="s">
        <v>929</v>
      </c>
      <c r="BC38" t="s">
        <v>929</v>
      </c>
      <c r="BD38" t="s">
        <v>929</v>
      </c>
      <c r="BE38" t="s">
        <v>929</v>
      </c>
      <c r="BF38" t="s">
        <v>929</v>
      </c>
      <c r="BG38" t="s">
        <v>929</v>
      </c>
      <c r="BH38" t="s">
        <v>929</v>
      </c>
      <c r="BI38" t="s">
        <v>929</v>
      </c>
      <c r="BJ38" t="s">
        <v>929</v>
      </c>
      <c r="BK38" t="s">
        <v>929</v>
      </c>
      <c r="BL38" t="s">
        <v>929</v>
      </c>
      <c r="BM38" t="s">
        <v>929</v>
      </c>
      <c r="BN38" t="s">
        <v>929</v>
      </c>
      <c r="BO38" t="s">
        <v>929</v>
      </c>
      <c r="BP38" t="s">
        <v>929</v>
      </c>
      <c r="BQ38" t="s">
        <v>929</v>
      </c>
      <c r="BR38" t="s">
        <v>929</v>
      </c>
      <c r="BS38" t="s">
        <v>929</v>
      </c>
      <c r="BT38" t="s">
        <v>929</v>
      </c>
      <c r="BU38" t="s">
        <v>929</v>
      </c>
      <c r="BV38" t="s">
        <v>929</v>
      </c>
      <c r="BW38" t="s">
        <v>929</v>
      </c>
      <c r="BX38" t="s">
        <v>929</v>
      </c>
      <c r="BY38" t="s">
        <v>929</v>
      </c>
      <c r="BZ38" t="s">
        <v>929</v>
      </c>
      <c r="CA38" t="s">
        <v>929</v>
      </c>
      <c r="CB38" t="s">
        <v>929</v>
      </c>
      <c r="CC38" t="s">
        <v>929</v>
      </c>
      <c r="CD38" t="s">
        <v>929</v>
      </c>
      <c r="CE38" t="s">
        <v>929</v>
      </c>
      <c r="CF38" t="s">
        <v>929</v>
      </c>
      <c r="CG38" t="s">
        <v>929</v>
      </c>
      <c r="CH38" t="s">
        <v>929</v>
      </c>
      <c r="CI38" t="s">
        <v>929</v>
      </c>
      <c r="CJ38" t="s">
        <v>929</v>
      </c>
      <c r="CK38" t="s">
        <v>929</v>
      </c>
      <c r="CL38" t="s">
        <v>929</v>
      </c>
      <c r="CM38" t="s">
        <v>929</v>
      </c>
      <c r="CN38" t="s">
        <v>929</v>
      </c>
      <c r="CO38" t="s">
        <v>929</v>
      </c>
      <c r="CP38" t="s">
        <v>929</v>
      </c>
      <c r="CQ38" t="s">
        <v>929</v>
      </c>
      <c r="CR38" t="s">
        <v>929</v>
      </c>
      <c r="CS38" t="s">
        <v>929</v>
      </c>
      <c r="CT38" t="s">
        <v>929</v>
      </c>
      <c r="CU38" t="s">
        <v>929</v>
      </c>
      <c r="CV38" t="s">
        <v>929</v>
      </c>
      <c r="CW38" t="s">
        <v>929</v>
      </c>
      <c r="CX38" t="s">
        <v>929</v>
      </c>
      <c r="CY38" t="s">
        <v>929</v>
      </c>
      <c r="CZ38" t="s">
        <v>929</v>
      </c>
      <c r="DA38" t="s">
        <v>929</v>
      </c>
      <c r="DB38" t="s">
        <v>929</v>
      </c>
      <c r="DC38" t="s">
        <v>929</v>
      </c>
      <c r="DD38" t="s">
        <v>929</v>
      </c>
      <c r="DE38" t="s">
        <v>929</v>
      </c>
      <c r="DF38" t="s">
        <v>929</v>
      </c>
      <c r="DG38" t="s">
        <v>929</v>
      </c>
      <c r="DH38" t="s">
        <v>929</v>
      </c>
      <c r="DI38" t="s">
        <v>929</v>
      </c>
      <c r="DJ38" t="s">
        <v>929</v>
      </c>
      <c r="DM38" t="s">
        <v>929</v>
      </c>
      <c r="DN38" t="s">
        <v>929</v>
      </c>
      <c r="DO38" t="s">
        <v>929</v>
      </c>
      <c r="DP38" t="s">
        <v>929</v>
      </c>
      <c r="DQ38" t="s">
        <v>929</v>
      </c>
      <c r="DR38" t="s">
        <v>929</v>
      </c>
      <c r="DS38" t="s">
        <v>929</v>
      </c>
      <c r="DT38" t="s">
        <v>929</v>
      </c>
      <c r="DU38" t="s">
        <v>929</v>
      </c>
      <c r="DV38" t="s">
        <v>929</v>
      </c>
      <c r="DW38" t="s">
        <v>929</v>
      </c>
      <c r="DX38" t="s">
        <v>929</v>
      </c>
      <c r="DY38" t="s">
        <v>929</v>
      </c>
      <c r="DZ38" t="s">
        <v>929</v>
      </c>
      <c r="EA38" t="s">
        <v>929</v>
      </c>
      <c r="EB38" t="s">
        <v>929</v>
      </c>
      <c r="EC38" t="s">
        <v>929</v>
      </c>
      <c r="ED38" t="s">
        <v>929</v>
      </c>
      <c r="EE38" t="s">
        <v>929</v>
      </c>
      <c r="EF38" t="s">
        <v>929</v>
      </c>
      <c r="EG38" t="s">
        <v>929</v>
      </c>
      <c r="EH38" t="s">
        <v>929</v>
      </c>
      <c r="EI38" t="s">
        <v>929</v>
      </c>
      <c r="EJ38" t="s">
        <v>929</v>
      </c>
      <c r="EK38" t="s">
        <v>929</v>
      </c>
      <c r="EL38" t="s">
        <v>929</v>
      </c>
      <c r="EM38" t="s">
        <v>929</v>
      </c>
      <c r="EN38" t="s">
        <v>929</v>
      </c>
      <c r="EO38" t="s">
        <v>929</v>
      </c>
      <c r="EP38" t="s">
        <v>929</v>
      </c>
      <c r="EQ38" t="s">
        <v>929</v>
      </c>
      <c r="ER38" t="s">
        <v>929</v>
      </c>
      <c r="ES38" t="s">
        <v>929</v>
      </c>
      <c r="ET38" t="s">
        <v>929</v>
      </c>
      <c r="EU38" t="s">
        <v>929</v>
      </c>
      <c r="EV38" t="s">
        <v>929</v>
      </c>
      <c r="EW38" t="s">
        <v>929</v>
      </c>
      <c r="EX38" t="s">
        <v>929</v>
      </c>
      <c r="EY38" t="s">
        <v>929</v>
      </c>
      <c r="EZ38" t="s">
        <v>929</v>
      </c>
      <c r="FA38" t="s">
        <v>929</v>
      </c>
      <c r="FB38" t="s">
        <v>929</v>
      </c>
      <c r="FC38" t="s">
        <v>929</v>
      </c>
      <c r="FD38" t="s">
        <v>929</v>
      </c>
      <c r="FE38" t="s">
        <v>929</v>
      </c>
      <c r="FF38" t="s">
        <v>929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60C0-F151-A849-ADD1-8F213A0D1A96}">
  <dimension ref="A1:FN108"/>
  <sheetViews>
    <sheetView workbookViewId="0">
      <selection activeCell="H2" sqref="H2"/>
    </sheetView>
  </sheetViews>
  <sheetFormatPr defaultColWidth="11" defaultRowHeight="15.75" x14ac:dyDescent="0.25"/>
  <cols>
    <col min="1" max="1" width="11.5" customWidth="1"/>
    <col min="2" max="2" width="4" customWidth="1"/>
    <col min="3" max="3" width="9.625" customWidth="1"/>
    <col min="4" max="4" width="8.875" customWidth="1"/>
    <col min="5" max="5" width="5.875" customWidth="1"/>
    <col min="6" max="6" width="9.5" customWidth="1"/>
    <col min="7" max="7" width="15.125" customWidth="1"/>
    <col min="8" max="8" width="38.375" bestFit="1" customWidth="1"/>
    <col min="9" max="9" width="61.875" bestFit="1" customWidth="1"/>
    <col min="10" max="10" width="12.125" bestFit="1" customWidth="1"/>
    <col min="11" max="11" width="26.375" bestFit="1" customWidth="1"/>
    <col min="12" max="12" width="45.125" bestFit="1" customWidth="1"/>
    <col min="13" max="13" width="27.625" bestFit="1" customWidth="1"/>
    <col min="14" max="14" width="12.125" bestFit="1" customWidth="1"/>
    <col min="15" max="15" width="12" bestFit="1" customWidth="1"/>
    <col min="16" max="16" width="12.1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75" bestFit="1" customWidth="1"/>
    <col min="23" max="23" width="62.5" bestFit="1" customWidth="1"/>
    <col min="24" max="24" width="58.875" bestFit="1" customWidth="1"/>
    <col min="25" max="25" width="12.125" bestFit="1" customWidth="1"/>
    <col min="26" max="26" width="20.5" bestFit="1" customWidth="1"/>
    <col min="27" max="27" width="12.125" bestFit="1" customWidth="1"/>
    <col min="28" max="28" width="48.625" bestFit="1" customWidth="1"/>
    <col min="29" max="29" width="22.125" bestFit="1" customWidth="1"/>
    <col min="30" max="30" width="12.125" bestFit="1" customWidth="1"/>
    <col min="31" max="31" width="28.5" bestFit="1" customWidth="1"/>
    <col min="32" max="32" width="40.875" bestFit="1" customWidth="1"/>
    <col min="33" max="33" width="19.875" bestFit="1" customWidth="1"/>
    <col min="34" max="35" width="30.375" bestFit="1" customWidth="1"/>
    <col min="36" max="36" width="22.625" bestFit="1" customWidth="1"/>
    <col min="37" max="37" width="22.375" bestFit="1" customWidth="1"/>
    <col min="38" max="38" width="21.5" bestFit="1" customWidth="1"/>
    <col min="39" max="39" width="20.5" bestFit="1" customWidth="1"/>
    <col min="40" max="40" width="24" bestFit="1" customWidth="1"/>
    <col min="41" max="41" width="27.5" bestFit="1" customWidth="1"/>
    <col min="42" max="42" width="20.625" bestFit="1" customWidth="1"/>
    <col min="43" max="43" width="12.125" bestFit="1" customWidth="1"/>
    <col min="44" max="44" width="36.5" bestFit="1" customWidth="1"/>
    <col min="45" max="45" width="24.5" bestFit="1" customWidth="1"/>
    <col min="46" max="47" width="27.5" bestFit="1" customWidth="1"/>
    <col min="48" max="48" width="28.125" bestFit="1" customWidth="1"/>
    <col min="49" max="49" width="27.875" bestFit="1" customWidth="1"/>
    <col min="50" max="50" width="44.875" bestFit="1" customWidth="1"/>
    <col min="51" max="51" width="12.125" bestFit="1" customWidth="1"/>
    <col min="52" max="52" width="44" bestFit="1" customWidth="1"/>
    <col min="53" max="53" width="16.5" bestFit="1" customWidth="1"/>
    <col min="54" max="54" width="17" bestFit="1" customWidth="1"/>
    <col min="55" max="55" width="12.125" bestFit="1" customWidth="1"/>
    <col min="56" max="56" width="17" bestFit="1" customWidth="1"/>
    <col min="57" max="57" width="12.375" bestFit="1" customWidth="1"/>
    <col min="58" max="58" width="46.625" bestFit="1" customWidth="1"/>
    <col min="59" max="59" width="12.125" bestFit="1" customWidth="1"/>
    <col min="60" max="60" width="12.375" bestFit="1" customWidth="1"/>
    <col min="61" max="61" width="12.125" bestFit="1" customWidth="1"/>
    <col min="62" max="62" width="44.625" bestFit="1" customWidth="1"/>
    <col min="63" max="63" width="23.5" bestFit="1" customWidth="1"/>
    <col min="64" max="64" width="12.125" bestFit="1" customWidth="1"/>
    <col min="65" max="65" width="30.5" bestFit="1" customWidth="1"/>
    <col min="66" max="66" width="43.625" bestFit="1" customWidth="1"/>
    <col min="67" max="67" width="21.125" bestFit="1" customWidth="1"/>
    <col min="68" max="68" width="33.125" bestFit="1" customWidth="1"/>
    <col min="69" max="69" width="31.875" bestFit="1" customWidth="1"/>
    <col min="70" max="70" width="24" bestFit="1" customWidth="1"/>
    <col min="71" max="71" width="23.625" bestFit="1" customWidth="1"/>
    <col min="72" max="72" width="22.875" bestFit="1" customWidth="1"/>
    <col min="73" max="73" width="22" bestFit="1" customWidth="1"/>
    <col min="74" max="74" width="25.375" bestFit="1" customWidth="1"/>
    <col min="75" max="75" width="28.875" bestFit="1" customWidth="1"/>
    <col min="76" max="76" width="22.125" bestFit="1" customWidth="1"/>
    <col min="77" max="77" width="12.125" bestFit="1" customWidth="1"/>
    <col min="78" max="78" width="32.375" bestFit="1" customWidth="1"/>
    <col min="79" max="79" width="25.875" bestFit="1" customWidth="1"/>
    <col min="80" max="81" width="28.875" bestFit="1" customWidth="1"/>
    <col min="82" max="82" width="29.5" bestFit="1" customWidth="1"/>
    <col min="83" max="83" width="29.125" bestFit="1" customWidth="1"/>
    <col min="84" max="84" width="47.625" bestFit="1" customWidth="1"/>
    <col min="85" max="85" width="12.125" bestFit="1" customWidth="1"/>
    <col min="86" max="86" width="34.875" bestFit="1" customWidth="1"/>
    <col min="87" max="87" width="17.5" bestFit="1" customWidth="1"/>
    <col min="88" max="88" width="18" bestFit="1" customWidth="1"/>
    <col min="89" max="89" width="12.875" bestFit="1" customWidth="1"/>
    <col min="90" max="90" width="18" bestFit="1" customWidth="1"/>
    <col min="91" max="91" width="13.375" bestFit="1" customWidth="1"/>
    <col min="92" max="92" width="47.625" bestFit="1" customWidth="1"/>
    <col min="93" max="93" width="12.125" bestFit="1" customWidth="1"/>
    <col min="94" max="94" width="30" bestFit="1" customWidth="1"/>
    <col min="95" max="95" width="12.125" bestFit="1" customWidth="1"/>
    <col min="96" max="96" width="48.375" bestFit="1" customWidth="1"/>
    <col min="97" max="97" width="37.625" bestFit="1" customWidth="1"/>
    <col min="98" max="99" width="40.5" bestFit="1" customWidth="1"/>
    <col min="100" max="100" width="41.125" bestFit="1" customWidth="1"/>
    <col min="101" max="101" width="40.875" bestFit="1" customWidth="1"/>
    <col min="102" max="102" width="47.625" bestFit="1" customWidth="1"/>
    <col min="103" max="103" width="13.125" bestFit="1" customWidth="1"/>
    <col min="104" max="104" width="56.375" bestFit="1" customWidth="1"/>
    <col min="105" max="106" width="40" bestFit="1" customWidth="1"/>
    <col min="107" max="107" width="40.625" bestFit="1" customWidth="1"/>
    <col min="108" max="108" width="40.375" bestFit="1" customWidth="1"/>
    <col min="109" max="109" width="13.125" bestFit="1" customWidth="1"/>
    <col min="110" max="110" width="42.5" bestFit="1" customWidth="1"/>
    <col min="111" max="111" width="39.125" bestFit="1" customWidth="1"/>
    <col min="112" max="113" width="42.125" bestFit="1" customWidth="1"/>
    <col min="114" max="114" width="42.875" bestFit="1" customWidth="1"/>
    <col min="115" max="115" width="42.5" bestFit="1" customWidth="1"/>
    <col min="116" max="116" width="47.625" bestFit="1" customWidth="1"/>
    <col min="117" max="117" width="13.125" bestFit="1" customWidth="1"/>
    <col min="118" max="118" width="66.875" bestFit="1" customWidth="1"/>
    <col min="119" max="120" width="26.375" bestFit="1" customWidth="1"/>
    <col min="121" max="121" width="27.125" bestFit="1" customWidth="1"/>
    <col min="122" max="122" width="26.875" bestFit="1" customWidth="1"/>
    <col min="123" max="125" width="13.125" bestFit="1" customWidth="1"/>
    <col min="126" max="126" width="45.375" bestFit="1" customWidth="1"/>
    <col min="127" max="127" width="32.5" bestFit="1" customWidth="1"/>
    <col min="128" max="129" width="35.375" bestFit="1" customWidth="1"/>
    <col min="130" max="130" width="36" bestFit="1" customWidth="1"/>
    <col min="131" max="131" width="35.625" bestFit="1" customWidth="1"/>
    <col min="132" max="132" width="47.625" bestFit="1" customWidth="1"/>
    <col min="133" max="133" width="13.125" bestFit="1" customWidth="1"/>
    <col min="134" max="134" width="53.125" bestFit="1" customWidth="1"/>
    <col min="135" max="136" width="34.875" bestFit="1" customWidth="1"/>
    <col min="137" max="137" width="35.5" bestFit="1" customWidth="1"/>
    <col min="138" max="138" width="35.125" bestFit="1" customWidth="1"/>
    <col min="139" max="139" width="13.125" bestFit="1" customWidth="1"/>
    <col min="140" max="140" width="39.5" bestFit="1" customWidth="1"/>
    <col min="141" max="141" width="34" bestFit="1" customWidth="1"/>
    <col min="142" max="143" width="37" bestFit="1" customWidth="1"/>
    <col min="144" max="144" width="37.625" bestFit="1" customWidth="1"/>
    <col min="145" max="145" width="37.375" bestFit="1" customWidth="1"/>
    <col min="146" max="146" width="47.625" bestFit="1" customWidth="1"/>
    <col min="147" max="149" width="13.125" bestFit="1" customWidth="1"/>
    <col min="150" max="150" width="41.5" bestFit="1" customWidth="1"/>
    <col min="151" max="151" width="34.375" bestFit="1" customWidth="1"/>
    <col min="152" max="153" width="37.375" bestFit="1" customWidth="1"/>
    <col min="154" max="154" width="38" bestFit="1" customWidth="1"/>
    <col min="155" max="155" width="37.625" bestFit="1" customWidth="1"/>
    <col min="156" max="156" width="47.625" bestFit="1" customWidth="1"/>
    <col min="157" max="157" width="13.125" bestFit="1" customWidth="1"/>
    <col min="158" max="158" width="49.375" bestFit="1" customWidth="1"/>
    <col min="159" max="160" width="36.625" bestFit="1" customWidth="1"/>
    <col min="161" max="161" width="37.5" bestFit="1" customWidth="1"/>
    <col min="162" max="162" width="37.125" bestFit="1" customWidth="1"/>
    <col min="163" max="163" width="13.125" bestFit="1" customWidth="1"/>
    <col min="164" max="164" width="35.625" bestFit="1" customWidth="1"/>
    <col min="165" max="165" width="35.875" bestFit="1" customWidth="1"/>
    <col min="166" max="167" width="38.875" bestFit="1" customWidth="1"/>
    <col min="168" max="168" width="39.5" bestFit="1" customWidth="1"/>
    <col min="169" max="169" width="39.125" bestFit="1" customWidth="1"/>
    <col min="170" max="170" width="47.625" bestFit="1" customWidth="1"/>
  </cols>
  <sheetData>
    <row r="1" spans="1:170" x14ac:dyDescent="0.25">
      <c r="A1" t="s">
        <v>768</v>
      </c>
      <c r="B1" t="s">
        <v>117</v>
      </c>
      <c r="C1" t="s">
        <v>210</v>
      </c>
      <c r="D1" t="s">
        <v>211</v>
      </c>
      <c r="E1" t="s">
        <v>120</v>
      </c>
      <c r="F1" t="s">
        <v>212</v>
      </c>
      <c r="G1" t="s">
        <v>213</v>
      </c>
      <c r="H1" t="s">
        <v>214</v>
      </c>
      <c r="I1" t="s">
        <v>215</v>
      </c>
      <c r="J1" t="s">
        <v>125</v>
      </c>
      <c r="K1" t="s">
        <v>216</v>
      </c>
      <c r="L1" t="s">
        <v>217</v>
      </c>
      <c r="M1" t="s">
        <v>218</v>
      </c>
      <c r="N1" t="s">
        <v>129</v>
      </c>
      <c r="O1" t="s">
        <v>219</v>
      </c>
      <c r="P1" t="s">
        <v>131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140</v>
      </c>
      <c r="Z1" t="s">
        <v>228</v>
      </c>
      <c r="AA1" t="s">
        <v>142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  <c r="AY1" t="s">
        <v>252</v>
      </c>
      <c r="AZ1" t="s">
        <v>253</v>
      </c>
      <c r="BA1" t="s">
        <v>254</v>
      </c>
      <c r="BB1" t="s">
        <v>255</v>
      </c>
      <c r="BC1" t="s">
        <v>256</v>
      </c>
      <c r="BD1" t="s">
        <v>257</v>
      </c>
      <c r="BE1" t="s">
        <v>258</v>
      </c>
      <c r="BF1" t="s">
        <v>259</v>
      </c>
      <c r="BG1" t="s">
        <v>260</v>
      </c>
      <c r="BH1" t="s">
        <v>261</v>
      </c>
      <c r="BI1" t="s">
        <v>262</v>
      </c>
      <c r="BJ1" t="s">
        <v>263</v>
      </c>
      <c r="BK1" t="s">
        <v>264</v>
      </c>
      <c r="BL1" t="s">
        <v>265</v>
      </c>
      <c r="BM1" t="s">
        <v>266</v>
      </c>
      <c r="BN1" t="s">
        <v>267</v>
      </c>
      <c r="BO1" t="s">
        <v>268</v>
      </c>
      <c r="BP1" t="s">
        <v>269</v>
      </c>
      <c r="BQ1" t="s">
        <v>270</v>
      </c>
      <c r="BR1" t="s">
        <v>271</v>
      </c>
      <c r="BS1" t="s">
        <v>272</v>
      </c>
      <c r="BT1" t="s">
        <v>273</v>
      </c>
      <c r="BU1" t="s">
        <v>274</v>
      </c>
      <c r="BV1" t="s">
        <v>275</v>
      </c>
      <c r="BW1" t="s">
        <v>276</v>
      </c>
      <c r="BX1" t="s">
        <v>277</v>
      </c>
      <c r="BY1" t="s">
        <v>278</v>
      </c>
      <c r="BZ1" t="s">
        <v>279</v>
      </c>
      <c r="CA1" t="s">
        <v>280</v>
      </c>
      <c r="CB1" t="s">
        <v>281</v>
      </c>
      <c r="CC1" t="s">
        <v>282</v>
      </c>
      <c r="CD1" t="s">
        <v>283</v>
      </c>
      <c r="CE1" t="s">
        <v>284</v>
      </c>
      <c r="CF1" t="s">
        <v>285</v>
      </c>
      <c r="CG1" t="s">
        <v>286</v>
      </c>
      <c r="CH1" t="s">
        <v>287</v>
      </c>
      <c r="CI1" t="s">
        <v>288</v>
      </c>
      <c r="CJ1" t="s">
        <v>289</v>
      </c>
      <c r="CK1" t="s">
        <v>290</v>
      </c>
      <c r="CL1" t="s">
        <v>291</v>
      </c>
      <c r="CM1" t="s">
        <v>292</v>
      </c>
      <c r="CN1" t="s">
        <v>293</v>
      </c>
      <c r="CO1" t="s">
        <v>294</v>
      </c>
      <c r="CP1" t="s">
        <v>295</v>
      </c>
      <c r="CQ1" t="s">
        <v>296</v>
      </c>
      <c r="CR1" t="s">
        <v>297</v>
      </c>
      <c r="CS1" t="s">
        <v>298</v>
      </c>
      <c r="CT1" t="s">
        <v>299</v>
      </c>
      <c r="CU1" t="s">
        <v>300</v>
      </c>
      <c r="CV1" t="s">
        <v>301</v>
      </c>
      <c r="CW1" t="s">
        <v>302</v>
      </c>
      <c r="CX1" t="s">
        <v>303</v>
      </c>
      <c r="CY1" t="s">
        <v>304</v>
      </c>
      <c r="CZ1" t="s">
        <v>305</v>
      </c>
      <c r="DA1" t="s">
        <v>306</v>
      </c>
      <c r="DB1" t="s">
        <v>307</v>
      </c>
      <c r="DC1" t="s">
        <v>308</v>
      </c>
      <c r="DD1" t="s">
        <v>309</v>
      </c>
      <c r="DE1" t="s">
        <v>310</v>
      </c>
      <c r="DF1" t="s">
        <v>311</v>
      </c>
      <c r="DG1" t="s">
        <v>312</v>
      </c>
      <c r="DH1" t="s">
        <v>313</v>
      </c>
      <c r="DI1" t="s">
        <v>314</v>
      </c>
      <c r="DJ1" t="s">
        <v>315</v>
      </c>
      <c r="DK1" t="s">
        <v>316</v>
      </c>
      <c r="DL1" t="s">
        <v>317</v>
      </c>
      <c r="DM1" t="s">
        <v>318</v>
      </c>
      <c r="DN1" t="s">
        <v>319</v>
      </c>
      <c r="DO1" t="s">
        <v>320</v>
      </c>
      <c r="DP1" t="s">
        <v>321</v>
      </c>
      <c r="DQ1" t="s">
        <v>322</v>
      </c>
      <c r="DR1" t="s">
        <v>323</v>
      </c>
      <c r="DS1" t="s">
        <v>324</v>
      </c>
      <c r="DT1" t="s">
        <v>325</v>
      </c>
      <c r="DU1" t="s">
        <v>326</v>
      </c>
      <c r="DV1" t="s">
        <v>327</v>
      </c>
      <c r="DW1" t="s">
        <v>328</v>
      </c>
      <c r="DX1" t="s">
        <v>329</v>
      </c>
      <c r="DY1" t="s">
        <v>330</v>
      </c>
      <c r="DZ1" t="s">
        <v>331</v>
      </c>
      <c r="EA1" t="s">
        <v>332</v>
      </c>
      <c r="EB1" t="s">
        <v>333</v>
      </c>
      <c r="EC1" t="s">
        <v>334</v>
      </c>
      <c r="ED1" t="s">
        <v>335</v>
      </c>
      <c r="EE1" t="s">
        <v>336</v>
      </c>
      <c r="EF1" t="s">
        <v>337</v>
      </c>
      <c r="EG1" t="s">
        <v>338</v>
      </c>
      <c r="EH1" t="s">
        <v>339</v>
      </c>
      <c r="EI1" t="s">
        <v>340</v>
      </c>
      <c r="EJ1" t="s">
        <v>341</v>
      </c>
      <c r="EK1" t="s">
        <v>342</v>
      </c>
      <c r="EL1" t="s">
        <v>343</v>
      </c>
      <c r="EM1" t="s">
        <v>344</v>
      </c>
      <c r="EN1" t="s">
        <v>345</v>
      </c>
      <c r="EO1" t="s">
        <v>346</v>
      </c>
      <c r="EP1" t="s">
        <v>347</v>
      </c>
      <c r="EQ1" t="s">
        <v>348</v>
      </c>
      <c r="ER1" t="s">
        <v>349</v>
      </c>
      <c r="ES1" t="s">
        <v>350</v>
      </c>
      <c r="ET1" t="s">
        <v>351</v>
      </c>
      <c r="EU1" t="s">
        <v>352</v>
      </c>
      <c r="EV1" t="s">
        <v>353</v>
      </c>
      <c r="EW1" t="s">
        <v>354</v>
      </c>
      <c r="EX1" t="s">
        <v>355</v>
      </c>
      <c r="EY1" t="s">
        <v>356</v>
      </c>
      <c r="EZ1" t="s">
        <v>357</v>
      </c>
      <c r="FA1" t="s">
        <v>358</v>
      </c>
      <c r="FB1" t="s">
        <v>359</v>
      </c>
      <c r="FC1" t="s">
        <v>360</v>
      </c>
      <c r="FD1" t="s">
        <v>361</v>
      </c>
      <c r="FE1" t="s">
        <v>362</v>
      </c>
      <c r="FF1" t="s">
        <v>363</v>
      </c>
      <c r="FG1" t="s">
        <v>364</v>
      </c>
      <c r="FH1" t="s">
        <v>365</v>
      </c>
      <c r="FI1" t="s">
        <v>366</v>
      </c>
      <c r="FJ1" t="s">
        <v>367</v>
      </c>
      <c r="FK1" t="s">
        <v>368</v>
      </c>
      <c r="FL1" t="s">
        <v>369</v>
      </c>
      <c r="FM1" t="s">
        <v>370</v>
      </c>
      <c r="FN1" t="s">
        <v>371</v>
      </c>
    </row>
    <row r="2" spans="1:170" x14ac:dyDescent="0.25">
      <c r="A2">
        <v>1997</v>
      </c>
      <c r="H2" s="1">
        <f>AVERAGE(H3:H5)</f>
        <v>59650.740740740737</v>
      </c>
    </row>
    <row r="3" spans="1:170" x14ac:dyDescent="0.25">
      <c r="A3">
        <v>1998</v>
      </c>
      <c r="H3" s="1">
        <f>AVERAGE(H4:H6)</f>
        <v>58937.555555555555</v>
      </c>
    </row>
    <row r="4" spans="1:170" x14ac:dyDescent="0.25">
      <c r="A4">
        <v>1999</v>
      </c>
      <c r="H4" s="1">
        <f>AVERAGE(H5:H7)</f>
        <v>59682.666666666664</v>
      </c>
    </row>
    <row r="5" spans="1:170" x14ac:dyDescent="0.25">
      <c r="A5">
        <v>2000</v>
      </c>
      <c r="C5">
        <v>62043.38553409298</v>
      </c>
      <c r="D5">
        <v>3777565</v>
      </c>
      <c r="F5">
        <v>1295943</v>
      </c>
      <c r="G5">
        <v>135554.07065733516</v>
      </c>
      <c r="H5" s="1">
        <f>AVERAGE(H6:H8)</f>
        <v>60332</v>
      </c>
      <c r="I5">
        <v>0</v>
      </c>
      <c r="K5">
        <v>2792.71</v>
      </c>
      <c r="L5">
        <v>2750.8304761904765</v>
      </c>
      <c r="M5">
        <v>1.0152243201360489</v>
      </c>
      <c r="Q5">
        <v>2.9149160109665315</v>
      </c>
      <c r="R5">
        <v>35.883980992341669</v>
      </c>
      <c r="S5">
        <v>104.59879073179543</v>
      </c>
      <c r="V5">
        <v>16424.174179423248</v>
      </c>
      <c r="W5">
        <v>47875.088282503923</v>
      </c>
      <c r="X5">
        <v>1.4637034249205461</v>
      </c>
      <c r="AB5">
        <v>2713.223559759243</v>
      </c>
      <c r="AC5">
        <v>553.39561478933786</v>
      </c>
      <c r="AD5">
        <v>1156.5985382631125</v>
      </c>
      <c r="AE5">
        <v>56.683404987102307</v>
      </c>
      <c r="AF5">
        <v>1099.9151332760102</v>
      </c>
      <c r="AG5">
        <v>437.76870163370592</v>
      </c>
      <c r="AH5">
        <v>17.309372312983665</v>
      </c>
      <c r="AI5">
        <v>17.189939810834051</v>
      </c>
      <c r="AJ5">
        <v>0</v>
      </c>
      <c r="AK5">
        <v>0</v>
      </c>
      <c r="AL5">
        <v>0.1194325021496131</v>
      </c>
      <c r="AM5">
        <v>0</v>
      </c>
      <c r="AN5">
        <v>0.18489102292703119</v>
      </c>
      <c r="AO5">
        <v>0</v>
      </c>
      <c r="AP5">
        <v>548.15133276010317</v>
      </c>
      <c r="AR5">
        <v>2713.223559759243</v>
      </c>
      <c r="AS5">
        <v>2430.2514753890691</v>
      </c>
      <c r="AT5">
        <v>1988.65691716896</v>
      </c>
      <c r="AU5">
        <v>0.103149578564889</v>
      </c>
      <c r="AV5">
        <v>386.1224845551609</v>
      </c>
      <c r="AW5">
        <v>55.368924086383295</v>
      </c>
      <c r="AX5">
        <v>282.972084370174</v>
      </c>
      <c r="AZ5">
        <v>1</v>
      </c>
      <c r="BA5">
        <v>0.89570631459676575</v>
      </c>
      <c r="BB5">
        <v>0.73294989276350775</v>
      </c>
      <c r="BC5">
        <v>3.801735326743291E-5</v>
      </c>
      <c r="BD5">
        <v>0.14231134149130834</v>
      </c>
      <c r="BE5">
        <v>2.0407062988682157E-2</v>
      </c>
      <c r="BF5">
        <v>0.10429368540323432</v>
      </c>
      <c r="BJ5">
        <v>6935.7576233459995</v>
      </c>
      <c r="BK5">
        <v>2342.2727934659997</v>
      </c>
      <c r="BL5">
        <v>3565.2559798799998</v>
      </c>
      <c r="BM5">
        <v>149.75023247999999</v>
      </c>
      <c r="BN5">
        <v>3415.5057474</v>
      </c>
      <c r="BO5">
        <v>1028.2288500000002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6935.7576233460013</v>
      </c>
      <c r="CA5">
        <v>6935.7576233460013</v>
      </c>
      <c r="CB5">
        <v>5996.4480893866239</v>
      </c>
      <c r="CC5">
        <v>0</v>
      </c>
      <c r="CD5">
        <v>916.8269908386028</v>
      </c>
      <c r="CE5">
        <v>22.482543120774498</v>
      </c>
      <c r="CF5">
        <v>0</v>
      </c>
      <c r="CH5">
        <v>1</v>
      </c>
      <c r="CI5">
        <v>1</v>
      </c>
      <c r="CJ5">
        <v>0.86457001744155115</v>
      </c>
      <c r="CK5">
        <v>0</v>
      </c>
      <c r="CL5">
        <v>0.13218844149808973</v>
      </c>
      <c r="CM5">
        <v>3.241541060359069E-3</v>
      </c>
      <c r="CN5">
        <v>0</v>
      </c>
      <c r="CR5">
        <v>24348.902690936251</v>
      </c>
      <c r="CS5">
        <v>21809.46589377378</v>
      </c>
      <c r="CT5">
        <v>17846.525616230811</v>
      </c>
      <c r="CU5">
        <v>0.92568083527567124</v>
      </c>
      <c r="CV5">
        <v>3465.1250057884654</v>
      </c>
      <c r="CW5">
        <v>496.88959091922845</v>
      </c>
      <c r="CX5">
        <v>2539.4367971624706</v>
      </c>
      <c r="CZ5">
        <v>11506.585880336155</v>
      </c>
      <c r="DA5">
        <v>9185.3330689265913</v>
      </c>
      <c r="DB5">
        <v>2.0622472005719819</v>
      </c>
      <c r="DC5">
        <v>1965.6724088381789</v>
      </c>
      <c r="DD5">
        <v>353.5181553708145</v>
      </c>
      <c r="DF5">
        <v>5351.9002173290046</v>
      </c>
      <c r="DG5">
        <v>5351.9002173290046</v>
      </c>
      <c r="DH5">
        <v>4627.0924642415785</v>
      </c>
      <c r="DI5">
        <v>0</v>
      </c>
      <c r="DJ5">
        <v>707.45934878200876</v>
      </c>
      <c r="DK5">
        <v>17.34840430541659</v>
      </c>
      <c r="DL5">
        <v>0</v>
      </c>
      <c r="DN5">
        <v>0.52759595014296456</v>
      </c>
      <c r="DO5">
        <v>0.5146846656008407</v>
      </c>
      <c r="DP5">
        <v>2.2278166750182713</v>
      </c>
      <c r="DQ5">
        <v>0.56727315913698284</v>
      </c>
      <c r="DR5">
        <v>0.71146218763974944</v>
      </c>
      <c r="DV5">
        <v>232.78378765744935</v>
      </c>
      <c r="DW5">
        <v>208.50590854053004</v>
      </c>
      <c r="DX5">
        <v>170.61885220061066</v>
      </c>
      <c r="DY5">
        <v>8.849823490304342E-3</v>
      </c>
      <c r="DZ5">
        <v>33.127773098959487</v>
      </c>
      <c r="EA5">
        <v>4.7504334174695808</v>
      </c>
      <c r="EB5">
        <v>24.277879116919323</v>
      </c>
      <c r="ED5">
        <v>110.006872926863</v>
      </c>
      <c r="EE5">
        <v>87.81490689007056</v>
      </c>
      <c r="EF5">
        <v>1.9715784342668408E-2</v>
      </c>
      <c r="EG5">
        <v>18.792496501019905</v>
      </c>
      <c r="EH5">
        <v>3.3797537514298792</v>
      </c>
      <c r="EJ5">
        <v>51.165985571018275</v>
      </c>
      <c r="EK5">
        <v>51.165985571018275</v>
      </c>
      <c r="EL5">
        <v>44.236577037549417</v>
      </c>
      <c r="EM5">
        <v>0</v>
      </c>
      <c r="EN5">
        <v>6.7635518903466512</v>
      </c>
      <c r="EO5">
        <v>0.16585664312219536</v>
      </c>
      <c r="EP5">
        <v>0</v>
      </c>
      <c r="ET5">
        <v>8353.209011625213</v>
      </c>
      <c r="EU5">
        <v>7482.022058859312</v>
      </c>
      <c r="EV5">
        <v>6122.4836493018665</v>
      </c>
      <c r="EW5">
        <v>0.31756689791165982</v>
      </c>
      <c r="EX5">
        <v>1188.75638020167</v>
      </c>
      <c r="EY5">
        <v>170.46446245786314</v>
      </c>
      <c r="EZ5">
        <v>871.18695276590176</v>
      </c>
      <c r="FB5">
        <v>3947.4845371344986</v>
      </c>
      <c r="FC5">
        <v>3151.148449687546</v>
      </c>
      <c r="FD5">
        <v>0.70748083060142075</v>
      </c>
      <c r="FE5">
        <v>674.34958724124567</v>
      </c>
      <c r="FF5">
        <v>121.27901937510524</v>
      </c>
      <c r="FH5">
        <v>1836.0392536848481</v>
      </c>
      <c r="FI5">
        <v>1836.0392536848481</v>
      </c>
      <c r="FJ5">
        <v>1587.3844895816817</v>
      </c>
      <c r="FK5">
        <v>0</v>
      </c>
      <c r="FL5">
        <v>242.70316747391581</v>
      </c>
      <c r="FM5">
        <v>5.9515966292504547</v>
      </c>
      <c r="FN5">
        <v>0</v>
      </c>
    </row>
    <row r="6" spans="1:170" x14ac:dyDescent="0.25">
      <c r="A6">
        <v>2001</v>
      </c>
      <c r="C6">
        <v>64981.080071008131</v>
      </c>
      <c r="D6">
        <v>3832783</v>
      </c>
      <c r="F6">
        <v>1324568</v>
      </c>
      <c r="G6">
        <v>138915.40261032013</v>
      </c>
      <c r="H6">
        <v>56798</v>
      </c>
      <c r="I6">
        <v>6308.1936842718351</v>
      </c>
      <c r="K6">
        <v>2800.86</v>
      </c>
      <c r="L6">
        <v>2750.8304761904765</v>
      </c>
      <c r="M6">
        <v>1.018187061777361</v>
      </c>
      <c r="Q6">
        <v>2.893609841095361</v>
      </c>
      <c r="R6">
        <v>36.244004059274978</v>
      </c>
      <c r="S6">
        <v>104.87600682661828</v>
      </c>
      <c r="T6">
        <v>38.382389041328352</v>
      </c>
      <c r="U6">
        <v>111.06365865473846</v>
      </c>
      <c r="V6">
        <v>16954.020113063572</v>
      </c>
      <c r="W6">
        <v>49058.319445289431</v>
      </c>
      <c r="X6">
        <v>1.4814532850382176</v>
      </c>
      <c r="AB6">
        <v>2887.8504729148749</v>
      </c>
      <c r="AC6">
        <v>525.25468615649186</v>
      </c>
      <c r="AD6">
        <v>1286.741702493551</v>
      </c>
      <c r="AE6">
        <v>56.592175408426478</v>
      </c>
      <c r="AF6">
        <v>1230.1495270851244</v>
      </c>
      <c r="AG6">
        <v>480.80395528804809</v>
      </c>
      <c r="AH6">
        <v>16.546259673258813</v>
      </c>
      <c r="AI6">
        <v>16.426827171109199</v>
      </c>
      <c r="AJ6">
        <v>0</v>
      </c>
      <c r="AK6">
        <v>0</v>
      </c>
      <c r="AL6">
        <v>0.1194325021496131</v>
      </c>
      <c r="AM6">
        <v>0</v>
      </c>
      <c r="AN6">
        <v>0.29381505405813213</v>
      </c>
      <c r="AO6">
        <v>0</v>
      </c>
      <c r="AP6">
        <v>578.50386930352533</v>
      </c>
      <c r="AR6">
        <v>2887.8504729148749</v>
      </c>
      <c r="AS6">
        <v>2592.0725120667748</v>
      </c>
      <c r="AT6">
        <v>2152.6218516702897</v>
      </c>
      <c r="AU6">
        <v>9.535341787880966E-2</v>
      </c>
      <c r="AV6">
        <v>383.86620518174283</v>
      </c>
      <c r="AW6">
        <v>55.489101796863253</v>
      </c>
      <c r="AX6">
        <v>295.77796084810001</v>
      </c>
      <c r="AZ6">
        <v>1</v>
      </c>
      <c r="BA6">
        <v>0.89757850566634279</v>
      </c>
      <c r="BB6">
        <v>0.74540627080927901</v>
      </c>
      <c r="BC6">
        <v>3.3018821013459164E-5</v>
      </c>
      <c r="BD6">
        <v>0.13292454328297837</v>
      </c>
      <c r="BE6">
        <v>1.9214672753071902E-2</v>
      </c>
      <c r="BF6">
        <v>0.10242149433365716</v>
      </c>
      <c r="BJ6">
        <v>7339.7664975024018</v>
      </c>
      <c r="BK6">
        <v>2226.3012089424001</v>
      </c>
      <c r="BL6">
        <v>3984.1554585600006</v>
      </c>
      <c r="BM6">
        <v>149.50921571999999</v>
      </c>
      <c r="BN6">
        <v>3834.6462428400009</v>
      </c>
      <c r="BO6">
        <v>1129.3098299999999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7339.7664975023999</v>
      </c>
      <c r="CA6">
        <v>7339.7664975023999</v>
      </c>
      <c r="CB6">
        <v>6403.1674085939585</v>
      </c>
      <c r="CC6">
        <v>0</v>
      </c>
      <c r="CD6">
        <v>913.27326834483642</v>
      </c>
      <c r="CE6">
        <v>23.325820563604644</v>
      </c>
      <c r="CF6">
        <v>0</v>
      </c>
      <c r="CH6">
        <v>1</v>
      </c>
      <c r="CI6">
        <v>1</v>
      </c>
      <c r="CJ6">
        <v>0.87239388484263769</v>
      </c>
      <c r="CK6">
        <v>0</v>
      </c>
      <c r="CL6">
        <v>0.12442810934865682</v>
      </c>
      <c r="CM6">
        <v>3.1780058087054991E-3</v>
      </c>
      <c r="CN6">
        <v>0</v>
      </c>
      <c r="CR6">
        <v>25355.965869626922</v>
      </c>
      <c r="CS6">
        <v>22758.969954986525</v>
      </c>
      <c r="CT6">
        <v>18900.495961645964</v>
      </c>
      <c r="CU6">
        <v>0.83722409867259107</v>
      </c>
      <c r="CV6">
        <v>3370.430182718947</v>
      </c>
      <c r="CW6">
        <v>487.20658652294162</v>
      </c>
      <c r="CX6">
        <v>2596.9959146403985</v>
      </c>
      <c r="CZ6">
        <v>12047.171250051766</v>
      </c>
      <c r="DA6">
        <v>9785.9486260016583</v>
      </c>
      <c r="DB6">
        <v>1.927025755317807</v>
      </c>
      <c r="DC6">
        <v>1912.048547751011</v>
      </c>
      <c r="DD6">
        <v>347.24705054378029</v>
      </c>
      <c r="DF6">
        <v>5541.253070814334</v>
      </c>
      <c r="DG6">
        <v>5541.253070814334</v>
      </c>
      <c r="DH6">
        <v>4834.1552933439116</v>
      </c>
      <c r="DI6">
        <v>0</v>
      </c>
      <c r="DJ6">
        <v>689.48764302386633</v>
      </c>
      <c r="DK6">
        <v>17.610134446555136</v>
      </c>
      <c r="DL6">
        <v>0</v>
      </c>
      <c r="DN6">
        <v>0.5293372799331022</v>
      </c>
      <c r="DO6">
        <v>0.51776147281319496</v>
      </c>
      <c r="DP6">
        <v>2.3016845291160202</v>
      </c>
      <c r="DQ6">
        <v>0.56730103995465342</v>
      </c>
      <c r="DR6">
        <v>0.71273061602468524</v>
      </c>
      <c r="DV6">
        <v>241.77089342794653</v>
      </c>
      <c r="DW6">
        <v>217.00835723667291</v>
      </c>
      <c r="DX6">
        <v>180.21754006035329</v>
      </c>
      <c r="DY6">
        <v>7.9829898563614794E-3</v>
      </c>
      <c r="DZ6">
        <v>32.137285588027439</v>
      </c>
      <c r="EA6">
        <v>4.6455485984358162</v>
      </c>
      <c r="EB6">
        <v>24.762536191273661</v>
      </c>
      <c r="ED6">
        <v>114.87061354241138</v>
      </c>
      <c r="EE6">
        <v>93.309698968419482</v>
      </c>
      <c r="EF6">
        <v>1.8374324248477337E-2</v>
      </c>
      <c r="EG6">
        <v>18.231515535407659</v>
      </c>
      <c r="EH6">
        <v>3.3110247143357721</v>
      </c>
      <c r="EJ6">
        <v>52.836232408954807</v>
      </c>
      <c r="EK6">
        <v>52.836232408954807</v>
      </c>
      <c r="EL6">
        <v>46.094006051696546</v>
      </c>
      <c r="EM6">
        <v>0</v>
      </c>
      <c r="EN6">
        <v>6.5743125037524734</v>
      </c>
      <c r="EO6">
        <v>0.16791385350577209</v>
      </c>
      <c r="EP6">
        <v>0</v>
      </c>
      <c r="ET6">
        <v>8762.7452428170309</v>
      </c>
      <c r="EU6">
        <v>7865.2517805825664</v>
      </c>
      <c r="EV6">
        <v>6531.8052534999943</v>
      </c>
      <c r="EW6">
        <v>0.2893355167591164</v>
      </c>
      <c r="EX6">
        <v>1164.7839093065456</v>
      </c>
      <c r="EY6">
        <v>168.37328225926689</v>
      </c>
      <c r="EZ6">
        <v>897.49346223446594</v>
      </c>
      <c r="FB6">
        <v>4163.3709835225645</v>
      </c>
      <c r="FC6">
        <v>3381.9171081811219</v>
      </c>
      <c r="FD6">
        <v>0.66595908264824721</v>
      </c>
      <c r="FE6">
        <v>660.78312307204999</v>
      </c>
      <c r="FF6">
        <v>120.00479318674547</v>
      </c>
      <c r="FH6">
        <v>1914.9966219069536</v>
      </c>
      <c r="FI6">
        <v>1914.9966219069536</v>
      </c>
      <c r="FJ6">
        <v>1670.6313424459347</v>
      </c>
      <c r="FK6">
        <v>0</v>
      </c>
      <c r="FL6">
        <v>238.27940907294689</v>
      </c>
      <c r="FM6">
        <v>6.0858703880717071</v>
      </c>
      <c r="FN6">
        <v>0</v>
      </c>
    </row>
    <row r="7" spans="1:170" x14ac:dyDescent="0.25">
      <c r="A7">
        <v>2002</v>
      </c>
      <c r="C7">
        <v>67343.482609178798</v>
      </c>
      <c r="D7">
        <v>3899702</v>
      </c>
      <c r="F7">
        <v>1357691</v>
      </c>
      <c r="G7">
        <v>142853.8442381729</v>
      </c>
      <c r="H7">
        <v>61918</v>
      </c>
      <c r="I7">
        <v>6950.3638069748022</v>
      </c>
      <c r="K7">
        <v>2699.57</v>
      </c>
      <c r="L7">
        <v>2750.8304761904765</v>
      </c>
      <c r="M7">
        <v>0.98136545431128674</v>
      </c>
      <c r="Q7">
        <v>2.8723045228995403</v>
      </c>
      <c r="R7">
        <v>36.631989890041055</v>
      </c>
      <c r="S7">
        <v>105.21823024397517</v>
      </c>
      <c r="T7">
        <v>39.080502185448971</v>
      </c>
      <c r="U7">
        <v>112.25110318445044</v>
      </c>
      <c r="V7">
        <v>17268.87916286393</v>
      </c>
      <c r="W7">
        <v>49601.479724899698</v>
      </c>
      <c r="X7">
        <v>1.4910632275493945</v>
      </c>
      <c r="AB7">
        <v>2880.0263972484954</v>
      </c>
      <c r="AC7">
        <v>517.0094582975064</v>
      </c>
      <c r="AD7">
        <v>1306.3049011177986</v>
      </c>
      <c r="AE7">
        <v>52.028374892519338</v>
      </c>
      <c r="AF7">
        <v>1254.2765262252792</v>
      </c>
      <c r="AG7">
        <v>474.57007738607058</v>
      </c>
      <c r="AH7">
        <v>16.836199484092859</v>
      </c>
      <c r="AI7">
        <v>16.282631126397241</v>
      </c>
      <c r="AJ7">
        <v>0</v>
      </c>
      <c r="AK7">
        <v>0</v>
      </c>
      <c r="AL7">
        <v>0.16715391229578669</v>
      </c>
      <c r="AM7">
        <v>0</v>
      </c>
      <c r="AN7">
        <v>0.38641444539982805</v>
      </c>
      <c r="AO7">
        <v>0</v>
      </c>
      <c r="AP7">
        <v>565.69217540842646</v>
      </c>
      <c r="AR7">
        <v>2880.0263972484945</v>
      </c>
      <c r="AS7">
        <v>2572.4665010173544</v>
      </c>
      <c r="AT7">
        <v>2128.0577223499222</v>
      </c>
      <c r="AU7">
        <v>0.1099525039698686</v>
      </c>
      <c r="AV7">
        <v>388.30330714687386</v>
      </c>
      <c r="AW7">
        <v>55.99551901658787</v>
      </c>
      <c r="AX7">
        <v>307.55989623114027</v>
      </c>
      <c r="AZ7">
        <v>1</v>
      </c>
      <c r="BA7">
        <v>0.8932093481764698</v>
      </c>
      <c r="BB7">
        <v>0.73890215880764709</v>
      </c>
      <c r="BC7">
        <v>3.8177602842430364E-5</v>
      </c>
      <c r="BD7">
        <v>0.13482630142482344</v>
      </c>
      <c r="BE7">
        <v>1.9442710341156803E-2</v>
      </c>
      <c r="BF7">
        <v>0.10679065182353027</v>
      </c>
      <c r="BJ7">
        <v>7329.4540397255996</v>
      </c>
      <c r="BK7">
        <v>2194.1864592456004</v>
      </c>
      <c r="BL7">
        <v>4020.59985048</v>
      </c>
      <c r="BM7">
        <v>137.45224440000001</v>
      </c>
      <c r="BN7">
        <v>3883.1476060800001</v>
      </c>
      <c r="BO7">
        <v>1114.6677299999999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7329.4540397255996</v>
      </c>
      <c r="CA7">
        <v>7329.4540397255996</v>
      </c>
      <c r="CB7">
        <v>6371.261886066166</v>
      </c>
      <c r="CC7">
        <v>0</v>
      </c>
      <c r="CD7">
        <v>934.50334069084238</v>
      </c>
      <c r="CE7">
        <v>23.688812968591986</v>
      </c>
      <c r="CF7">
        <v>0</v>
      </c>
      <c r="CH7">
        <v>1</v>
      </c>
      <c r="CI7">
        <v>1</v>
      </c>
      <c r="CJ7">
        <v>0.86926827721873434</v>
      </c>
      <c r="CK7">
        <v>0</v>
      </c>
      <c r="CL7">
        <v>0.12749972039197455</v>
      </c>
      <c r="CM7">
        <v>3.2320023892910368E-3</v>
      </c>
      <c r="CN7">
        <v>0</v>
      </c>
      <c r="CR7">
        <v>24670.346198067153</v>
      </c>
      <c r="CS7">
        <v>22035.783846863411</v>
      </c>
      <c r="CT7">
        <v>18228.972064283847</v>
      </c>
      <c r="CU7">
        <v>0.94185467913506959</v>
      </c>
      <c r="CV7">
        <v>3326.2115327553488</v>
      </c>
      <c r="CW7">
        <v>479.6583951450786</v>
      </c>
      <c r="CX7">
        <v>2634.5623512037432</v>
      </c>
      <c r="CZ7">
        <v>11753.831033088243</v>
      </c>
      <c r="DA7">
        <v>9515.6432235983684</v>
      </c>
      <c r="DB7">
        <v>2.3291255021483996</v>
      </c>
      <c r="DC7">
        <v>1892.9183841106551</v>
      </c>
      <c r="DD7">
        <v>342.94029987707245</v>
      </c>
      <c r="DF7">
        <v>5398.4699314686477</v>
      </c>
      <c r="DG7">
        <v>5398.4699314686477</v>
      </c>
      <c r="DH7">
        <v>4692.7186569448913</v>
      </c>
      <c r="DI7">
        <v>0</v>
      </c>
      <c r="DJ7">
        <v>688.30340680673464</v>
      </c>
      <c r="DK7">
        <v>17.44786771702249</v>
      </c>
      <c r="DL7">
        <v>0</v>
      </c>
      <c r="DN7">
        <v>0.53339745546475281</v>
      </c>
      <c r="DO7">
        <v>0.52200657228733349</v>
      </c>
      <c r="DP7">
        <v>2.4729138727508344</v>
      </c>
      <c r="DQ7">
        <v>0.56909140187563767</v>
      </c>
      <c r="DR7">
        <v>0.71496778404836614</v>
      </c>
      <c r="DV7">
        <v>234.46836295252916</v>
      </c>
      <c r="DW7">
        <v>209.42933364083251</v>
      </c>
      <c r="DX7">
        <v>173.24917955771875</v>
      </c>
      <c r="DY7">
        <v>8.9514400399164709E-3</v>
      </c>
      <c r="DZ7">
        <v>31.612502178022599</v>
      </c>
      <c r="EA7">
        <v>4.5587004650512455</v>
      </c>
      <c r="EB7">
        <v>25.03902931169667</v>
      </c>
      <c r="ED7">
        <v>111.70907366369882</v>
      </c>
      <c r="EE7">
        <v>90.437210372517526</v>
      </c>
      <c r="EF7">
        <v>2.2136140255806729E-2</v>
      </c>
      <c r="EG7">
        <v>17.990403181287533</v>
      </c>
      <c r="EH7">
        <v>3.2593239696379452</v>
      </c>
      <c r="EJ7">
        <v>51.307362982165017</v>
      </c>
      <c r="EK7">
        <v>51.307362982165017</v>
      </c>
      <c r="EL7">
        <v>44.599863028142863</v>
      </c>
      <c r="EM7">
        <v>0</v>
      </c>
      <c r="EN7">
        <v>6.5416744342755857</v>
      </c>
      <c r="EO7">
        <v>0.16582551974657986</v>
      </c>
      <c r="EP7">
        <v>0</v>
      </c>
      <c r="ET7">
        <v>8589.0427012115269</v>
      </c>
      <c r="EU7">
        <v>7671.8132326090126</v>
      </c>
      <c r="EV7">
        <v>6346.4621940162615</v>
      </c>
      <c r="EW7">
        <v>0.3279090610435289</v>
      </c>
      <c r="EX7">
        <v>1158.0288601842249</v>
      </c>
      <c r="EY7">
        <v>166.99426934748269</v>
      </c>
      <c r="EZ7">
        <v>917.22946860251409</v>
      </c>
      <c r="FB7">
        <v>4092.1256570744672</v>
      </c>
      <c r="FC7">
        <v>3312.8949760495784</v>
      </c>
      <c r="FD7">
        <v>0.81089086605524285</v>
      </c>
      <c r="FE7">
        <v>659.02426745468745</v>
      </c>
      <c r="FF7">
        <v>119.39552270414572</v>
      </c>
      <c r="FH7">
        <v>1879.490802047336</v>
      </c>
      <c r="FI7">
        <v>1879.490802047336</v>
      </c>
      <c r="FJ7">
        <v>1633.7817315441455</v>
      </c>
      <c r="FK7">
        <v>0</v>
      </c>
      <c r="FL7">
        <v>239.63455174032333</v>
      </c>
      <c r="FM7">
        <v>6.074518762867517</v>
      </c>
      <c r="FN7">
        <v>0</v>
      </c>
    </row>
    <row r="8" spans="1:170" x14ac:dyDescent="0.25">
      <c r="A8">
        <v>2003</v>
      </c>
      <c r="C8">
        <v>69223.604145055549</v>
      </c>
      <c r="D8">
        <v>3964191</v>
      </c>
      <c r="F8">
        <v>1390456</v>
      </c>
      <c r="G8">
        <v>146796.92683075005</v>
      </c>
      <c r="H8">
        <v>62280</v>
      </c>
      <c r="I8">
        <v>7030.3159010261079</v>
      </c>
      <c r="K8">
        <v>2630.34</v>
      </c>
      <c r="L8">
        <v>2750.8304761904765</v>
      </c>
      <c r="M8">
        <v>0.95619850905631265</v>
      </c>
      <c r="Q8">
        <v>2.8510006789139677</v>
      </c>
      <c r="R8">
        <v>37.030740151206146</v>
      </c>
      <c r="S8">
        <v>105.57466531177545</v>
      </c>
      <c r="T8">
        <v>39.593957764001154</v>
      </c>
      <c r="U8">
        <v>112.88240046605826</v>
      </c>
      <c r="V8">
        <v>17462.227260254498</v>
      </c>
      <c r="W8">
        <v>49784.821774335571</v>
      </c>
      <c r="X8">
        <v>1.4883531667633256</v>
      </c>
      <c r="AB8">
        <v>3029.9697334479797</v>
      </c>
      <c r="AC8">
        <v>491.90507308684425</v>
      </c>
      <c r="AD8">
        <v>1385.6877042132419</v>
      </c>
      <c r="AE8">
        <v>49.567411865864138</v>
      </c>
      <c r="AF8">
        <v>1336.1202923473777</v>
      </c>
      <c r="AG8">
        <v>537.85468615649177</v>
      </c>
      <c r="AH8">
        <v>16.641272570937229</v>
      </c>
      <c r="AI8">
        <v>15.339122957867582</v>
      </c>
      <c r="AJ8">
        <v>0</v>
      </c>
      <c r="AK8">
        <v>0</v>
      </c>
      <c r="AL8">
        <v>0.2149613069647463</v>
      </c>
      <c r="AM8">
        <v>0</v>
      </c>
      <c r="AN8">
        <v>1.0871883061049012</v>
      </c>
      <c r="AO8">
        <v>0</v>
      </c>
      <c r="AP8">
        <v>598.96818572656923</v>
      </c>
      <c r="AR8">
        <v>3029.9697334479793</v>
      </c>
      <c r="AS8">
        <v>2710.2505318971889</v>
      </c>
      <c r="AT8">
        <v>2276.122738374765</v>
      </c>
      <c r="AU8">
        <v>0.11286631715260942</v>
      </c>
      <c r="AV8">
        <v>376.53295127719917</v>
      </c>
      <c r="AW8">
        <v>57.481975928072167</v>
      </c>
      <c r="AX8">
        <v>319.71920155079027</v>
      </c>
      <c r="AZ8">
        <v>1</v>
      </c>
      <c r="BA8">
        <v>0.89448105767480279</v>
      </c>
      <c r="BB8">
        <v>0.75120312696478064</v>
      </c>
      <c r="BC8">
        <v>3.7249981709940135E-5</v>
      </c>
      <c r="BD8">
        <v>0.12426954207516801</v>
      </c>
      <c r="BE8">
        <v>1.8971138653144259E-2</v>
      </c>
      <c r="BF8">
        <v>0.10551894232519714</v>
      </c>
      <c r="BJ8">
        <v>7616.2360238736001</v>
      </c>
      <c r="BK8">
        <v>2083.9508954736002</v>
      </c>
      <c r="BL8">
        <v>4268.9748384000004</v>
      </c>
      <c r="BM8">
        <v>130.95069803999999</v>
      </c>
      <c r="BN8">
        <v>4138.0241403600003</v>
      </c>
      <c r="BO8">
        <v>1263.3102899999999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7616.2360238736001</v>
      </c>
      <c r="CA8">
        <v>7616.2360238736001</v>
      </c>
      <c r="CB8">
        <v>6688.4663528816491</v>
      </c>
      <c r="CC8">
        <v>0</v>
      </c>
      <c r="CD8">
        <v>901.60242369984587</v>
      </c>
      <c r="CE8">
        <v>26.167247292105557</v>
      </c>
      <c r="CF8">
        <v>0</v>
      </c>
      <c r="CH8">
        <v>1</v>
      </c>
      <c r="CI8">
        <v>1</v>
      </c>
      <c r="CJ8">
        <v>0.8781852783863584</v>
      </c>
      <c r="CK8">
        <v>0</v>
      </c>
      <c r="CL8">
        <v>0.11837900255109125</v>
      </c>
      <c r="CM8">
        <v>3.4357190625503957E-3</v>
      </c>
      <c r="CN8">
        <v>0</v>
      </c>
      <c r="CR8">
        <v>25343.159366423675</v>
      </c>
      <c r="CS8">
        <v>22668.975994899734</v>
      </c>
      <c r="CT8">
        <v>19037.860563224236</v>
      </c>
      <c r="CU8">
        <v>0.94403222287138</v>
      </c>
      <c r="CV8">
        <v>3149.3828092034755</v>
      </c>
      <c r="CW8">
        <v>480.78859024915522</v>
      </c>
      <c r="CX8">
        <v>2674.1833715239395</v>
      </c>
      <c r="CZ8">
        <v>12205.574475840916</v>
      </c>
      <c r="DA8">
        <v>10061.081938593315</v>
      </c>
      <c r="DB8">
        <v>2.4950811077012931</v>
      </c>
      <c r="DC8">
        <v>1798.0736826190712</v>
      </c>
      <c r="DD8">
        <v>343.92377352082644</v>
      </c>
      <c r="DF8">
        <v>5477.5095536094632</v>
      </c>
      <c r="DG8">
        <v>5477.5095536094632</v>
      </c>
      <c r="DH8">
        <v>4810.2682522004643</v>
      </c>
      <c r="DI8">
        <v>0</v>
      </c>
      <c r="DJ8">
        <v>648.42211742036136</v>
      </c>
      <c r="DK8">
        <v>18.819183988637935</v>
      </c>
      <c r="DL8">
        <v>0</v>
      </c>
      <c r="DN8">
        <v>0.53842637085093881</v>
      </c>
      <c r="DO8">
        <v>0.52847755162302645</v>
      </c>
      <c r="DP8">
        <v>2.6430041763958267</v>
      </c>
      <c r="DQ8">
        <v>0.5709289062493581</v>
      </c>
      <c r="DR8">
        <v>0.71533264410995612</v>
      </c>
      <c r="DV8">
        <v>240.0496301985149</v>
      </c>
      <c r="DW8">
        <v>214.71984711441291</v>
      </c>
      <c r="DX8">
        <v>180.32603283186364</v>
      </c>
      <c r="DY8">
        <v>8.9418443343725739E-3</v>
      </c>
      <c r="DZ8">
        <v>29.83085762008287</v>
      </c>
      <c r="EA8">
        <v>4.5540148181320319</v>
      </c>
      <c r="EB8">
        <v>25.329783084101997</v>
      </c>
      <c r="ED8">
        <v>115.61082803148176</v>
      </c>
      <c r="EE8">
        <v>95.298260324876779</v>
      </c>
      <c r="EF8">
        <v>2.3633331920428075E-2</v>
      </c>
      <c r="EG8">
        <v>17.031298913514245</v>
      </c>
      <c r="EH8">
        <v>3.2576354611703073</v>
      </c>
      <c r="EJ8">
        <v>51.882802918992716</v>
      </c>
      <c r="EK8">
        <v>51.882802918992716</v>
      </c>
      <c r="EL8">
        <v>45.562713724880197</v>
      </c>
      <c r="EM8">
        <v>0</v>
      </c>
      <c r="EN8">
        <v>6.1418344591052048</v>
      </c>
      <c r="EO8">
        <v>0.17825473500732858</v>
      </c>
      <c r="EP8">
        <v>0</v>
      </c>
      <c r="ET8">
        <v>8889.2154792743331</v>
      </c>
      <c r="EU8">
        <v>7951.234863800536</v>
      </c>
      <c r="EV8">
        <v>6677.6064642946112</v>
      </c>
      <c r="EW8">
        <v>0.33112311401868566</v>
      </c>
      <c r="EX8">
        <v>1104.6587370169166</v>
      </c>
      <c r="EY8">
        <v>168.63853937498959</v>
      </c>
      <c r="EZ8">
        <v>937.98061547379803</v>
      </c>
      <c r="FB8">
        <v>4281.154531499581</v>
      </c>
      <c r="FC8">
        <v>3528.9651149525107</v>
      </c>
      <c r="FD8">
        <v>0.87515977325257777</v>
      </c>
      <c r="FE8">
        <v>630.68160450386551</v>
      </c>
      <c r="FF8">
        <v>120.63265226995225</v>
      </c>
      <c r="FH8">
        <v>1921.2585932094591</v>
      </c>
      <c r="FI8">
        <v>1921.2585932094591</v>
      </c>
      <c r="FJ8">
        <v>1687.2210125298325</v>
      </c>
      <c r="FK8">
        <v>0</v>
      </c>
      <c r="FL8">
        <v>227.43667590684859</v>
      </c>
      <c r="FM8">
        <v>6.6009047727784944</v>
      </c>
      <c r="FN8">
        <v>0</v>
      </c>
    </row>
    <row r="9" spans="1:170" x14ac:dyDescent="0.25">
      <c r="A9">
        <v>2004</v>
      </c>
      <c r="C9">
        <v>71866.350003678046</v>
      </c>
      <c r="D9">
        <v>4028851</v>
      </c>
      <c r="F9">
        <v>1413632</v>
      </c>
      <c r="G9">
        <v>149678.13016156314</v>
      </c>
      <c r="H9">
        <v>53403</v>
      </c>
      <c r="I9">
        <v>6042.9109782630603</v>
      </c>
      <c r="K9">
        <v>2700.72</v>
      </c>
      <c r="L9">
        <v>2750.8304761904765</v>
      </c>
      <c r="M9">
        <v>0.98178350988030605</v>
      </c>
      <c r="Q9">
        <v>2.8499998585204636</v>
      </c>
      <c r="R9">
        <v>37.151567571390238</v>
      </c>
      <c r="S9">
        <v>105.88196232227563</v>
      </c>
      <c r="T9">
        <v>39.704131729539576</v>
      </c>
      <c r="U9">
        <v>113.15676981186563</v>
      </c>
      <c r="V9">
        <v>17837.926993000743</v>
      </c>
      <c r="W9">
        <v>50838.089406350482</v>
      </c>
      <c r="X9">
        <v>1.5013368618359324</v>
      </c>
      <c r="AB9">
        <v>3139.2740326741182</v>
      </c>
      <c r="AC9">
        <v>483.98950988822008</v>
      </c>
      <c r="AD9">
        <v>1408.4190025795356</v>
      </c>
      <c r="AE9">
        <v>48.64273430782459</v>
      </c>
      <c r="AF9">
        <v>1359.7762682717107</v>
      </c>
      <c r="AG9">
        <v>599.91401547721409</v>
      </c>
      <c r="AH9">
        <v>17.316509028374892</v>
      </c>
      <c r="AI9">
        <v>15.022613929492692</v>
      </c>
      <c r="AJ9">
        <v>0</v>
      </c>
      <c r="AK9">
        <v>0</v>
      </c>
      <c r="AL9">
        <v>0.28658641444539978</v>
      </c>
      <c r="AM9">
        <v>0</v>
      </c>
      <c r="AN9">
        <v>2.0073086844368011</v>
      </c>
      <c r="AO9">
        <v>0</v>
      </c>
      <c r="AP9">
        <v>631.64230438521065</v>
      </c>
      <c r="AR9">
        <v>3139.2740326741182</v>
      </c>
      <c r="AS9">
        <v>2813.0460676351754</v>
      </c>
      <c r="AT9">
        <v>2367.0407566109229</v>
      </c>
      <c r="AU9">
        <v>0.11891423078277204</v>
      </c>
      <c r="AV9">
        <v>387.5454688699437</v>
      </c>
      <c r="AW9">
        <v>58.340927923525982</v>
      </c>
      <c r="AX9">
        <v>326.22796503894347</v>
      </c>
      <c r="AZ9">
        <v>1</v>
      </c>
      <c r="BA9">
        <v>0.89608171773362089</v>
      </c>
      <c r="BB9">
        <v>0.75400896257362204</v>
      </c>
      <c r="BC9">
        <v>3.787953187427785E-5</v>
      </c>
      <c r="BD9">
        <v>0.12345066561131712</v>
      </c>
      <c r="BE9">
        <v>1.8584210016807483E-2</v>
      </c>
      <c r="BF9">
        <v>0.10391828226637917</v>
      </c>
      <c r="BJ9">
        <v>7772.4730005179999</v>
      </c>
      <c r="BK9">
        <v>2051.2286611979998</v>
      </c>
      <c r="BL9">
        <v>4312.1694193200001</v>
      </c>
      <c r="BM9">
        <v>128.50781940000002</v>
      </c>
      <c r="BN9">
        <v>4183.6615999200003</v>
      </c>
      <c r="BO9">
        <v>1409.0749200000002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7772.4730005180036</v>
      </c>
      <c r="CA9">
        <v>7772.4730005180036</v>
      </c>
      <c r="CB9">
        <v>6828.4909921124799</v>
      </c>
      <c r="CC9">
        <v>0</v>
      </c>
      <c r="CD9">
        <v>915.55783602326687</v>
      </c>
      <c r="CE9">
        <v>28.424172382256501</v>
      </c>
      <c r="CF9">
        <v>0</v>
      </c>
      <c r="CH9">
        <v>1</v>
      </c>
      <c r="CI9">
        <v>1</v>
      </c>
      <c r="CJ9">
        <v>0.87854804920613938</v>
      </c>
      <c r="CK9">
        <v>0</v>
      </c>
      <c r="CL9">
        <v>0.11779492009328933</v>
      </c>
      <c r="CM9">
        <v>3.6570307005713816E-3</v>
      </c>
      <c r="CN9">
        <v>0</v>
      </c>
      <c r="CR9">
        <v>25826.917472156827</v>
      </c>
      <c r="CS9">
        <v>23143.028572214753</v>
      </c>
      <c r="CT9">
        <v>19473.72724965552</v>
      </c>
      <c r="CU9">
        <v>0.97831154360090811</v>
      </c>
      <c r="CV9">
        <v>3188.3501526263158</v>
      </c>
      <c r="CW9">
        <v>479.97285838931714</v>
      </c>
      <c r="CX9">
        <v>2683.8888999420728</v>
      </c>
      <c r="CZ9">
        <v>12630.481316070704</v>
      </c>
      <c r="DA9">
        <v>10451.877319961248</v>
      </c>
      <c r="DB9">
        <v>2.7935701481814825</v>
      </c>
      <c r="DC9">
        <v>1832.242816667454</v>
      </c>
      <c r="DD9">
        <v>343.56760929381892</v>
      </c>
      <c r="DF9">
        <v>5498.2293839683898</v>
      </c>
      <c r="DG9">
        <v>5498.2293839683898</v>
      </c>
      <c r="DH9">
        <v>4830.4586993733028</v>
      </c>
      <c r="DI9">
        <v>0</v>
      </c>
      <c r="DJ9">
        <v>647.66349093913186</v>
      </c>
      <c r="DK9">
        <v>20.107193655956081</v>
      </c>
      <c r="DL9">
        <v>0</v>
      </c>
      <c r="DN9">
        <v>0.5457574956820781</v>
      </c>
      <c r="DO9">
        <v>0.53671683833130279</v>
      </c>
      <c r="DP9">
        <v>2.8555015694684371</v>
      </c>
      <c r="DQ9">
        <v>0.57466800349961389</v>
      </c>
      <c r="DR9">
        <v>0.71580632798020272</v>
      </c>
      <c r="DV9">
        <v>243.92178710805132</v>
      </c>
      <c r="DW9">
        <v>218.57385398443719</v>
      </c>
      <c r="DX9">
        <v>183.91921364644568</v>
      </c>
      <c r="DY9">
        <v>9.2396431095902471E-3</v>
      </c>
      <c r="DZ9">
        <v>30.112306975590929</v>
      </c>
      <c r="EA9">
        <v>4.5330937192910303</v>
      </c>
      <c r="EB9">
        <v>25.347933123614123</v>
      </c>
      <c r="ED9">
        <v>119.28831917212663</v>
      </c>
      <c r="EE9">
        <v>98.712538856699709</v>
      </c>
      <c r="EF9">
        <v>2.6383815400763181E-2</v>
      </c>
      <c r="EG9">
        <v>17.304579330430332</v>
      </c>
      <c r="EH9">
        <v>3.2448171695958319</v>
      </c>
      <c r="EJ9">
        <v>51.92791353104402</v>
      </c>
      <c r="EK9">
        <v>51.92791353104402</v>
      </c>
      <c r="EL9">
        <v>45.621167132043816</v>
      </c>
      <c r="EM9">
        <v>0</v>
      </c>
      <c r="EN9">
        <v>6.1168444250005685</v>
      </c>
      <c r="EO9">
        <v>0.18990197399964409</v>
      </c>
      <c r="EP9">
        <v>0</v>
      </c>
      <c r="ET9">
        <v>9062.076755879034</v>
      </c>
      <c r="EU9">
        <v>8120.3613056420018</v>
      </c>
      <c r="EV9">
        <v>6832.887093462884</v>
      </c>
      <c r="EW9">
        <v>0.3432672253214723</v>
      </c>
      <c r="EX9">
        <v>1118.719407334112</v>
      </c>
      <c r="EY9">
        <v>168.41153761968542</v>
      </c>
      <c r="EZ9">
        <v>941.71545023703084</v>
      </c>
      <c r="FB9">
        <v>4431.7480502008293</v>
      </c>
      <c r="FC9">
        <v>3667.3255574781638</v>
      </c>
      <c r="FD9">
        <v>0.98020010065253982</v>
      </c>
      <c r="FE9">
        <v>642.89224828896533</v>
      </c>
      <c r="FF9">
        <v>120.55004433304676</v>
      </c>
      <c r="FH9">
        <v>1929.2033883898916</v>
      </c>
      <c r="FI9">
        <v>1929.2033883898916</v>
      </c>
      <c r="FJ9">
        <v>1694.8978733918134</v>
      </c>
      <c r="FK9">
        <v>0</v>
      </c>
      <c r="FL9">
        <v>227.25035897909029</v>
      </c>
      <c r="FM9">
        <v>7.0551560189881686</v>
      </c>
      <c r="FN9">
        <v>0</v>
      </c>
    </row>
    <row r="10" spans="1:170" x14ac:dyDescent="0.25">
      <c r="A10">
        <v>2005</v>
      </c>
      <c r="C10">
        <v>76913.133027665361</v>
      </c>
      <c r="D10">
        <v>4111672</v>
      </c>
      <c r="F10">
        <v>1460111</v>
      </c>
      <c r="G10">
        <v>155230.22355162574</v>
      </c>
      <c r="H10">
        <v>77210</v>
      </c>
      <c r="I10">
        <v>8766.5188280414059</v>
      </c>
      <c r="K10">
        <v>2608.3000000000002</v>
      </c>
      <c r="L10">
        <v>2750.8304761904765</v>
      </c>
      <c r="M10">
        <v>0.9481863831944084</v>
      </c>
      <c r="Q10">
        <v>2.8159996055094441</v>
      </c>
      <c r="R10">
        <v>37.753552217109181</v>
      </c>
      <c r="S10">
        <v>106.31398814995964</v>
      </c>
      <c r="T10">
        <v>40.320046825392737</v>
      </c>
      <c r="U10">
        <v>113.54123595442826</v>
      </c>
      <c r="V10">
        <v>18706.047814043864</v>
      </c>
      <c r="W10">
        <v>52676.223264988323</v>
      </c>
      <c r="X10">
        <v>1.5317035165886084</v>
      </c>
      <c r="AB10">
        <v>3298.0509888220126</v>
      </c>
      <c r="AC10">
        <v>506.53955288048149</v>
      </c>
      <c r="AD10">
        <v>1523.6497850386932</v>
      </c>
      <c r="AE10">
        <v>53.015047291487527</v>
      </c>
      <c r="AF10">
        <v>1470.6347377472057</v>
      </c>
      <c r="AG10">
        <v>605.56749785038687</v>
      </c>
      <c r="AH10">
        <v>19.765176268271713</v>
      </c>
      <c r="AI10">
        <v>15.952020636285472</v>
      </c>
      <c r="AJ10">
        <v>0</v>
      </c>
      <c r="AK10">
        <v>0</v>
      </c>
      <c r="AL10">
        <v>0.460963026655202</v>
      </c>
      <c r="AM10">
        <v>0</v>
      </c>
      <c r="AN10">
        <v>3.3521926053310409</v>
      </c>
      <c r="AO10">
        <v>0</v>
      </c>
      <c r="AP10">
        <v>645.88116938950986</v>
      </c>
      <c r="AR10">
        <v>3298.0509888220117</v>
      </c>
      <c r="AS10">
        <v>2961.0169407107828</v>
      </c>
      <c r="AT10">
        <v>2524.0713303163657</v>
      </c>
      <c r="AU10">
        <v>0.12556662992013309</v>
      </c>
      <c r="AV10">
        <v>379.00321064736329</v>
      </c>
      <c r="AW10">
        <v>57.816833117133811</v>
      </c>
      <c r="AX10">
        <v>337.03404811122886</v>
      </c>
      <c r="AZ10">
        <v>1</v>
      </c>
      <c r="BA10">
        <v>0.89780811477641531</v>
      </c>
      <c r="BB10">
        <v>0.76532210656267208</v>
      </c>
      <c r="BC10">
        <v>3.8072980176993136E-5</v>
      </c>
      <c r="BD10">
        <v>0.11491732903217926</v>
      </c>
      <c r="BE10">
        <v>1.7530606201387036E-2</v>
      </c>
      <c r="BF10">
        <v>0.10219188522358465</v>
      </c>
      <c r="BJ10">
        <v>8248.0276544856024</v>
      </c>
      <c r="BK10">
        <v>2145.0442140456003</v>
      </c>
      <c r="BL10">
        <v>4680.6296504400007</v>
      </c>
      <c r="BM10">
        <v>140.05890539999999</v>
      </c>
      <c r="BN10">
        <v>4540.5707450400005</v>
      </c>
      <c r="BO10">
        <v>1422.3537899999999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8248.0276544856006</v>
      </c>
      <c r="CA10">
        <v>8248.0276544856006</v>
      </c>
      <c r="CB10">
        <v>7319.11611083977</v>
      </c>
      <c r="CC10">
        <v>0</v>
      </c>
      <c r="CD10">
        <v>901.51510426667312</v>
      </c>
      <c r="CE10">
        <v>27.39643937915778</v>
      </c>
      <c r="CF10">
        <v>0</v>
      </c>
      <c r="CH10">
        <v>1</v>
      </c>
      <c r="CI10">
        <v>1</v>
      </c>
      <c r="CJ10">
        <v>0.8873777365258162</v>
      </c>
      <c r="CK10">
        <v>0</v>
      </c>
      <c r="CL10">
        <v>0.1093006888472778</v>
      </c>
      <c r="CM10">
        <v>3.3215746269059272E-3</v>
      </c>
      <c r="CN10">
        <v>0</v>
      </c>
      <c r="CR10">
        <v>26269.463759947019</v>
      </c>
      <c r="CS10">
        <v>23584.937734505391</v>
      </c>
      <c r="CT10">
        <v>20104.601343034425</v>
      </c>
      <c r="CU10">
        <v>1.0001567729927023</v>
      </c>
      <c r="CV10">
        <v>3018.8166104007396</v>
      </c>
      <c r="CW10">
        <v>460.5196242972392</v>
      </c>
      <c r="CX10">
        <v>2684.5260254416216</v>
      </c>
      <c r="CZ10">
        <v>13008.894479921582</v>
      </c>
      <c r="DA10">
        <v>10928.819725580244</v>
      </c>
      <c r="DB10">
        <v>3.1052138998444239</v>
      </c>
      <c r="DC10">
        <v>1745.4820145898625</v>
      </c>
      <c r="DD10">
        <v>331.48752585163135</v>
      </c>
      <c r="DF10">
        <v>5648.9045384122173</v>
      </c>
      <c r="DG10">
        <v>5648.9045384122173</v>
      </c>
      <c r="DH10">
        <v>5012.7121231466435</v>
      </c>
      <c r="DI10">
        <v>0</v>
      </c>
      <c r="DJ10">
        <v>617.42915728096909</v>
      </c>
      <c r="DK10">
        <v>18.763257984603761</v>
      </c>
      <c r="DL10">
        <v>0</v>
      </c>
      <c r="DN10">
        <v>0.55157637583622809</v>
      </c>
      <c r="DO10">
        <v>0.5435979325880399</v>
      </c>
      <c r="DP10">
        <v>3.1047271624756383</v>
      </c>
      <c r="DQ10">
        <v>0.57820074547627276</v>
      </c>
      <c r="DR10">
        <v>0.7198119436440672</v>
      </c>
      <c r="DV10">
        <v>247.09320209954885</v>
      </c>
      <c r="DW10">
        <v>221.84228195106368</v>
      </c>
      <c r="DX10">
        <v>189.10588994814279</v>
      </c>
      <c r="DY10">
        <v>9.4075745854058819E-3</v>
      </c>
      <c r="DZ10">
        <v>28.395290807288617</v>
      </c>
      <c r="EA10">
        <v>4.3316936210469308</v>
      </c>
      <c r="EB10">
        <v>25.250920148485097</v>
      </c>
      <c r="ED10">
        <v>122.36296188580636</v>
      </c>
      <c r="EE10">
        <v>102.79757081603182</v>
      </c>
      <c r="EF10">
        <v>2.9207952348325131E-2</v>
      </c>
      <c r="EG10">
        <v>16.418178312789831</v>
      </c>
      <c r="EH10">
        <v>3.1180048046363988</v>
      </c>
      <c r="EJ10">
        <v>53.134160769552146</v>
      </c>
      <c r="EK10">
        <v>53.134160769552146</v>
      </c>
      <c r="EL10">
        <v>47.150071315883999</v>
      </c>
      <c r="EM10">
        <v>0</v>
      </c>
      <c r="EN10">
        <v>5.8076003734340533</v>
      </c>
      <c r="EO10">
        <v>0.17648908023408474</v>
      </c>
      <c r="EP10">
        <v>0</v>
      </c>
      <c r="ET10">
        <v>9328.6461079580276</v>
      </c>
      <c r="EU10">
        <v>8375.33417560214</v>
      </c>
      <c r="EV10">
        <v>7139.41909072011</v>
      </c>
      <c r="EW10">
        <v>0.35516935834647018</v>
      </c>
      <c r="EX10">
        <v>1072.0230942129708</v>
      </c>
      <c r="EY10">
        <v>163.53682131071406</v>
      </c>
      <c r="EZ10">
        <v>953.31193235588626</v>
      </c>
      <c r="FB10">
        <v>4619.6364709959307</v>
      </c>
      <c r="FC10">
        <v>3880.9734575950361</v>
      </c>
      <c r="FD10">
        <v>1.1027039541373294</v>
      </c>
      <c r="FE10">
        <v>619.84455224172041</v>
      </c>
      <c r="FF10">
        <v>117.7157572050376</v>
      </c>
      <c r="FH10">
        <v>2006.0033131255609</v>
      </c>
      <c r="FI10">
        <v>2006.0033131255609</v>
      </c>
      <c r="FJ10">
        <v>1780.0826794646482</v>
      </c>
      <c r="FK10">
        <v>0</v>
      </c>
      <c r="FL10">
        <v>219.25754395454527</v>
      </c>
      <c r="FM10">
        <v>6.6630897063670895</v>
      </c>
      <c r="FN10">
        <v>0</v>
      </c>
    </row>
    <row r="11" spans="1:170" x14ac:dyDescent="0.25">
      <c r="A11">
        <v>2006</v>
      </c>
      <c r="C11">
        <v>81826.187061983728</v>
      </c>
      <c r="D11">
        <v>4208156</v>
      </c>
      <c r="F11">
        <v>1491196</v>
      </c>
      <c r="G11">
        <v>159069.56889369537</v>
      </c>
      <c r="H11">
        <v>62827</v>
      </c>
      <c r="I11">
        <v>7159.5201574782841</v>
      </c>
      <c r="K11">
        <v>2601.42</v>
      </c>
      <c r="L11">
        <v>2750.8304761904765</v>
      </c>
      <c r="M11">
        <v>0.94568532031192654</v>
      </c>
      <c r="Q11">
        <v>2.8220005954951595</v>
      </c>
      <c r="R11">
        <v>37.800302292428171</v>
      </c>
      <c r="S11">
        <v>106.67247557912934</v>
      </c>
      <c r="T11">
        <v>40.38131826211545</v>
      </c>
      <c r="U11">
        <v>113.95610418256935</v>
      </c>
      <c r="V11">
        <v>19444.665801834279</v>
      </c>
      <c r="W11">
        <v>54872.858471980704</v>
      </c>
      <c r="X11">
        <v>1.5732418154891763</v>
      </c>
      <c r="AB11">
        <v>3314.5981943250213</v>
      </c>
      <c r="AC11">
        <v>489.14883920894238</v>
      </c>
      <c r="AD11">
        <v>1482.2584694754942</v>
      </c>
      <c r="AE11">
        <v>49.886156491831471</v>
      </c>
      <c r="AF11">
        <v>1432.3723129836626</v>
      </c>
      <c r="AG11">
        <v>630.80395528804809</v>
      </c>
      <c r="AH11">
        <v>22.310490111779874</v>
      </c>
      <c r="AI11">
        <v>16.779965606190881</v>
      </c>
      <c r="AJ11">
        <v>0</v>
      </c>
      <c r="AK11">
        <v>0</v>
      </c>
      <c r="AL11">
        <v>0.61762682717110917</v>
      </c>
      <c r="AM11">
        <v>0</v>
      </c>
      <c r="AN11">
        <v>4.9128976784178846</v>
      </c>
      <c r="AO11">
        <v>0</v>
      </c>
      <c r="AP11">
        <v>694.98933791917443</v>
      </c>
      <c r="AR11">
        <v>3314.5981943250204</v>
      </c>
      <c r="AS11">
        <v>2967.1816562294953</v>
      </c>
      <c r="AT11">
        <v>2534.4699634836597</v>
      </c>
      <c r="AU11">
        <v>0.15468001318977886</v>
      </c>
      <c r="AV11">
        <v>374.85192515710219</v>
      </c>
      <c r="AW11">
        <v>57.705087575543907</v>
      </c>
      <c r="AX11">
        <v>347.41653809552514</v>
      </c>
      <c r="AZ11">
        <v>1</v>
      </c>
      <c r="BA11">
        <v>0.89518592670135921</v>
      </c>
      <c r="BB11">
        <v>0.76463867259173934</v>
      </c>
      <c r="BC11">
        <v>4.6666293807378868E-5</v>
      </c>
      <c r="BD11">
        <v>0.11309121141708592</v>
      </c>
      <c r="BE11">
        <v>1.7409376398726629E-2</v>
      </c>
      <c r="BF11">
        <v>0.1048140732986408</v>
      </c>
      <c r="BJ11">
        <v>8096.4005436551997</v>
      </c>
      <c r="BK11">
        <v>2078.2101888552002</v>
      </c>
      <c r="BL11">
        <v>4536.5613048000005</v>
      </c>
      <c r="BM11">
        <v>131.79278016000004</v>
      </c>
      <c r="BN11">
        <v>4404.7685246400006</v>
      </c>
      <c r="BO11">
        <v>1481.62905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8096.4005436551988</v>
      </c>
      <c r="CA11">
        <v>8096.4005436551988</v>
      </c>
      <c r="CB11">
        <v>7194.1372132122469</v>
      </c>
      <c r="CC11">
        <v>0</v>
      </c>
      <c r="CD11">
        <v>873.94184159914789</v>
      </c>
      <c r="CE11">
        <v>28.321488843804325</v>
      </c>
      <c r="CF11">
        <v>0</v>
      </c>
      <c r="CH11">
        <v>1</v>
      </c>
      <c r="CI11">
        <v>1</v>
      </c>
      <c r="CJ11">
        <v>0.88855994394323579</v>
      </c>
      <c r="CK11">
        <v>0</v>
      </c>
      <c r="CL11">
        <v>0.10794202150534889</v>
      </c>
      <c r="CM11">
        <v>3.4980345514154013E-3</v>
      </c>
      <c r="CN11">
        <v>0</v>
      </c>
      <c r="CR11">
        <v>25850.912287854841</v>
      </c>
      <c r="CS11">
        <v>23141.372872478889</v>
      </c>
      <c r="CT11">
        <v>19766.607257070809</v>
      </c>
      <c r="CU11">
        <v>1.2063662680138143</v>
      </c>
      <c r="CV11">
        <v>2923.5109868703362</v>
      </c>
      <c r="CW11">
        <v>450.04826226973216</v>
      </c>
      <c r="CX11">
        <v>2709.5394153759512</v>
      </c>
      <c r="CZ11">
        <v>12996.203892467978</v>
      </c>
      <c r="DA11">
        <v>10960.52611706786</v>
      </c>
      <c r="DB11">
        <v>4.0272551034823518</v>
      </c>
      <c r="DC11">
        <v>1706.7725303756472</v>
      </c>
      <c r="DD11">
        <v>324.87798992098857</v>
      </c>
      <c r="DF11">
        <v>5429.4677182980631</v>
      </c>
      <c r="DG11">
        <v>5429.4677182980631</v>
      </c>
      <c r="DH11">
        <v>4824.4075314125348</v>
      </c>
      <c r="DI11">
        <v>0</v>
      </c>
      <c r="DJ11">
        <v>586.06772121112715</v>
      </c>
      <c r="DK11">
        <v>18.992465674401171</v>
      </c>
      <c r="DL11">
        <v>0</v>
      </c>
      <c r="DN11">
        <v>0.56160038404306789</v>
      </c>
      <c r="DO11">
        <v>0.55449708564159972</v>
      </c>
      <c r="DP11">
        <v>3.338335305174692</v>
      </c>
      <c r="DQ11">
        <v>0.58380917261500487</v>
      </c>
      <c r="DR11">
        <v>0.7218736681317881</v>
      </c>
      <c r="DV11">
        <v>242.33910526130711</v>
      </c>
      <c r="DW11">
        <v>216.93855651932145</v>
      </c>
      <c r="DX11">
        <v>185.30185176407568</v>
      </c>
      <c r="DY11">
        <v>1.1309067887141472E-2</v>
      </c>
      <c r="DZ11">
        <v>27.406422987733929</v>
      </c>
      <c r="EA11">
        <v>4.2189726996247279</v>
      </c>
      <c r="EB11">
        <v>25.400548741985673</v>
      </c>
      <c r="ED11">
        <v>121.83277665499972</v>
      </c>
      <c r="EE11">
        <v>102.74933676717168</v>
      </c>
      <c r="EF11">
        <v>3.7753460596261737E-2</v>
      </c>
      <c r="EG11">
        <v>16.000121128805791</v>
      </c>
      <c r="EH11">
        <v>3.0455652984259749</v>
      </c>
      <c r="EJ11">
        <v>50.898488000969841</v>
      </c>
      <c r="EK11">
        <v>50.898488000969841</v>
      </c>
      <c r="EL11">
        <v>45.226357644937217</v>
      </c>
      <c r="EM11">
        <v>0</v>
      </c>
      <c r="EN11">
        <v>5.4940856863904299</v>
      </c>
      <c r="EO11">
        <v>0.17804466964219476</v>
      </c>
      <c r="EP11">
        <v>0</v>
      </c>
      <c r="ET11">
        <v>9160.4914361539795</v>
      </c>
      <c r="EU11">
        <v>8200.343015313365</v>
      </c>
      <c r="EV11">
        <v>7004.4660120287754</v>
      </c>
      <c r="EW11">
        <v>0.42748618477953959</v>
      </c>
      <c r="EX11">
        <v>1035.9710736904949</v>
      </c>
      <c r="EY11">
        <v>159.47844340931647</v>
      </c>
      <c r="EZ11">
        <v>960.14842084061456</v>
      </c>
      <c r="FB11">
        <v>4605.315786684876</v>
      </c>
      <c r="FC11">
        <v>3883.9559901455946</v>
      </c>
      <c r="FD11">
        <v>1.4270922231239691</v>
      </c>
      <c r="FE11">
        <v>604.80941538432603</v>
      </c>
      <c r="FF11">
        <v>115.12328893183108</v>
      </c>
      <c r="FH11">
        <v>1923.978232664188</v>
      </c>
      <c r="FI11">
        <v>1923.978232664188</v>
      </c>
      <c r="FJ11">
        <v>1709.5699905640963</v>
      </c>
      <c r="FK11">
        <v>0</v>
      </c>
      <c r="FL11">
        <v>207.67809976606097</v>
      </c>
      <c r="FM11">
        <v>6.7301423340304707</v>
      </c>
      <c r="FN11">
        <v>0</v>
      </c>
    </row>
    <row r="12" spans="1:170" x14ac:dyDescent="0.25">
      <c r="A12">
        <v>2007</v>
      </c>
      <c r="C12">
        <v>87287.456138631329</v>
      </c>
      <c r="D12">
        <v>4340118</v>
      </c>
      <c r="F12">
        <v>1546177</v>
      </c>
      <c r="G12">
        <v>165669.5727380859</v>
      </c>
      <c r="H12">
        <v>87398</v>
      </c>
      <c r="I12">
        <v>9990.7828435431475</v>
      </c>
      <c r="K12">
        <v>2523.35</v>
      </c>
      <c r="L12">
        <v>2750.8304761904765</v>
      </c>
      <c r="M12">
        <v>0.91730480007422843</v>
      </c>
      <c r="Q12">
        <v>2.80699945737131</v>
      </c>
      <c r="R12">
        <v>38.171674765083786</v>
      </c>
      <c r="S12">
        <v>107.1478703525443</v>
      </c>
      <c r="T12">
        <v>40.724493939218206</v>
      </c>
      <c r="U12">
        <v>114.3136323891067</v>
      </c>
      <c r="V12">
        <v>20111.770264917068</v>
      </c>
      <c r="W12">
        <v>56453.728220398654</v>
      </c>
      <c r="X12">
        <v>1.5969263552532125</v>
      </c>
      <c r="AB12">
        <v>3267.9920894239035</v>
      </c>
      <c r="AC12">
        <v>468.1120378331899</v>
      </c>
      <c r="AD12">
        <v>1490.2752364574374</v>
      </c>
      <c r="AE12">
        <v>46.918314703353388</v>
      </c>
      <c r="AF12">
        <v>1443.3569217540839</v>
      </c>
      <c r="AG12">
        <v>591.72398968185723</v>
      </c>
      <c r="AH12">
        <v>31.397592433361993</v>
      </c>
      <c r="AI12">
        <v>23.205159071367149</v>
      </c>
      <c r="AJ12">
        <v>0</v>
      </c>
      <c r="AK12">
        <v>0</v>
      </c>
      <c r="AL12">
        <v>1.387618228718831</v>
      </c>
      <c r="AM12">
        <v>0</v>
      </c>
      <c r="AN12">
        <v>6.8048151332760094</v>
      </c>
      <c r="AO12">
        <v>0</v>
      </c>
      <c r="AP12">
        <v>693.28804815133265</v>
      </c>
      <c r="AR12">
        <v>3267.9920894239026</v>
      </c>
      <c r="AS12">
        <v>2906.4441595191993</v>
      </c>
      <c r="AT12">
        <v>2457.136210352975</v>
      </c>
      <c r="AU12">
        <v>0.17988574757120818</v>
      </c>
      <c r="AV12">
        <v>389.23158352607715</v>
      </c>
      <c r="AW12">
        <v>59.896479892576167</v>
      </c>
      <c r="AX12">
        <v>361.54792990470344</v>
      </c>
      <c r="AZ12">
        <v>1</v>
      </c>
      <c r="BA12">
        <v>0.88936695071118155</v>
      </c>
      <c r="BB12">
        <v>0.75187948535889226</v>
      </c>
      <c r="BC12">
        <v>5.5044731642211317E-5</v>
      </c>
      <c r="BD12">
        <v>0.11910420003332771</v>
      </c>
      <c r="BE12">
        <v>1.8328220587319418E-2</v>
      </c>
      <c r="BF12">
        <v>0.11063304928881845</v>
      </c>
      <c r="BJ12">
        <v>7948.954556883602</v>
      </c>
      <c r="BK12">
        <v>1990.1792742036</v>
      </c>
      <c r="BL12">
        <v>4568.9370526800003</v>
      </c>
      <c r="BM12">
        <v>123.9521256</v>
      </c>
      <c r="BN12">
        <v>4444.9849270800005</v>
      </c>
      <c r="BO12">
        <v>1389.8382300000001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7948.9545568836002</v>
      </c>
      <c r="CA12">
        <v>7948.9545568836002</v>
      </c>
      <c r="CB12">
        <v>7006.9530312940115</v>
      </c>
      <c r="CC12">
        <v>0</v>
      </c>
      <c r="CD12">
        <v>913.60990570228842</v>
      </c>
      <c r="CE12">
        <v>28.391619887300223</v>
      </c>
      <c r="CF12">
        <v>0</v>
      </c>
      <c r="CH12">
        <v>1</v>
      </c>
      <c r="CI12">
        <v>1</v>
      </c>
      <c r="CJ12">
        <v>0.88149365821020598</v>
      </c>
      <c r="CK12">
        <v>0</v>
      </c>
      <c r="CL12">
        <v>0.1149345991556996</v>
      </c>
      <c r="CM12">
        <v>3.5717426340944138E-3</v>
      </c>
      <c r="CN12">
        <v>0</v>
      </c>
      <c r="CR12">
        <v>24581.110700780038</v>
      </c>
      <c r="CS12">
        <v>21861.62746904674</v>
      </c>
      <c r="CT12">
        <v>18482.032863252454</v>
      </c>
      <c r="CU12">
        <v>1.3530606419919269</v>
      </c>
      <c r="CV12">
        <v>2927.7135259470788</v>
      </c>
      <c r="CW12">
        <v>450.52801920521438</v>
      </c>
      <c r="CX12">
        <v>2719.4832317333016</v>
      </c>
      <c r="CZ12">
        <v>12441.000030212084</v>
      </c>
      <c r="DA12">
        <v>10389.71529285498</v>
      </c>
      <c r="DB12">
        <v>4.709115057279166</v>
      </c>
      <c r="DC12">
        <v>1719.9529248849558</v>
      </c>
      <c r="DD12">
        <v>326.62269741486847</v>
      </c>
      <c r="DF12">
        <v>5141.0378998546739</v>
      </c>
      <c r="DG12">
        <v>5141.0378998546739</v>
      </c>
      <c r="DH12">
        <v>4531.792305340211</v>
      </c>
      <c r="DI12">
        <v>0</v>
      </c>
      <c r="DJ12">
        <v>590.8831302640566</v>
      </c>
      <c r="DK12">
        <v>18.362464250406145</v>
      </c>
      <c r="DL12">
        <v>0</v>
      </c>
      <c r="DN12">
        <v>0.56907931707403503</v>
      </c>
      <c r="DO12">
        <v>0.56215219233338187</v>
      </c>
      <c r="DP12">
        <v>3.48034294334848</v>
      </c>
      <c r="DQ12">
        <v>0.58747309449566876</v>
      </c>
      <c r="DR12">
        <v>0.72497754521698821</v>
      </c>
      <c r="DV12">
        <v>229.41296565113061</v>
      </c>
      <c r="DW12">
        <v>204.03230971475503</v>
      </c>
      <c r="DX12">
        <v>172.49090254842932</v>
      </c>
      <c r="DY12">
        <v>1.2627975129510327E-2</v>
      </c>
      <c r="DZ12">
        <v>27.324047751151198</v>
      </c>
      <c r="EA12">
        <v>4.2047314400450544</v>
      </c>
      <c r="EB12">
        <v>25.38065593637555</v>
      </c>
      <c r="ED12">
        <v>116.1105674735108</v>
      </c>
      <c r="EE12">
        <v>96.966139025163258</v>
      </c>
      <c r="EF12">
        <v>4.3949684130771383E-2</v>
      </c>
      <c r="EG12">
        <v>16.052142886516215</v>
      </c>
      <c r="EH12">
        <v>3.0483358777005556</v>
      </c>
      <c r="EJ12">
        <v>47.980775380222909</v>
      </c>
      <c r="EK12">
        <v>47.980775380222909</v>
      </c>
      <c r="EL12">
        <v>42.294749213674883</v>
      </c>
      <c r="EM12">
        <v>0</v>
      </c>
      <c r="EN12">
        <v>5.5146511855055795</v>
      </c>
      <c r="EO12">
        <v>0.17137498104244978</v>
      </c>
      <c r="EP12">
        <v>0</v>
      </c>
      <c r="ET12">
        <v>8757.0771117282948</v>
      </c>
      <c r="EU12">
        <v>7788.254968000474</v>
      </c>
      <c r="EV12">
        <v>6584.2666320144053</v>
      </c>
      <c r="EW12">
        <v>0.48203095958523506</v>
      </c>
      <c r="EX12">
        <v>1043.0046640225626</v>
      </c>
      <c r="EY12">
        <v>160.5016410039222</v>
      </c>
      <c r="EZ12">
        <v>968.82214372782062</v>
      </c>
      <c r="FB12">
        <v>4432.134818388171</v>
      </c>
      <c r="FC12">
        <v>3701.3599220944302</v>
      </c>
      <c r="FD12">
        <v>1.6776330486679691</v>
      </c>
      <c r="FE12">
        <v>612.73717754675022</v>
      </c>
      <c r="FF12">
        <v>116.36008569832184</v>
      </c>
      <c r="FH12">
        <v>1831.506552790408</v>
      </c>
      <c r="FI12">
        <v>1831.506552790408</v>
      </c>
      <c r="FJ12">
        <v>1614.4614112551806</v>
      </c>
      <c r="FK12">
        <v>0</v>
      </c>
      <c r="FL12">
        <v>210.5034714960027</v>
      </c>
      <c r="FM12">
        <v>6.5416700392247913</v>
      </c>
      <c r="FN12">
        <v>0</v>
      </c>
    </row>
    <row r="13" spans="1:170" x14ac:dyDescent="0.25">
      <c r="A13">
        <v>2008</v>
      </c>
      <c r="C13">
        <v>87454.275207752231</v>
      </c>
      <c r="D13">
        <v>4457765</v>
      </c>
      <c r="F13">
        <v>1610464</v>
      </c>
      <c r="G13">
        <v>173460.22922310219</v>
      </c>
      <c r="H13">
        <v>97900</v>
      </c>
      <c r="I13">
        <v>11306.535637884095</v>
      </c>
      <c r="K13">
        <v>2803.54</v>
      </c>
      <c r="L13">
        <v>2750.8304761904765</v>
      </c>
      <c r="M13">
        <v>1.0191613130164674</v>
      </c>
      <c r="Q13">
        <v>2.7680004023685099</v>
      </c>
      <c r="R13">
        <v>38.911927663998028</v>
      </c>
      <c r="S13">
        <v>107.7082314308809</v>
      </c>
      <c r="T13">
        <v>41.723498358288424</v>
      </c>
      <c r="U13">
        <v>115.49066024396421</v>
      </c>
      <c r="V13">
        <v>19618.413085425596</v>
      </c>
      <c r="W13">
        <v>54303.775314289691</v>
      </c>
      <c r="X13">
        <v>1.5454616964671757</v>
      </c>
      <c r="AB13">
        <v>3570.4466036113495</v>
      </c>
      <c r="AC13">
        <v>494.94230438521066</v>
      </c>
      <c r="AD13">
        <v>1651.3725709372311</v>
      </c>
      <c r="AE13">
        <v>40.339638865004297</v>
      </c>
      <c r="AF13">
        <v>1611.0329320722269</v>
      </c>
      <c r="AG13">
        <v>667.47635425623389</v>
      </c>
      <c r="AH13">
        <v>32.333104041272577</v>
      </c>
      <c r="AI13">
        <v>20.430696474634573</v>
      </c>
      <c r="AJ13">
        <v>0</v>
      </c>
      <c r="AK13">
        <v>0</v>
      </c>
      <c r="AL13">
        <v>3.150386930352536</v>
      </c>
      <c r="AM13">
        <v>0</v>
      </c>
      <c r="AN13">
        <v>8.7520206362854722</v>
      </c>
      <c r="AO13">
        <v>0</v>
      </c>
      <c r="AP13">
        <v>733.07429062768699</v>
      </c>
      <c r="AR13">
        <v>3570.4466036113495</v>
      </c>
      <c r="AS13">
        <v>3193.9886519486895</v>
      </c>
      <c r="AT13">
        <v>2713.0641021022584</v>
      </c>
      <c r="AU13">
        <v>0.20130175290109145</v>
      </c>
      <c r="AV13">
        <v>420.26514964367414</v>
      </c>
      <c r="AW13">
        <v>60.458098449855662</v>
      </c>
      <c r="AX13">
        <v>376.45795166265987</v>
      </c>
      <c r="AZ13">
        <v>1</v>
      </c>
      <c r="BA13">
        <v>0.89456278346751095</v>
      </c>
      <c r="BB13">
        <v>0.75986687473721459</v>
      </c>
      <c r="BC13">
        <v>5.637999254700619E-5</v>
      </c>
      <c r="BD13">
        <v>0.11770660544778754</v>
      </c>
      <c r="BE13">
        <v>1.6932923289961811E-2</v>
      </c>
      <c r="BF13">
        <v>0.10543721653248903</v>
      </c>
      <c r="BJ13">
        <v>8721.3121369691999</v>
      </c>
      <c r="BK13">
        <v>2099.5054927691999</v>
      </c>
      <c r="BL13">
        <v>5054.0416541999994</v>
      </c>
      <c r="BM13">
        <v>106.572114</v>
      </c>
      <c r="BN13">
        <v>4947.4695401999998</v>
      </c>
      <c r="BO13">
        <v>1567.7649899999999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8721.312136969198</v>
      </c>
      <c r="CA13">
        <v>8721.312136969198</v>
      </c>
      <c r="CB13">
        <v>7703.1637546241855</v>
      </c>
      <c r="CC13">
        <v>0</v>
      </c>
      <c r="CD13">
        <v>988.71080586065102</v>
      </c>
      <c r="CE13">
        <v>29.437576484360367</v>
      </c>
      <c r="CF13">
        <v>0</v>
      </c>
      <c r="CH13">
        <v>1</v>
      </c>
      <c r="CI13">
        <v>1</v>
      </c>
      <c r="CJ13">
        <v>0.88325743118066691</v>
      </c>
      <c r="CK13">
        <v>0</v>
      </c>
      <c r="CL13">
        <v>0.11336720786194043</v>
      </c>
      <c r="CM13">
        <v>3.3753609573926356E-3</v>
      </c>
      <c r="CN13">
        <v>0</v>
      </c>
      <c r="CR13">
        <v>25784.056023605615</v>
      </c>
      <c r="CS13">
        <v>23065.456925558879</v>
      </c>
      <c r="CT13">
        <v>19592.45006870645</v>
      </c>
      <c r="CU13">
        <v>1.4537048864424746</v>
      </c>
      <c r="CV13">
        <v>3034.953709214195</v>
      </c>
      <c r="CW13">
        <v>436.59944275179168</v>
      </c>
      <c r="CX13">
        <v>2718.5990980467336</v>
      </c>
      <c r="CZ13">
        <v>13321.434011715215</v>
      </c>
      <c r="DA13">
        <v>11201.599202172112</v>
      </c>
      <c r="DB13">
        <v>5.1757108489935773</v>
      </c>
      <c r="DC13">
        <v>1797.9896095811812</v>
      </c>
      <c r="DD13">
        <v>316.66948911292877</v>
      </c>
      <c r="DF13">
        <v>5415.4033477117146</v>
      </c>
      <c r="DG13">
        <v>5415.4033477117146</v>
      </c>
      <c r="DH13">
        <v>4783.1952497070324</v>
      </c>
      <c r="DI13">
        <v>0</v>
      </c>
      <c r="DJ13">
        <v>613.929156976282</v>
      </c>
      <c r="DK13">
        <v>18.278941028399498</v>
      </c>
      <c r="DL13">
        <v>0</v>
      </c>
      <c r="DN13">
        <v>0.57754910534435189</v>
      </c>
      <c r="DO13">
        <v>0.57173039425342653</v>
      </c>
      <c r="DP13">
        <v>3.5603587064081785</v>
      </c>
      <c r="DQ13">
        <v>0.59242735865210716</v>
      </c>
      <c r="DR13">
        <v>0.72530896310134896</v>
      </c>
      <c r="DV13">
        <v>239.38798066842176</v>
      </c>
      <c r="DW13">
        <v>214.14757831541007</v>
      </c>
      <c r="DX13">
        <v>181.90299672016641</v>
      </c>
      <c r="DY13">
        <v>1.3496692565928481E-2</v>
      </c>
      <c r="DZ13">
        <v>28.17754658948051</v>
      </c>
      <c r="EA13">
        <v>4.0535383131972473</v>
      </c>
      <c r="EB13">
        <v>25.240402353011685</v>
      </c>
      <c r="ED13">
        <v>123.6807422677246</v>
      </c>
      <c r="EE13">
        <v>103.99947203070047</v>
      </c>
      <c r="EF13">
        <v>4.8053066884818009E-2</v>
      </c>
      <c r="EG13">
        <v>16.693149499302628</v>
      </c>
      <c r="EH13">
        <v>2.9400676708366862</v>
      </c>
      <c r="EJ13">
        <v>50.278453891306498</v>
      </c>
      <c r="EK13">
        <v>50.278453891306498</v>
      </c>
      <c r="EL13">
        <v>44.408818027770977</v>
      </c>
      <c r="EM13">
        <v>0</v>
      </c>
      <c r="EN13">
        <v>5.6999279332727308</v>
      </c>
      <c r="EO13">
        <v>0.1697079302627818</v>
      </c>
      <c r="EP13">
        <v>0</v>
      </c>
      <c r="ET13">
        <v>9315.0477874001863</v>
      </c>
      <c r="EU13">
        <v>8332.895076829589</v>
      </c>
      <c r="EV13">
        <v>7078.1962502395854</v>
      </c>
      <c r="EW13">
        <v>0.52518232482862903</v>
      </c>
      <c r="EX13">
        <v>1096.4426546387999</v>
      </c>
      <c r="EY13">
        <v>157.73098962637587</v>
      </c>
      <c r="EZ13">
        <v>982.15271057059647</v>
      </c>
      <c r="FB13">
        <v>4812.6560965512836</v>
      </c>
      <c r="FC13">
        <v>4046.8199327526031</v>
      </c>
      <c r="FD13">
        <v>1.8698374626552976</v>
      </c>
      <c r="FE13">
        <v>649.56262580116891</v>
      </c>
      <c r="FF13">
        <v>114.40370053485633</v>
      </c>
      <c r="FH13">
        <v>1956.4315608761788</v>
      </c>
      <c r="FI13">
        <v>1956.4315608761788</v>
      </c>
      <c r="FJ13">
        <v>1728.0327147402761</v>
      </c>
      <c r="FK13">
        <v>0</v>
      </c>
      <c r="FL13">
        <v>221.7951834295103</v>
      </c>
      <c r="FM13">
        <v>6.6036627063921873</v>
      </c>
      <c r="FN13">
        <v>0</v>
      </c>
    </row>
    <row r="14" spans="1:170" x14ac:dyDescent="0.25">
      <c r="A14">
        <v>2009</v>
      </c>
      <c r="C14">
        <v>82798.400677748956</v>
      </c>
      <c r="D14">
        <v>4521322</v>
      </c>
      <c r="F14">
        <v>1669617</v>
      </c>
      <c r="G14">
        <v>180742.3646103616</v>
      </c>
      <c r="H14">
        <v>94163</v>
      </c>
      <c r="I14">
        <v>10944.139050779584</v>
      </c>
      <c r="K14">
        <v>2817.65</v>
      </c>
      <c r="L14">
        <v>2750.8304761904765</v>
      </c>
      <c r="M14">
        <v>1.0242906730850458</v>
      </c>
      <c r="Q14">
        <v>2.7079994992863634</v>
      </c>
      <c r="R14">
        <v>39.975556841640916</v>
      </c>
      <c r="S14">
        <v>108.25378791085717</v>
      </c>
      <c r="T14">
        <v>42.919310471141443</v>
      </c>
      <c r="U14">
        <v>116.22547126556699</v>
      </c>
      <c r="V14">
        <v>18312.874127909705</v>
      </c>
      <c r="W14">
        <v>49591.25396887368</v>
      </c>
      <c r="X14">
        <v>1.438197201225625</v>
      </c>
      <c r="AB14">
        <v>3469.0868443680133</v>
      </c>
      <c r="AC14">
        <v>515.63086844368013</v>
      </c>
      <c r="AD14">
        <v>1599.5504729148752</v>
      </c>
      <c r="AE14">
        <v>29.525967325881339</v>
      </c>
      <c r="AF14">
        <v>1570.0245055889941</v>
      </c>
      <c r="AG14">
        <v>623.44127257093726</v>
      </c>
      <c r="AH14">
        <v>41.401719690455721</v>
      </c>
      <c r="AI14">
        <v>26.702579535683579</v>
      </c>
      <c r="AJ14">
        <v>0</v>
      </c>
      <c r="AK14">
        <v>0</v>
      </c>
      <c r="AL14">
        <v>5.2944969905417034</v>
      </c>
      <c r="AM14">
        <v>0</v>
      </c>
      <c r="AN14">
        <v>9.4046431642304391</v>
      </c>
      <c r="AO14">
        <v>0</v>
      </c>
      <c r="AP14">
        <v>698.46715391229577</v>
      </c>
      <c r="AR14">
        <v>3469.086844368012</v>
      </c>
      <c r="AS14">
        <v>3082.0123062895832</v>
      </c>
      <c r="AT14">
        <v>2575.1846203823006</v>
      </c>
      <c r="AU14">
        <v>0.21430810623941596</v>
      </c>
      <c r="AV14">
        <v>444.83094331824526</v>
      </c>
      <c r="AW14">
        <v>61.782434482797598</v>
      </c>
      <c r="AX14">
        <v>387.07453807842882</v>
      </c>
      <c r="AZ14">
        <v>1</v>
      </c>
      <c r="BA14">
        <v>0.88842177914720244</v>
      </c>
      <c r="BB14">
        <v>0.74232348047528918</v>
      </c>
      <c r="BC14">
        <v>6.177651810226099E-5</v>
      </c>
      <c r="BD14">
        <v>0.12822709931301338</v>
      </c>
      <c r="BE14">
        <v>1.7809422840797444E-2</v>
      </c>
      <c r="BF14">
        <v>0.11157822085279763</v>
      </c>
      <c r="BJ14">
        <v>8531.713950102001</v>
      </c>
      <c r="BK14">
        <v>2178.3168946619999</v>
      </c>
      <c r="BL14">
        <v>4889.0614363200002</v>
      </c>
      <c r="BM14">
        <v>78.00379092</v>
      </c>
      <c r="BN14">
        <v>4811.0576454000002</v>
      </c>
      <c r="BO14">
        <v>1464.3356191200005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8531.7139501019956</v>
      </c>
      <c r="CA14">
        <v>8531.7139501019956</v>
      </c>
      <c r="CB14">
        <v>7440.191211650872</v>
      </c>
      <c r="CC14">
        <v>0</v>
      </c>
      <c r="CD14">
        <v>1062.2964067300759</v>
      </c>
      <c r="CE14">
        <v>29.226331721047263</v>
      </c>
      <c r="CF14">
        <v>0</v>
      </c>
      <c r="CH14">
        <v>1</v>
      </c>
      <c r="CI14">
        <v>1</v>
      </c>
      <c r="CJ14">
        <v>0.87206290027596689</v>
      </c>
      <c r="CK14">
        <v>0</v>
      </c>
      <c r="CL14">
        <v>0.12451148889226135</v>
      </c>
      <c r="CM14">
        <v>3.4256108317717178E-3</v>
      </c>
      <c r="CN14">
        <v>0</v>
      </c>
      <c r="CR14">
        <v>24164.511980891413</v>
      </c>
      <c r="CS14">
        <v>21468.278726287437</v>
      </c>
      <c r="CT14">
        <v>17937.884637642139</v>
      </c>
      <c r="CU14">
        <v>1.4927994118198411</v>
      </c>
      <c r="CV14">
        <v>3098.5452776242646</v>
      </c>
      <c r="CW14">
        <v>430.35601160921107</v>
      </c>
      <c r="CX14">
        <v>2696.2332546039761</v>
      </c>
      <c r="CZ14">
        <v>12588.094583641188</v>
      </c>
      <c r="DA14">
        <v>10414.690300095184</v>
      </c>
      <c r="DB14">
        <v>5.4579842027142966</v>
      </c>
      <c r="DC14">
        <v>1854.6434634866473</v>
      </c>
      <c r="DD14">
        <v>313.30283585664046</v>
      </c>
      <c r="DF14">
        <v>5109.9826787233214</v>
      </c>
      <c r="DG14">
        <v>5109.9826787233214</v>
      </c>
      <c r="DH14">
        <v>4456.2263151674142</v>
      </c>
      <c r="DI14">
        <v>0</v>
      </c>
      <c r="DJ14">
        <v>636.25155154150673</v>
      </c>
      <c r="DK14">
        <v>17.504812014400468</v>
      </c>
      <c r="DL14">
        <v>0</v>
      </c>
      <c r="DN14">
        <v>0.58635788849840764</v>
      </c>
      <c r="DO14">
        <v>0.5805974623250868</v>
      </c>
      <c r="DP14">
        <v>3.6562073641632673</v>
      </c>
      <c r="DQ14">
        <v>0.59855296512195899</v>
      </c>
      <c r="DR14">
        <v>0.7280085032044078</v>
      </c>
      <c r="DV14">
        <v>223.22093708896321</v>
      </c>
      <c r="DW14">
        <v>198.31434207148243</v>
      </c>
      <c r="DX14">
        <v>165.70214293483474</v>
      </c>
      <c r="DY14">
        <v>1.3789812260879998E-2</v>
      </c>
      <c r="DZ14">
        <v>28.622973268850391</v>
      </c>
      <c r="EA14">
        <v>3.9754360555363903</v>
      </c>
      <c r="EB14">
        <v>24.906595017480779</v>
      </c>
      <c r="ED14">
        <v>116.28317887598536</v>
      </c>
      <c r="EE14">
        <v>96.206243689793851</v>
      </c>
      <c r="EF14">
        <v>5.0418413138658358E-2</v>
      </c>
      <c r="EG14">
        <v>17.132365520676974</v>
      </c>
      <c r="EH14">
        <v>2.8941512523758828</v>
      </c>
      <c r="EJ14">
        <v>47.203730948714657</v>
      </c>
      <c r="EK14">
        <v>47.203730948714657</v>
      </c>
      <c r="EL14">
        <v>41.164622514982526</v>
      </c>
      <c r="EM14">
        <v>0</v>
      </c>
      <c r="EN14">
        <v>5.8774068216941782</v>
      </c>
      <c r="EO14">
        <v>0.1617016120379548</v>
      </c>
      <c r="EP14">
        <v>0</v>
      </c>
      <c r="ET14">
        <v>8923.3812588441997</v>
      </c>
      <c r="EU14">
        <v>7927.7262539911662</v>
      </c>
      <c r="EV14">
        <v>6624.0354336731943</v>
      </c>
      <c r="EW14">
        <v>0.55125542387036519</v>
      </c>
      <c r="EX14">
        <v>1144.2192948856975</v>
      </c>
      <c r="EY14">
        <v>158.92027000840375</v>
      </c>
      <c r="EZ14">
        <v>995.65500485303323</v>
      </c>
      <c r="FB14">
        <v>4648.4848268836513</v>
      </c>
      <c r="FC14">
        <v>3845.898163142112</v>
      </c>
      <c r="FD14">
        <v>2.0155041402897726</v>
      </c>
      <c r="FE14">
        <v>684.87585170359137</v>
      </c>
      <c r="FF14">
        <v>115.69530789765837</v>
      </c>
      <c r="FH14">
        <v>1886.9954296778676</v>
      </c>
      <c r="FI14">
        <v>1886.9954296778676</v>
      </c>
      <c r="FJ14">
        <v>1645.5787072123755</v>
      </c>
      <c r="FK14">
        <v>0</v>
      </c>
      <c r="FL14">
        <v>234.95261048208377</v>
      </c>
      <c r="FM14">
        <v>6.4641119834082295</v>
      </c>
      <c r="FN14">
        <v>0</v>
      </c>
    </row>
    <row r="15" spans="1:170" x14ac:dyDescent="0.25">
      <c r="A15">
        <v>2010</v>
      </c>
      <c r="C15">
        <v>83048.536781861767</v>
      </c>
      <c r="D15">
        <v>4549428</v>
      </c>
      <c r="F15">
        <v>1700721</v>
      </c>
      <c r="G15">
        <v>184829.34818738364</v>
      </c>
      <c r="H15">
        <v>67400</v>
      </c>
      <c r="I15">
        <v>7883.5012854232909</v>
      </c>
      <c r="K15">
        <v>3166.33</v>
      </c>
      <c r="L15">
        <v>2750.8304761904765</v>
      </c>
      <c r="M15">
        <v>1.151045121611759</v>
      </c>
      <c r="Q15">
        <v>2.6749996031095047</v>
      </c>
      <c r="R15">
        <v>40.626942153471525</v>
      </c>
      <c r="S15">
        <v>108.67705413608914</v>
      </c>
      <c r="T15">
        <v>43.725574503456826</v>
      </c>
      <c r="U15">
        <v>116.96589444248208</v>
      </c>
      <c r="V15">
        <v>18254.720545497534</v>
      </c>
      <c r="W15">
        <v>48831.370214080824</v>
      </c>
      <c r="X15">
        <v>1.4125425086143626</v>
      </c>
      <c r="AB15">
        <v>3625.3338779019768</v>
      </c>
      <c r="AC15">
        <v>482.2126397248494</v>
      </c>
      <c r="AD15">
        <v>1665.924763542562</v>
      </c>
      <c r="AE15">
        <v>37.345915735167672</v>
      </c>
      <c r="AF15">
        <v>1628.5788478073944</v>
      </c>
      <c r="AG15">
        <v>708.29105760963012</v>
      </c>
      <c r="AH15">
        <v>44.404127257093727</v>
      </c>
      <c r="AI15">
        <v>26.737833190025796</v>
      </c>
      <c r="AJ15">
        <v>0</v>
      </c>
      <c r="AK15">
        <v>0</v>
      </c>
      <c r="AL15">
        <v>7.3465176268271692</v>
      </c>
      <c r="AM15">
        <v>0</v>
      </c>
      <c r="AN15">
        <v>10.319776440240766</v>
      </c>
      <c r="AO15">
        <v>0</v>
      </c>
      <c r="AP15">
        <v>734.82106620808236</v>
      </c>
      <c r="AR15">
        <v>3625.3338779019782</v>
      </c>
      <c r="AS15">
        <v>3234.9055726088213</v>
      </c>
      <c r="AT15">
        <v>2724.4420001512126</v>
      </c>
      <c r="AU15">
        <v>0.23828329425340128</v>
      </c>
      <c r="AV15">
        <v>447.81280903259568</v>
      </c>
      <c r="AW15">
        <v>62.412480130759207</v>
      </c>
      <c r="AX15">
        <v>390.42830529315682</v>
      </c>
      <c r="AZ15">
        <v>1</v>
      </c>
      <c r="BA15">
        <v>0.89230555903471653</v>
      </c>
      <c r="BB15">
        <v>0.75150099050404651</v>
      </c>
      <c r="BC15">
        <v>6.5727268791943241E-5</v>
      </c>
      <c r="BD15">
        <v>0.12352319099827297</v>
      </c>
      <c r="BE15">
        <v>1.7215650263604967E-2</v>
      </c>
      <c r="BF15">
        <v>0.10769444096528347</v>
      </c>
      <c r="BJ15">
        <v>8788.5297421199994</v>
      </c>
      <c r="BK15">
        <v>2036.7101019599995</v>
      </c>
      <c r="BL15">
        <v>5088.1892871599994</v>
      </c>
      <c r="BM15">
        <v>98.663084280000021</v>
      </c>
      <c r="BN15">
        <v>4989.5262028799989</v>
      </c>
      <c r="BO15">
        <v>1663.6303529999998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8788.5297421200012</v>
      </c>
      <c r="CA15">
        <v>8788.5297421200012</v>
      </c>
      <c r="CB15">
        <v>7699.7532471430914</v>
      </c>
      <c r="CC15">
        <v>0</v>
      </c>
      <c r="CD15">
        <v>1056.8549511908952</v>
      </c>
      <c r="CE15">
        <v>31.921543786014272</v>
      </c>
      <c r="CF15">
        <v>0</v>
      </c>
      <c r="CH15">
        <v>1</v>
      </c>
      <c r="CI15">
        <v>1</v>
      </c>
      <c r="CJ15">
        <v>0.87611392042529845</v>
      </c>
      <c r="CK15">
        <v>0</v>
      </c>
      <c r="CL15">
        <v>0.12025389709109147</v>
      </c>
      <c r="CM15">
        <v>3.6321824836100559E-3</v>
      </c>
      <c r="CN15">
        <v>0</v>
      </c>
      <c r="CR15">
        <v>24791.034508305602</v>
      </c>
      <c r="CS15">
        <v>22121.177905982575</v>
      </c>
      <c r="CT15">
        <v>18630.486988611658</v>
      </c>
      <c r="CU15">
        <v>1.6294469887577423</v>
      </c>
      <c r="CV15">
        <v>3062.2676906142087</v>
      </c>
      <c r="CW15">
        <v>426.79377976795109</v>
      </c>
      <c r="CX15">
        <v>2669.8566023230223</v>
      </c>
      <c r="CZ15">
        <v>13180.953884447184</v>
      </c>
      <c r="DA15">
        <v>11012.45596403677</v>
      </c>
      <c r="DB15">
        <v>6.1281568155832833</v>
      </c>
      <c r="DC15">
        <v>1852.1162000877396</v>
      </c>
      <c r="DD15">
        <v>310.25356350709205</v>
      </c>
      <c r="DF15">
        <v>5167.5317363165395</v>
      </c>
      <c r="DG15">
        <v>5167.5317363165395</v>
      </c>
      <c r="DH15">
        <v>4527.3464884264331</v>
      </c>
      <c r="DI15">
        <v>0</v>
      </c>
      <c r="DJ15">
        <v>621.41582963395831</v>
      </c>
      <c r="DK15">
        <v>18.769418256147993</v>
      </c>
      <c r="DL15">
        <v>0</v>
      </c>
      <c r="DN15">
        <v>0.59585226159600002</v>
      </c>
      <c r="DO15">
        <v>0.59109866375304121</v>
      </c>
      <c r="DP15">
        <v>3.7608813651895887</v>
      </c>
      <c r="DQ15">
        <v>0.60481851595288028</v>
      </c>
      <c r="DR15">
        <v>0.7269402184722038</v>
      </c>
      <c r="DV15">
        <v>228.11654866225408</v>
      </c>
      <c r="DW15">
        <v>203.54966447914271</v>
      </c>
      <c r="DX15">
        <v>171.42981227004844</v>
      </c>
      <c r="DY15">
        <v>1.4993477709814374E-2</v>
      </c>
      <c r="DZ15">
        <v>28.17768401027444</v>
      </c>
      <c r="EA15">
        <v>3.9271747211099894</v>
      </c>
      <c r="EB15">
        <v>24.566884183111338</v>
      </c>
      <c r="ED15">
        <v>121.28552792700418</v>
      </c>
      <c r="EE15">
        <v>101.33193296026036</v>
      </c>
      <c r="EF15">
        <v>5.6388690918226354E-2</v>
      </c>
      <c r="EG15">
        <v>17.042385026083391</v>
      </c>
      <c r="EH15">
        <v>2.8548212497422121</v>
      </c>
      <c r="EJ15">
        <v>47.549427773829599</v>
      </c>
      <c r="EK15">
        <v>47.549427773829599</v>
      </c>
      <c r="EL15">
        <v>41.658715580909423</v>
      </c>
      <c r="EM15">
        <v>0</v>
      </c>
      <c r="EN15">
        <v>5.7180039942543903</v>
      </c>
      <c r="EO15">
        <v>0.17270819866578535</v>
      </c>
      <c r="EP15">
        <v>0</v>
      </c>
      <c r="ET15">
        <v>9267.6778267509671</v>
      </c>
      <c r="EU15">
        <v>8269.6004441526693</v>
      </c>
      <c r="EV15">
        <v>6964.6690664757416</v>
      </c>
      <c r="EW15">
        <v>0.6091391515959933</v>
      </c>
      <c r="EX15">
        <v>1144.7731383042194</v>
      </c>
      <c r="EY15">
        <v>159.54910022111122</v>
      </c>
      <c r="EZ15">
        <v>998.07738259829875</v>
      </c>
      <c r="FB15">
        <v>4927.4601271436541</v>
      </c>
      <c r="FC15">
        <v>4116.8065786759516</v>
      </c>
      <c r="FD15">
        <v>2.2909000840447673</v>
      </c>
      <c r="FE15">
        <v>692.37999061187929</v>
      </c>
      <c r="FF15">
        <v>115.98265777177816</v>
      </c>
      <c r="FH15">
        <v>1931.7878515980472</v>
      </c>
      <c r="FI15">
        <v>1931.7878515980472</v>
      </c>
      <c r="FJ15">
        <v>1692.4662280935299</v>
      </c>
      <c r="FK15">
        <v>0</v>
      </c>
      <c r="FL15">
        <v>232.30501750789225</v>
      </c>
      <c r="FM15">
        <v>7.0166059966251302</v>
      </c>
      <c r="FN15">
        <v>0</v>
      </c>
    </row>
    <row r="16" spans="1:170" x14ac:dyDescent="0.25">
      <c r="A16">
        <v>2011</v>
      </c>
      <c r="C16">
        <v>81928.769849496253</v>
      </c>
      <c r="D16">
        <v>4570881</v>
      </c>
      <c r="F16">
        <v>1696689</v>
      </c>
      <c r="G16">
        <v>184925.24667715596</v>
      </c>
      <c r="H16">
        <v>36972</v>
      </c>
      <c r="I16">
        <v>4384.8673049388335</v>
      </c>
      <c r="K16">
        <v>2766.1</v>
      </c>
      <c r="L16">
        <v>2750.8304761904765</v>
      </c>
      <c r="M16">
        <v>1.0055508777955191</v>
      </c>
      <c r="Q16">
        <v>2.6940004915455926</v>
      </c>
      <c r="R16">
        <v>40.457243729853381</v>
      </c>
      <c r="S16">
        <v>108.99183449480485</v>
      </c>
      <c r="T16">
        <v>44.023629038146609</v>
      </c>
      <c r="U16">
        <v>118.59967826838779</v>
      </c>
      <c r="V16">
        <v>17924.065371532586</v>
      </c>
      <c r="W16">
        <v>48287.44092140413</v>
      </c>
      <c r="X16">
        <v>1.3950075221297398</v>
      </c>
      <c r="AB16">
        <v>3181.9176268271713</v>
      </c>
      <c r="AC16">
        <v>439.7152192605331</v>
      </c>
      <c r="AD16">
        <v>1431.0658641444538</v>
      </c>
      <c r="AE16">
        <v>34.275580395528813</v>
      </c>
      <c r="AF16">
        <v>1396.790283748925</v>
      </c>
      <c r="AG16">
        <v>568.12123817712813</v>
      </c>
      <c r="AH16">
        <v>41.805588993981083</v>
      </c>
      <c r="AI16">
        <v>22.286758383490969</v>
      </c>
      <c r="AJ16">
        <v>0</v>
      </c>
      <c r="AK16">
        <v>0</v>
      </c>
      <c r="AL16">
        <v>8.4990541702493534</v>
      </c>
      <c r="AM16">
        <v>0</v>
      </c>
      <c r="AN16">
        <v>11.019776440240753</v>
      </c>
      <c r="AO16">
        <v>0</v>
      </c>
      <c r="AP16">
        <v>712.2294926913155</v>
      </c>
      <c r="AR16">
        <v>3181.9176268271713</v>
      </c>
      <c r="AS16">
        <v>2796.7118445502711</v>
      </c>
      <c r="AT16">
        <v>2280.7282367625908</v>
      </c>
      <c r="AU16">
        <v>0.23510725324467224</v>
      </c>
      <c r="AV16">
        <v>452.88328916015126</v>
      </c>
      <c r="AW16">
        <v>62.865211374283987</v>
      </c>
      <c r="AX16">
        <v>385.20578227690038</v>
      </c>
      <c r="AZ16">
        <v>1</v>
      </c>
      <c r="BA16">
        <v>0.87893910922483376</v>
      </c>
      <c r="BB16">
        <v>0.71677790070159808</v>
      </c>
      <c r="BC16">
        <v>7.3888541696507686E-5</v>
      </c>
      <c r="BD16">
        <v>0.14233029960984281</v>
      </c>
      <c r="BE16">
        <v>1.9757020371696306E-2</v>
      </c>
      <c r="BF16">
        <v>0.12106089077516625</v>
      </c>
      <c r="BJ16">
        <v>7570.109976862801</v>
      </c>
      <c r="BK16">
        <v>1861.9967243028</v>
      </c>
      <c r="BL16">
        <v>4373.7130425599998</v>
      </c>
      <c r="BM16">
        <v>90.551655000000025</v>
      </c>
      <c r="BN16">
        <v>4283.1613875599996</v>
      </c>
      <c r="BO16">
        <v>1334.4002100000002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7570.109976862801</v>
      </c>
      <c r="CA16">
        <v>7570.109976862801</v>
      </c>
      <c r="CB16">
        <v>6470.3168097725202</v>
      </c>
      <c r="CC16">
        <v>0</v>
      </c>
      <c r="CD16">
        <v>1067.5196775590291</v>
      </c>
      <c r="CE16">
        <v>32.273489531251499</v>
      </c>
      <c r="CF16">
        <v>0</v>
      </c>
      <c r="CH16">
        <v>1</v>
      </c>
      <c r="CI16">
        <v>1</v>
      </c>
      <c r="CJ16">
        <v>0.85471899741857438</v>
      </c>
      <c r="CK16">
        <v>0</v>
      </c>
      <c r="CL16">
        <v>0.14101772376118502</v>
      </c>
      <c r="CM16">
        <v>4.2632788202406346E-3</v>
      </c>
      <c r="CN16">
        <v>0</v>
      </c>
      <c r="CR16">
        <v>21810.539232587704</v>
      </c>
      <c r="CS16">
        <v>19170.13592480393</v>
      </c>
      <c r="CT16">
        <v>15633.312524304059</v>
      </c>
      <c r="CU16">
        <v>1.6115489375103738</v>
      </c>
      <c r="CV16">
        <v>3104.3005836264388</v>
      </c>
      <c r="CW16">
        <v>430.9112679359169</v>
      </c>
      <c r="CX16">
        <v>2640.4033077837789</v>
      </c>
      <c r="CZ16">
        <v>11642.95217887008</v>
      </c>
      <c r="DA16">
        <v>9426.9510046738505</v>
      </c>
      <c r="DB16">
        <v>6.2265883642286024</v>
      </c>
      <c r="DC16">
        <v>1895.8313258229216</v>
      </c>
      <c r="DD16">
        <v>313.94326000907961</v>
      </c>
      <c r="DF16">
        <v>4461.6956772058993</v>
      </c>
      <c r="DG16">
        <v>4461.6956772058993</v>
      </c>
      <c r="DH16">
        <v>3813.4960560082136</v>
      </c>
      <c r="DI16">
        <v>0</v>
      </c>
      <c r="DJ16">
        <v>629.1781685146949</v>
      </c>
      <c r="DK16">
        <v>19.021452682991107</v>
      </c>
      <c r="DL16">
        <v>0</v>
      </c>
      <c r="DN16">
        <v>0.6073484415833198</v>
      </c>
      <c r="DO16">
        <v>0.60300406519849226</v>
      </c>
      <c r="DP16">
        <v>3.8637289996590751</v>
      </c>
      <c r="DQ16">
        <v>0.61071126160347999</v>
      </c>
      <c r="DR16">
        <v>0.7285566272445857</v>
      </c>
      <c r="DV16">
        <v>200.11168115192439</v>
      </c>
      <c r="DW16">
        <v>175.88598277715644</v>
      </c>
      <c r="DX16">
        <v>143.43563072194394</v>
      </c>
      <c r="DY16">
        <v>1.4785960296752224E-2</v>
      </c>
      <c r="DZ16">
        <v>28.481955533782735</v>
      </c>
      <c r="EA16">
        <v>3.953610561132967</v>
      </c>
      <c r="EB16">
        <v>24.225698374768022</v>
      </c>
      <c r="ED16">
        <v>106.82407753605661</v>
      </c>
      <c r="EE16">
        <v>86.492268419641945</v>
      </c>
      <c r="EF16">
        <v>5.7128943586369267E-2</v>
      </c>
      <c r="EG16">
        <v>17.394250996970673</v>
      </c>
      <c r="EH16">
        <v>2.8804291758576088</v>
      </c>
      <c r="EJ16">
        <v>40.936054502491821</v>
      </c>
      <c r="EK16">
        <v>40.936054502491821</v>
      </c>
      <c r="EL16">
        <v>34.988823462641925</v>
      </c>
      <c r="EM16">
        <v>0</v>
      </c>
      <c r="EN16">
        <v>5.7727092257052064</v>
      </c>
      <c r="EO16">
        <v>0.17452181414468965</v>
      </c>
      <c r="EP16">
        <v>0</v>
      </c>
      <c r="ET16">
        <v>8095.9670575541122</v>
      </c>
      <c r="EU16">
        <v>7115.862073880211</v>
      </c>
      <c r="EV16">
        <v>5803.0102716629308</v>
      </c>
      <c r="EW16">
        <v>0.59819919950563982</v>
      </c>
      <c r="EX16">
        <v>1152.3014169330943</v>
      </c>
      <c r="EY16">
        <v>159.95218608467883</v>
      </c>
      <c r="EZ16">
        <v>980.10498367390267</v>
      </c>
      <c r="FB16">
        <v>4321.8077410929964</v>
      </c>
      <c r="FC16">
        <v>3499.2387842013545</v>
      </c>
      <c r="FD16">
        <v>2.3112795947027855</v>
      </c>
      <c r="FE16">
        <v>703.72345208268757</v>
      </c>
      <c r="FF16">
        <v>116.53422521425198</v>
      </c>
      <c r="FH16">
        <v>1656.1599343458734</v>
      </c>
      <c r="FI16">
        <v>1656.1599343458734</v>
      </c>
      <c r="FJ16">
        <v>1415.5513586489169</v>
      </c>
      <c r="FK16">
        <v>0</v>
      </c>
      <c r="FL16">
        <v>233.54790412592871</v>
      </c>
      <c r="FM16">
        <v>7.0606715710278829</v>
      </c>
      <c r="FN16">
        <v>0</v>
      </c>
    </row>
    <row r="17" spans="1:170" x14ac:dyDescent="0.25">
      <c r="A17">
        <v>2012</v>
      </c>
      <c r="C17">
        <v>81380.296707915957</v>
      </c>
      <c r="D17">
        <v>4589287</v>
      </c>
      <c r="F17">
        <v>1711782</v>
      </c>
      <c r="G17">
        <v>187257.32655398379</v>
      </c>
      <c r="H17">
        <v>51978</v>
      </c>
      <c r="I17">
        <v>6190.2062729701083</v>
      </c>
      <c r="K17">
        <v>2861.13</v>
      </c>
      <c r="L17">
        <v>2750.8304761904765</v>
      </c>
      <c r="M17">
        <v>1.0400968088598006</v>
      </c>
      <c r="Q17">
        <v>2.6809996833708967</v>
      </c>
      <c r="R17">
        <v>40.803141436563848</v>
      </c>
      <c r="S17">
        <v>109.39320927196557</v>
      </c>
      <c r="T17">
        <v>44.421047300464565</v>
      </c>
      <c r="U17">
        <v>119.09281374754913</v>
      </c>
      <c r="V17">
        <v>17732.666688292964</v>
      </c>
      <c r="W17">
        <v>47541.273776635084</v>
      </c>
      <c r="X17">
        <v>1.3957645930216629</v>
      </c>
      <c r="AB17">
        <v>3025.8752364574379</v>
      </c>
      <c r="AC17">
        <v>439.25683576956146</v>
      </c>
      <c r="AD17">
        <v>1252.3266552020636</v>
      </c>
      <c r="AE17">
        <v>33.056921754084257</v>
      </c>
      <c r="AF17">
        <v>1219.2697334479794</v>
      </c>
      <c r="AG17">
        <v>599.2777300085985</v>
      </c>
      <c r="AH17">
        <v>48.692863284608762</v>
      </c>
      <c r="AI17">
        <v>27.575494411006019</v>
      </c>
      <c r="AJ17">
        <v>0</v>
      </c>
      <c r="AK17">
        <v>0</v>
      </c>
      <c r="AL17">
        <v>9.2040412725709366</v>
      </c>
      <c r="AM17">
        <v>0</v>
      </c>
      <c r="AN17">
        <v>11.913327601031806</v>
      </c>
      <c r="AO17">
        <v>0</v>
      </c>
      <c r="AP17">
        <v>698.23447979363709</v>
      </c>
      <c r="AR17">
        <v>3025.8752364574375</v>
      </c>
      <c r="AS17">
        <v>2641.993646585096</v>
      </c>
      <c r="AT17">
        <v>2109.2352010736822</v>
      </c>
      <c r="AU17">
        <v>0.26339318288826741</v>
      </c>
      <c r="AV17">
        <v>468.86598072318952</v>
      </c>
      <c r="AW17">
        <v>63.629071605336101</v>
      </c>
      <c r="AX17">
        <v>383.88158987234135</v>
      </c>
      <c r="AZ17">
        <v>1</v>
      </c>
      <c r="BA17">
        <v>0.87313370186347361</v>
      </c>
      <c r="BB17">
        <v>0.69706614987308024</v>
      </c>
      <c r="BC17">
        <v>8.7046940903167126E-5</v>
      </c>
      <c r="BD17">
        <v>0.15495218542854308</v>
      </c>
      <c r="BE17">
        <v>2.1028319620947172E-2</v>
      </c>
      <c r="BF17">
        <v>0.12686629813652633</v>
      </c>
      <c r="BJ17">
        <v>7088.3565114636003</v>
      </c>
      <c r="BK17">
        <v>1849.3876287036001</v>
      </c>
      <c r="BL17">
        <v>3831.3884667599996</v>
      </c>
      <c r="BM17">
        <v>87.332116319999997</v>
      </c>
      <c r="BN17">
        <v>3744.0563504400002</v>
      </c>
      <c r="BO17">
        <v>1407.5804160000002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7088.3565114635994</v>
      </c>
      <c r="CA17">
        <v>7088.3565114635994</v>
      </c>
      <c r="CB17">
        <v>5956.244734774622</v>
      </c>
      <c r="CC17">
        <v>0</v>
      </c>
      <c r="CD17">
        <v>1099.9190434039494</v>
      </c>
      <c r="CE17">
        <v>32.192733285028254</v>
      </c>
      <c r="CF17">
        <v>0</v>
      </c>
      <c r="CH17">
        <v>1</v>
      </c>
      <c r="CI17">
        <v>1</v>
      </c>
      <c r="CJ17">
        <v>0.84028571716757239</v>
      </c>
      <c r="CK17">
        <v>0</v>
      </c>
      <c r="CL17">
        <v>0.15517264709035336</v>
      </c>
      <c r="CM17">
        <v>4.5416357420743105E-3</v>
      </c>
      <c r="CN17">
        <v>0</v>
      </c>
      <c r="CR17">
        <v>20558.066973481436</v>
      </c>
      <c r="CS17">
        <v>17949.941119713065</v>
      </c>
      <c r="CT17">
        <v>14330.332594037633</v>
      </c>
      <c r="CU17">
        <v>1.7895168409239903</v>
      </c>
      <c r="CV17">
        <v>3185.5174057273034</v>
      </c>
      <c r="CW17">
        <v>432.30160310720578</v>
      </c>
      <c r="CX17">
        <v>2608.1258537683711</v>
      </c>
      <c r="CZ17">
        <v>11187.397823963527</v>
      </c>
      <c r="DA17">
        <v>8890.1712443527613</v>
      </c>
      <c r="DB17">
        <v>7.1533855890968603</v>
      </c>
      <c r="DC17">
        <v>1973.9270384761664</v>
      </c>
      <c r="DD17">
        <v>316.14615554550522</v>
      </c>
      <c r="DF17">
        <v>4140.9224489237531</v>
      </c>
      <c r="DG17">
        <v>4140.9224489237531</v>
      </c>
      <c r="DH17">
        <v>3479.5579897291955</v>
      </c>
      <c r="DI17">
        <v>0</v>
      </c>
      <c r="DJ17">
        <v>642.55789779536735</v>
      </c>
      <c r="DK17">
        <v>18.806561399189999</v>
      </c>
      <c r="DL17">
        <v>0</v>
      </c>
      <c r="DN17">
        <v>0.62325540509307042</v>
      </c>
      <c r="DO17">
        <v>0.62037438321924654</v>
      </c>
      <c r="DP17">
        <v>3.9973837772900289</v>
      </c>
      <c r="DQ17">
        <v>0.61965664821896904</v>
      </c>
      <c r="DR17">
        <v>0.73130923705389228</v>
      </c>
      <c r="DV17">
        <v>187.92818229120093</v>
      </c>
      <c r="DW17">
        <v>164.08642948838994</v>
      </c>
      <c r="DX17">
        <v>130.9983744823738</v>
      </c>
      <c r="DY17">
        <v>1.6358573377941783E-2</v>
      </c>
      <c r="DZ17">
        <v>29.119882549635214</v>
      </c>
      <c r="EA17">
        <v>3.951813883002997</v>
      </c>
      <c r="EB17">
        <v>23.841752802810959</v>
      </c>
      <c r="ED17">
        <v>102.26775408106202</v>
      </c>
      <c r="EE17">
        <v>81.268035772226526</v>
      </c>
      <c r="EF17">
        <v>6.5391495840593034E-2</v>
      </c>
      <c r="EG17">
        <v>18.044328817237002</v>
      </c>
      <c r="EH17">
        <v>2.8899979957579016</v>
      </c>
      <c r="EJ17">
        <v>37.853560348786253</v>
      </c>
      <c r="EK17">
        <v>37.853560348786253</v>
      </c>
      <c r="EL17">
        <v>31.807806105025836</v>
      </c>
      <c r="EM17">
        <v>0</v>
      </c>
      <c r="EN17">
        <v>5.8738371611156035</v>
      </c>
      <c r="EO17">
        <v>0.17191708264481456</v>
      </c>
      <c r="EP17">
        <v>0</v>
      </c>
      <c r="ET17">
        <v>7668.0602019442222</v>
      </c>
      <c r="EU17">
        <v>6695.2417902355346</v>
      </c>
      <c r="EV17">
        <v>5345.1452019642538</v>
      </c>
      <c r="EW17">
        <v>0.66748118324056649</v>
      </c>
      <c r="EX17">
        <v>1188.1826862888929</v>
      </c>
      <c r="EY17">
        <v>161.24642079914784</v>
      </c>
      <c r="EZ17">
        <v>972.81841170868802</v>
      </c>
      <c r="FB17">
        <v>4172.8456341693027</v>
      </c>
      <c r="FC17">
        <v>3315.9911578858892</v>
      </c>
      <c r="FD17">
        <v>2.6681784535321937</v>
      </c>
      <c r="FE17">
        <v>736.26530085758611</v>
      </c>
      <c r="FF17">
        <v>117.9209969722957</v>
      </c>
      <c r="FH17">
        <v>1544.5441767890306</v>
      </c>
      <c r="FI17">
        <v>1544.5441767890306</v>
      </c>
      <c r="FJ17">
        <v>1297.8584112901681</v>
      </c>
      <c r="FK17">
        <v>0</v>
      </c>
      <c r="FL17">
        <v>239.67100846034455</v>
      </c>
      <c r="FM17">
        <v>7.0147570385178026</v>
      </c>
      <c r="FN17">
        <v>0</v>
      </c>
    </row>
    <row r="18" spans="1:170" x14ac:dyDescent="0.25">
      <c r="A18">
        <v>2013</v>
      </c>
      <c r="C18">
        <v>81646.994513392579</v>
      </c>
      <c r="D18">
        <v>4609779</v>
      </c>
      <c r="F18">
        <v>1718784</v>
      </c>
      <c r="G18">
        <v>188658.26931242767</v>
      </c>
      <c r="H18">
        <v>44215</v>
      </c>
      <c r="I18">
        <v>5293.3775579461962</v>
      </c>
      <c r="K18">
        <v>2835.61</v>
      </c>
      <c r="L18">
        <v>2750.8304761904765</v>
      </c>
      <c r="M18">
        <v>1.0308196104933851</v>
      </c>
      <c r="Q18">
        <v>2.6820001815236818</v>
      </c>
      <c r="R18">
        <v>40.925664616986559</v>
      </c>
      <c r="S18">
        <v>109.76263993173527</v>
      </c>
      <c r="T18">
        <v>44.637970364951506</v>
      </c>
      <c r="U18">
        <v>119.71904462164866</v>
      </c>
      <c r="V18">
        <v>17711.693882373227</v>
      </c>
      <c r="W18">
        <v>47502.766207616885</v>
      </c>
      <c r="X18">
        <v>1.4102847569944132</v>
      </c>
      <c r="AB18">
        <v>2946.3623387790194</v>
      </c>
      <c r="AC18">
        <v>462.02897678417878</v>
      </c>
      <c r="AD18">
        <v>1157.7776440240757</v>
      </c>
      <c r="AE18">
        <v>40.038865004299232</v>
      </c>
      <c r="AF18">
        <v>1117.7387790197763</v>
      </c>
      <c r="AG18">
        <v>604.98710232158203</v>
      </c>
      <c r="AH18">
        <v>51.063972484952714</v>
      </c>
      <c r="AI18">
        <v>28.249269131556325</v>
      </c>
      <c r="AJ18">
        <v>0</v>
      </c>
      <c r="AK18">
        <v>0</v>
      </c>
      <c r="AL18">
        <v>9.9364574376612218</v>
      </c>
      <c r="AM18">
        <v>0</v>
      </c>
      <c r="AN18">
        <v>12.878245915735173</v>
      </c>
      <c r="AO18">
        <v>0</v>
      </c>
      <c r="AP18">
        <v>683.38288907996559</v>
      </c>
      <c r="AR18">
        <v>2946.3623387790194</v>
      </c>
      <c r="AS18">
        <v>2564.1781418330174</v>
      </c>
      <c r="AT18">
        <v>2047.3338720188017</v>
      </c>
      <c r="AU18">
        <v>0.2444189820730728</v>
      </c>
      <c r="AV18">
        <v>455.01319602524649</v>
      </c>
      <c r="AW18">
        <v>61.586654806896192</v>
      </c>
      <c r="AX18">
        <v>382.18419694600186</v>
      </c>
      <c r="AZ18">
        <v>1</v>
      </c>
      <c r="BA18">
        <v>0.87028608399047747</v>
      </c>
      <c r="BB18">
        <v>0.69486832799635312</v>
      </c>
      <c r="BC18">
        <v>8.295618595721009E-5</v>
      </c>
      <c r="BD18">
        <v>0.15443219255029075</v>
      </c>
      <c r="BE18">
        <v>2.090260725787646E-2</v>
      </c>
      <c r="BF18">
        <v>0.12971391600952245</v>
      </c>
      <c r="BJ18">
        <v>6904.8372296580001</v>
      </c>
      <c r="BK18">
        <v>1942.3313617379995</v>
      </c>
      <c r="BL18">
        <v>3541.5153079199999</v>
      </c>
      <c r="BM18">
        <v>105.77750832000004</v>
      </c>
      <c r="BN18">
        <v>3435.7377996</v>
      </c>
      <c r="BO18">
        <v>1420.99056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6904.8372296579983</v>
      </c>
      <c r="CA18">
        <v>6904.8372296579983</v>
      </c>
      <c r="CB18">
        <v>5815.9427044829463</v>
      </c>
      <c r="CC18">
        <v>0</v>
      </c>
      <c r="CD18">
        <v>1056.2983603279947</v>
      </c>
      <c r="CE18">
        <v>32.596164847057224</v>
      </c>
      <c r="CF18">
        <v>0</v>
      </c>
      <c r="CH18">
        <v>1</v>
      </c>
      <c r="CI18">
        <v>1</v>
      </c>
      <c r="CJ18">
        <v>0.84229975465634754</v>
      </c>
      <c r="CK18">
        <v>0</v>
      </c>
      <c r="CL18">
        <v>0.15297947296873701</v>
      </c>
      <c r="CM18">
        <v>4.7207723749154527E-3</v>
      </c>
      <c r="CN18">
        <v>0</v>
      </c>
      <c r="CR18">
        <v>19936.300314641045</v>
      </c>
      <c r="CS18">
        <v>17350.284730087078</v>
      </c>
      <c r="CT18">
        <v>13853.103666067793</v>
      </c>
      <c r="CU18">
        <v>1.6538394362001485</v>
      </c>
      <c r="CV18">
        <v>3078.8065689310679</v>
      </c>
      <c r="CW18">
        <v>416.7206556520207</v>
      </c>
      <c r="CX18">
        <v>2586.0155845539643</v>
      </c>
      <c r="CZ18">
        <v>11060.249220192967</v>
      </c>
      <c r="DA18">
        <v>8806.0533291572174</v>
      </c>
      <c r="DB18">
        <v>6.8741060659935975</v>
      </c>
      <c r="DC18">
        <v>1942.176498111751</v>
      </c>
      <c r="DD18">
        <v>305.14528685800485</v>
      </c>
      <c r="DF18">
        <v>4017.280373600172</v>
      </c>
      <c r="DG18">
        <v>4017.280373600172</v>
      </c>
      <c r="DH18">
        <v>3383.7542730691853</v>
      </c>
      <c r="DI18">
        <v>0</v>
      </c>
      <c r="DJ18">
        <v>614.56143432100521</v>
      </c>
      <c r="DK18">
        <v>18.964666209981718</v>
      </c>
      <c r="DL18">
        <v>0</v>
      </c>
      <c r="DN18">
        <v>0.63746787976415287</v>
      </c>
      <c r="DO18">
        <v>0.63567367583677503</v>
      </c>
      <c r="DP18">
        <v>4.1564531087658079</v>
      </c>
      <c r="DQ18">
        <v>0.63082121420380632</v>
      </c>
      <c r="DR18">
        <v>0.73225380772297022</v>
      </c>
      <c r="DV18">
        <v>181.63102060081681</v>
      </c>
      <c r="DW18">
        <v>158.0709496498786</v>
      </c>
      <c r="DX18">
        <v>126.20964359716072</v>
      </c>
      <c r="DY18">
        <v>1.5067416720559217E-2</v>
      </c>
      <c r="DZ18">
        <v>28.049676746531169</v>
      </c>
      <c r="EA18">
        <v>3.7965618894661426</v>
      </c>
      <c r="EB18">
        <v>23.56007095093819</v>
      </c>
      <c r="ED18">
        <v>100.76515312561426</v>
      </c>
      <c r="EE18">
        <v>80.228148071456474</v>
      </c>
      <c r="EF18">
        <v>6.262701106923825E-2</v>
      </c>
      <c r="EG18">
        <v>17.694331143271061</v>
      </c>
      <c r="EH18">
        <v>2.7800468998174974</v>
      </c>
      <c r="EJ18">
        <v>36.599706203300514</v>
      </c>
      <c r="EK18">
        <v>36.599706203300514</v>
      </c>
      <c r="EL18">
        <v>30.827923555534426</v>
      </c>
      <c r="EM18">
        <v>0</v>
      </c>
      <c r="EN18">
        <v>5.5990037657915268</v>
      </c>
      <c r="EO18">
        <v>0.17277888197456279</v>
      </c>
      <c r="EP18">
        <v>0</v>
      </c>
      <c r="ET18">
        <v>7433.3702331500044</v>
      </c>
      <c r="EU18">
        <v>6469.1586710594993</v>
      </c>
      <c r="EV18">
        <v>5165.2135452868051</v>
      </c>
      <c r="EW18">
        <v>0.61664404334998191</v>
      </c>
      <c r="EX18">
        <v>1147.9516631434212</v>
      </c>
      <c r="EY18">
        <v>155.37681858592413</v>
      </c>
      <c r="EZ18">
        <v>964.21156209050389</v>
      </c>
      <c r="FB18">
        <v>4123.8808618981839</v>
      </c>
      <c r="FC18">
        <v>3283.3902808143644</v>
      </c>
      <c r="FD18">
        <v>2.5630520509839494</v>
      </c>
      <c r="FE18">
        <v>724.15226199141171</v>
      </c>
      <c r="FF18">
        <v>113.77526704142412</v>
      </c>
      <c r="FH18">
        <v>1497.8673011565193</v>
      </c>
      <c r="FI18">
        <v>1497.8673011565193</v>
      </c>
      <c r="FJ18">
        <v>1261.6532602719017</v>
      </c>
      <c r="FK18">
        <v>0</v>
      </c>
      <c r="FL18">
        <v>229.14295030802879</v>
      </c>
      <c r="FM18">
        <v>7.071090576588861</v>
      </c>
      <c r="FN18">
        <v>0</v>
      </c>
    </row>
    <row r="19" spans="1:170" x14ac:dyDescent="0.25">
      <c r="A19">
        <v>2014</v>
      </c>
      <c r="C19">
        <v>83853.503823995838</v>
      </c>
      <c r="D19">
        <v>4637852</v>
      </c>
      <c r="F19">
        <v>1727641</v>
      </c>
      <c r="G19">
        <v>190309.84636741641</v>
      </c>
      <c r="H19">
        <v>46222</v>
      </c>
      <c r="I19">
        <v>5559.9108706822462</v>
      </c>
      <c r="K19">
        <v>2629.47</v>
      </c>
      <c r="L19">
        <v>2750.8304761904765</v>
      </c>
      <c r="M19">
        <v>0.95588224093018481</v>
      </c>
      <c r="Q19">
        <v>2.6844998469010632</v>
      </c>
      <c r="R19">
        <v>41.034049031192971</v>
      </c>
      <c r="S19">
        <v>110.15589834196825</v>
      </c>
      <c r="T19">
        <v>44.808015803104112</v>
      </c>
      <c r="U19">
        <v>120.28711156337341</v>
      </c>
      <c r="V19">
        <v>18080.245730996987</v>
      </c>
      <c r="W19">
        <v>48536.416896795017</v>
      </c>
      <c r="X19">
        <v>1.4381051135688134</v>
      </c>
      <c r="AB19">
        <v>2661.1621668099742</v>
      </c>
      <c r="AC19">
        <v>417.51719690455707</v>
      </c>
      <c r="AD19">
        <v>1009.8928632846088</v>
      </c>
      <c r="AE19">
        <v>35.96732588134136</v>
      </c>
      <c r="AF19">
        <v>973.92553740326741</v>
      </c>
      <c r="AG19">
        <v>534.59028374892512</v>
      </c>
      <c r="AH19">
        <v>51.113929492691312</v>
      </c>
      <c r="AI19">
        <v>26.174978503869298</v>
      </c>
      <c r="AJ19">
        <v>0</v>
      </c>
      <c r="AK19">
        <v>0</v>
      </c>
      <c r="AL19">
        <v>10.579363714531381</v>
      </c>
      <c r="AM19">
        <v>0</v>
      </c>
      <c r="AN19">
        <v>14.359587274290634</v>
      </c>
      <c r="AO19">
        <v>0</v>
      </c>
      <c r="AP19">
        <v>662.40748065348237</v>
      </c>
      <c r="AR19">
        <v>2661.1621668099742</v>
      </c>
      <c r="AS19">
        <v>2281.7264230237843</v>
      </c>
      <c r="AT19">
        <v>1777.2228969917198</v>
      </c>
      <c r="AU19">
        <v>0.26571023638290797</v>
      </c>
      <c r="AV19">
        <v>441.05402893159265</v>
      </c>
      <c r="AW19">
        <v>63.183786864088979</v>
      </c>
      <c r="AX19">
        <v>379.43574378618985</v>
      </c>
      <c r="AZ19">
        <v>1</v>
      </c>
      <c r="BA19">
        <v>0.85741727861664574</v>
      </c>
      <c r="BB19">
        <v>0.667837127386392</v>
      </c>
      <c r="BC19">
        <v>9.9847442480900696E-5</v>
      </c>
      <c r="BD19">
        <v>0.16573737385583651</v>
      </c>
      <c r="BE19">
        <v>2.3742929931936291E-2</v>
      </c>
      <c r="BF19">
        <v>0.14258272138335426</v>
      </c>
      <c r="BJ19">
        <v>6094.8733755983994</v>
      </c>
      <c r="BK19">
        <v>1760.0578740384001</v>
      </c>
      <c r="BL19">
        <v>3079.1726229600004</v>
      </c>
      <c r="BM19">
        <v>95.021028000000015</v>
      </c>
      <c r="BN19">
        <v>2984.1515949599998</v>
      </c>
      <c r="BO19">
        <v>1255.6428785999999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6094.8733755984003</v>
      </c>
      <c r="CA19">
        <v>6094.8733755984003</v>
      </c>
      <c r="CB19">
        <v>5048.3421727176628</v>
      </c>
      <c r="CC19">
        <v>0</v>
      </c>
      <c r="CD19">
        <v>1013.8598192842354</v>
      </c>
      <c r="CE19">
        <v>32.671383596502025</v>
      </c>
      <c r="CF19">
        <v>0</v>
      </c>
      <c r="CH19">
        <v>1</v>
      </c>
      <c r="CI19">
        <v>1</v>
      </c>
      <c r="CJ19">
        <v>0.82829320013920915</v>
      </c>
      <c r="CK19">
        <v>0</v>
      </c>
      <c r="CL19">
        <v>0.16634633023605577</v>
      </c>
      <c r="CM19">
        <v>5.3604696247351192E-3</v>
      </c>
      <c r="CN19">
        <v>0</v>
      </c>
      <c r="CR19">
        <v>17914.205555436576</v>
      </c>
      <c r="CS19">
        <v>15359.949375921626</v>
      </c>
      <c r="CT19">
        <v>11963.771577552108</v>
      </c>
      <c r="CU19">
        <v>1.7886876087874852</v>
      </c>
      <c r="CV19">
        <v>2969.0533834716948</v>
      </c>
      <c r="CW19">
        <v>425.33572728903448</v>
      </c>
      <c r="CX19">
        <v>2554.25617951495</v>
      </c>
      <c r="CZ19">
        <v>9910.2410473478049</v>
      </c>
      <c r="DA19">
        <v>7695.4164472441262</v>
      </c>
      <c r="DB19">
        <v>7.757337934461745</v>
      </c>
      <c r="DC19">
        <v>1894.145040625797</v>
      </c>
      <c r="DD19">
        <v>312.92222154341812</v>
      </c>
      <c r="DF19">
        <v>3527.8587250466967</v>
      </c>
      <c r="DG19">
        <v>3527.8587250466967</v>
      </c>
      <c r="DH19">
        <v>2922.1013930079589</v>
      </c>
      <c r="DI19">
        <v>0</v>
      </c>
      <c r="DJ19">
        <v>586.84635250276847</v>
      </c>
      <c r="DK19">
        <v>18.910979535969581</v>
      </c>
      <c r="DL19">
        <v>0</v>
      </c>
      <c r="DN19">
        <v>0.64520011132869826</v>
      </c>
      <c r="DO19">
        <v>0.64322662777039374</v>
      </c>
      <c r="DP19">
        <v>4.3368880604703728</v>
      </c>
      <c r="DQ19">
        <v>0.63796260827448836</v>
      </c>
      <c r="DR19">
        <v>0.73570641135155246</v>
      </c>
      <c r="DV19">
        <v>162.62593129442484</v>
      </c>
      <c r="DW19">
        <v>139.43828344296335</v>
      </c>
      <c r="DX19">
        <v>108.60763479420544</v>
      </c>
      <c r="DY19">
        <v>1.6237783320822992E-2</v>
      </c>
      <c r="DZ19">
        <v>26.953194773597669</v>
      </c>
      <c r="EA19">
        <v>3.8612160918394145</v>
      </c>
      <c r="EB19">
        <v>23.187647851461485</v>
      </c>
      <c r="ED19">
        <v>89.965596000882542</v>
      </c>
      <c r="EE19">
        <v>69.859322678795237</v>
      </c>
      <c r="EF19">
        <v>7.0421448612582191E-2</v>
      </c>
      <c r="EG19">
        <v>17.195130439094676</v>
      </c>
      <c r="EH19">
        <v>2.8407214343800415</v>
      </c>
      <c r="EJ19">
        <v>32.026053785107386</v>
      </c>
      <c r="EK19">
        <v>32.026053785107386</v>
      </c>
      <c r="EL19">
        <v>26.526962577497031</v>
      </c>
      <c r="EM19">
        <v>0</v>
      </c>
      <c r="EN19">
        <v>5.3274165190951566</v>
      </c>
      <c r="EO19">
        <v>0.17167468851520132</v>
      </c>
      <c r="EP19">
        <v>0</v>
      </c>
      <c r="ET19">
        <v>6673.2004384788479</v>
      </c>
      <c r="EU19">
        <v>5721.7173596239409</v>
      </c>
      <c r="EV19">
        <v>4456.6110113073255</v>
      </c>
      <c r="EW19">
        <v>0.66630199694453807</v>
      </c>
      <c r="EX19">
        <v>1105.9987158871008</v>
      </c>
      <c r="EY19">
        <v>158.44133043256983</v>
      </c>
      <c r="EZ19">
        <v>951.48307885490692</v>
      </c>
      <c r="FB19">
        <v>3691.6526774207127</v>
      </c>
      <c r="FC19">
        <v>2866.610872087615</v>
      </c>
      <c r="FD19">
        <v>2.8896771752163337</v>
      </c>
      <c r="FE19">
        <v>705.5858255355696</v>
      </c>
      <c r="FF19">
        <v>116.56630262231144</v>
      </c>
      <c r="FH19">
        <v>1314.1586612937197</v>
      </c>
      <c r="FI19">
        <v>1314.1586612937197</v>
      </c>
      <c r="FJ19">
        <v>1088.5086830536341</v>
      </c>
      <c r="FK19">
        <v>0</v>
      </c>
      <c r="FL19">
        <v>218.60547065413809</v>
      </c>
      <c r="FM19">
        <v>7.0445075859475512</v>
      </c>
      <c r="FN19">
        <v>0</v>
      </c>
    </row>
    <row r="20" spans="1:170" x14ac:dyDescent="0.25">
      <c r="A20">
        <v>2015</v>
      </c>
      <c r="C20">
        <v>86701.2</v>
      </c>
      <c r="D20">
        <v>4677627</v>
      </c>
      <c r="F20">
        <v>1740189</v>
      </c>
      <c r="G20">
        <v>192433.13202854901</v>
      </c>
      <c r="H20">
        <v>50105</v>
      </c>
      <c r="I20">
        <v>6051.702444646683</v>
      </c>
      <c r="K20">
        <v>2912.09</v>
      </c>
      <c r="L20">
        <v>2750.8304761904765</v>
      </c>
      <c r="M20">
        <v>1.0586221234660909</v>
      </c>
      <c r="Q20">
        <v>2.6879994069609681</v>
      </c>
      <c r="R20">
        <v>41.139050212543459</v>
      </c>
      <c r="S20">
        <v>110.58174257425431</v>
      </c>
      <c r="T20">
        <v>44.933198169273467</v>
      </c>
      <c r="U20">
        <v>120.78041003186674</v>
      </c>
      <c r="V20">
        <v>18535.295781386587</v>
      </c>
      <c r="W20">
        <v>49822.864068213283</v>
      </c>
      <c r="X20">
        <v>1.4564911204279272</v>
      </c>
      <c r="AB20">
        <v>2827.4460017196902</v>
      </c>
      <c r="AC20">
        <v>434.20490111779861</v>
      </c>
      <c r="AD20">
        <v>1116.647377472055</v>
      </c>
      <c r="AE20">
        <v>36.511349957007738</v>
      </c>
      <c r="AF20">
        <v>1080.1360275150471</v>
      </c>
      <c r="AG20">
        <v>553.98873602751507</v>
      </c>
      <c r="AH20">
        <v>61.826225279449702</v>
      </c>
      <c r="AI20">
        <v>33.717798796216684</v>
      </c>
      <c r="AJ20">
        <v>0</v>
      </c>
      <c r="AK20">
        <v>0</v>
      </c>
      <c r="AL20">
        <v>11.26371453138435</v>
      </c>
      <c r="AM20">
        <v>0</v>
      </c>
      <c r="AN20">
        <v>16.844711951848677</v>
      </c>
      <c r="AO20">
        <v>0</v>
      </c>
      <c r="AP20">
        <v>677.62347377472054</v>
      </c>
      <c r="AR20">
        <v>2827.4460017196907</v>
      </c>
      <c r="AS20">
        <v>2441.7602471798677</v>
      </c>
      <c r="AT20">
        <v>1928.0992171684211</v>
      </c>
      <c r="AU20">
        <v>0.25463978229866768</v>
      </c>
      <c r="AV20">
        <v>449.17573868592069</v>
      </c>
      <c r="AW20">
        <v>64.230651543227083</v>
      </c>
      <c r="AX20">
        <v>385.68575453982282</v>
      </c>
      <c r="AZ20">
        <v>1</v>
      </c>
      <c r="BA20">
        <v>0.86359217671876187</v>
      </c>
      <c r="BB20">
        <v>0.68192256050008571</v>
      </c>
      <c r="BC20">
        <v>9.0059998367357806E-5</v>
      </c>
      <c r="BD20">
        <v>0.15886271158237011</v>
      </c>
      <c r="BE20">
        <v>2.2716844637938667E-2</v>
      </c>
      <c r="BF20">
        <v>0.1364078232812381</v>
      </c>
      <c r="BJ20">
        <v>6525.3639269483992</v>
      </c>
      <c r="BK20">
        <v>1825.6344135083996</v>
      </c>
      <c r="BL20">
        <v>3398.523651</v>
      </c>
      <c r="BM20">
        <v>96.458269320000014</v>
      </c>
      <c r="BN20">
        <v>3302.06538168</v>
      </c>
      <c r="BO20">
        <v>1301.2058624399999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6525.3639269484001</v>
      </c>
      <c r="CA20">
        <v>6525.3639269484001</v>
      </c>
      <c r="CB20">
        <v>5456.5342738661766</v>
      </c>
      <c r="CC20">
        <v>0</v>
      </c>
      <c r="CD20">
        <v>1035.9474215486232</v>
      </c>
      <c r="CE20">
        <v>32.882231533600091</v>
      </c>
      <c r="CF20">
        <v>0</v>
      </c>
      <c r="CH20">
        <v>1</v>
      </c>
      <c r="CI20">
        <v>1</v>
      </c>
      <c r="CJ20">
        <v>0.83620382479080158</v>
      </c>
      <c r="CK20">
        <v>0</v>
      </c>
      <c r="CL20">
        <v>0.15875703380624873</v>
      </c>
      <c r="CM20">
        <v>5.0391414029496949E-3</v>
      </c>
      <c r="CN20">
        <v>0</v>
      </c>
      <c r="CR20">
        <v>18896.336547352043</v>
      </c>
      <c r="CS20">
        <v>16318.728410938043</v>
      </c>
      <c r="CT20">
        <v>12885.838202441657</v>
      </c>
      <c r="CU20">
        <v>1.7018040386035684</v>
      </c>
      <c r="CV20">
        <v>3001.9232628853865</v>
      </c>
      <c r="CW20">
        <v>429.2651415723987</v>
      </c>
      <c r="CX20">
        <v>2577.6081364139977</v>
      </c>
      <c r="CZ20">
        <v>10632.048942231391</v>
      </c>
      <c r="DA20">
        <v>8370.823936349705</v>
      </c>
      <c r="DB20">
        <v>7.6839786746191709</v>
      </c>
      <c r="DC20">
        <v>1935.9640210558241</v>
      </c>
      <c r="DD20">
        <v>317.57700615124367</v>
      </c>
      <c r="DF20">
        <v>3749.8018473558914</v>
      </c>
      <c r="DG20">
        <v>3749.8018473558914</v>
      </c>
      <c r="DH20">
        <v>3135.5986469666091</v>
      </c>
      <c r="DI20">
        <v>0</v>
      </c>
      <c r="DJ20">
        <v>595.3074186474131</v>
      </c>
      <c r="DK20">
        <v>18.895781741868323</v>
      </c>
      <c r="DL20">
        <v>0</v>
      </c>
      <c r="DN20">
        <v>0.65152435131557118</v>
      </c>
      <c r="DO20">
        <v>0.64961423578666155</v>
      </c>
      <c r="DP20">
        <v>4.5151959334426852</v>
      </c>
      <c r="DQ20">
        <v>0.64490789787711478</v>
      </c>
      <c r="DR20">
        <v>0.73981550187830003</v>
      </c>
      <c r="DV20">
        <v>170.88116091734926</v>
      </c>
      <c r="DW20">
        <v>147.57163371684268</v>
      </c>
      <c r="DX20">
        <v>116.527718793986</v>
      </c>
      <c r="DY20">
        <v>1.538955707322868E-2</v>
      </c>
      <c r="DZ20">
        <v>27.146644581673428</v>
      </c>
      <c r="EA20">
        <v>3.8818807841100198</v>
      </c>
      <c r="EB20">
        <v>23.309527200506583</v>
      </c>
      <c r="ED20">
        <v>96.146512929945004</v>
      </c>
      <c r="EE20">
        <v>75.698064992318223</v>
      </c>
      <c r="EF20">
        <v>6.948686551452625E-2</v>
      </c>
      <c r="EG20">
        <v>17.507085491584178</v>
      </c>
      <c r="EH20">
        <v>2.8718755805280836</v>
      </c>
      <c r="EJ20">
        <v>33.909773530996262</v>
      </c>
      <c r="EK20">
        <v>33.909773530996262</v>
      </c>
      <c r="EL20">
        <v>28.355482324408953</v>
      </c>
      <c r="EM20">
        <v>0</v>
      </c>
      <c r="EN20">
        <v>5.3834150628226114</v>
      </c>
      <c r="EO20">
        <v>0.17087614376469093</v>
      </c>
      <c r="EP20">
        <v>0</v>
      </c>
      <c r="ET20">
        <v>7029.8886593565503</v>
      </c>
      <c r="EU20">
        <v>6070.9568494242621</v>
      </c>
      <c r="EV20">
        <v>4793.8396746189346</v>
      </c>
      <c r="EW20">
        <v>0.63311176118435808</v>
      </c>
      <c r="EX20">
        <v>1116.7871745475341</v>
      </c>
      <c r="EY20">
        <v>159.69688849660969</v>
      </c>
      <c r="EZ20">
        <v>958.93180993228805</v>
      </c>
      <c r="FB20">
        <v>3955.3762231859664</v>
      </c>
      <c r="FC20">
        <v>3114.1464967113575</v>
      </c>
      <c r="FD20">
        <v>2.85862364951435</v>
      </c>
      <c r="FE20">
        <v>720.22486911357259</v>
      </c>
      <c r="FF20">
        <v>118.14623371152224</v>
      </c>
      <c r="FH20">
        <v>1395.0158759876322</v>
      </c>
      <c r="FI20">
        <v>1395.0158759876322</v>
      </c>
      <c r="FJ20">
        <v>1166.5176111447486</v>
      </c>
      <c r="FK20">
        <v>0</v>
      </c>
      <c r="FL20">
        <v>221.46858258442225</v>
      </c>
      <c r="FM20">
        <v>7.0296822584614151</v>
      </c>
      <c r="FN20">
        <v>0</v>
      </c>
    </row>
    <row r="21" spans="1:170" x14ac:dyDescent="0.25">
      <c r="A21">
        <v>2016</v>
      </c>
      <c r="C21">
        <v>90877.571944773488</v>
      </c>
      <c r="D21">
        <v>4726286</v>
      </c>
      <c r="F21">
        <v>1758945</v>
      </c>
      <c r="G21">
        <v>195369.93636233915</v>
      </c>
      <c r="H21">
        <v>56586</v>
      </c>
      <c r="I21">
        <v>6893.7765871739412</v>
      </c>
      <c r="K21">
        <v>2744.05</v>
      </c>
      <c r="L21">
        <v>2750.8304761904765</v>
      </c>
      <c r="M21">
        <v>0.99753511666779759</v>
      </c>
      <c r="Q21">
        <v>2.6870004462902477</v>
      </c>
      <c r="R21">
        <v>41.336884048561423</v>
      </c>
      <c r="S21">
        <v>111.07222588673277</v>
      </c>
      <c r="T21">
        <v>45.339890916918563</v>
      </c>
      <c r="U21">
        <v>121.82830712851133</v>
      </c>
      <c r="V21">
        <v>19228.115256836656</v>
      </c>
      <c r="W21">
        <v>51665.95427644041</v>
      </c>
      <c r="X21">
        <v>1.4844452120504235</v>
      </c>
      <c r="AB21">
        <v>2924.3425623387789</v>
      </c>
      <c r="AC21">
        <v>439.01332760103173</v>
      </c>
      <c r="AD21">
        <v>1200.2012037833188</v>
      </c>
      <c r="AE21">
        <v>48.275580395528813</v>
      </c>
      <c r="AF21">
        <v>1151.92562338779</v>
      </c>
      <c r="AG21">
        <v>561.84944110060189</v>
      </c>
      <c r="AH21">
        <v>66.353052450558877</v>
      </c>
      <c r="AI21">
        <v>34.418228718830591</v>
      </c>
      <c r="AJ21">
        <v>0</v>
      </c>
      <c r="AK21">
        <v>0</v>
      </c>
      <c r="AL21">
        <v>11.92613929492691</v>
      </c>
      <c r="AM21">
        <v>0</v>
      </c>
      <c r="AN21">
        <v>20.008684436801339</v>
      </c>
      <c r="AO21">
        <v>0</v>
      </c>
      <c r="AP21">
        <v>676.93422184006874</v>
      </c>
      <c r="AR21">
        <v>2924.342562338778</v>
      </c>
      <c r="AS21">
        <v>2538.9744659733246</v>
      </c>
      <c r="AT21">
        <v>2005.6899723344427</v>
      </c>
      <c r="AU21">
        <v>0.25111211325118138</v>
      </c>
      <c r="AV21">
        <v>468.02752047699738</v>
      </c>
      <c r="AW21">
        <v>65.005861048633392</v>
      </c>
      <c r="AX21">
        <v>385.36809636545325</v>
      </c>
      <c r="AZ21">
        <v>1</v>
      </c>
      <c r="BA21">
        <v>0.86822060406724355</v>
      </c>
      <c r="BB21">
        <v>0.68586013080846731</v>
      </c>
      <c r="BC21">
        <v>8.586959560932953E-5</v>
      </c>
      <c r="BD21">
        <v>0.16004538131219714</v>
      </c>
      <c r="BE21">
        <v>2.2229222350969777E-2</v>
      </c>
      <c r="BF21">
        <v>0.13177939593275645</v>
      </c>
      <c r="BJ21">
        <v>6809.7978307631993</v>
      </c>
      <c r="BK21">
        <v>1845.1938644832001</v>
      </c>
      <c r="BL21">
        <v>3644.9349206399997</v>
      </c>
      <c r="BM21">
        <v>127.53784620000005</v>
      </c>
      <c r="BN21">
        <v>3517.3970744399999</v>
      </c>
      <c r="BO21">
        <v>1319.6690456399999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6809.7978307631975</v>
      </c>
      <c r="CA21">
        <v>6809.7978307631975</v>
      </c>
      <c r="CB21">
        <v>5687.861130020945</v>
      </c>
      <c r="CC21">
        <v>0</v>
      </c>
      <c r="CD21">
        <v>1087.876762008653</v>
      </c>
      <c r="CE21">
        <v>34.059938733600021</v>
      </c>
      <c r="CF21">
        <v>0</v>
      </c>
      <c r="CH21">
        <v>1</v>
      </c>
      <c r="CI21">
        <v>1</v>
      </c>
      <c r="CJ21">
        <v>0.83524669474416491</v>
      </c>
      <c r="CK21">
        <v>0</v>
      </c>
      <c r="CL21">
        <v>0.15975169734029107</v>
      </c>
      <c r="CM21">
        <v>5.0016079155440667E-3</v>
      </c>
      <c r="CN21">
        <v>0</v>
      </c>
      <c r="CR21">
        <v>19335.513049015168</v>
      </c>
      <c r="CS21">
        <v>16787.490819366019</v>
      </c>
      <c r="CT21">
        <v>13261.45750904637</v>
      </c>
      <c r="CU21">
        <v>1.6603326864178467</v>
      </c>
      <c r="CV21">
        <v>3094.5595587965968</v>
      </c>
      <c r="CW21">
        <v>429.81341883663578</v>
      </c>
      <c r="CX21">
        <v>2548.0222296491488</v>
      </c>
      <c r="CZ21">
        <v>11106.042570401793</v>
      </c>
      <c r="DA21">
        <v>8749.9313028996312</v>
      </c>
      <c r="DB21">
        <v>7.7901032197249283</v>
      </c>
      <c r="DC21">
        <v>2028.4182088014252</v>
      </c>
      <c r="DD21">
        <v>319.90295548101199</v>
      </c>
      <c r="DF21">
        <v>3871.5240276206464</v>
      </c>
      <c r="DG21">
        <v>3871.5240276206464</v>
      </c>
      <c r="DH21">
        <v>3233.6776476927616</v>
      </c>
      <c r="DI21">
        <v>0</v>
      </c>
      <c r="DJ21">
        <v>618.48253470611814</v>
      </c>
      <c r="DK21">
        <v>19.363845221766468</v>
      </c>
      <c r="DL21">
        <v>0</v>
      </c>
      <c r="DN21">
        <v>0.66156656107236</v>
      </c>
      <c r="DO21">
        <v>0.65980163167817885</v>
      </c>
      <c r="DP21">
        <v>4.6918929461853862</v>
      </c>
      <c r="DQ21">
        <v>0.65547880732669772</v>
      </c>
      <c r="DR21">
        <v>0.74428331331972963</v>
      </c>
      <c r="DV21">
        <v>174.08053988881784</v>
      </c>
      <c r="DW21">
        <v>151.14031149862132</v>
      </c>
      <c r="DX21">
        <v>119.3949018593532</v>
      </c>
      <c r="DY21">
        <v>1.4948225563706546E-2</v>
      </c>
      <c r="DZ21">
        <v>27.860786385539001</v>
      </c>
      <c r="EA21">
        <v>3.8696750281653953</v>
      </c>
      <c r="EB21">
        <v>22.940228390196527</v>
      </c>
      <c r="ED21">
        <v>99.989376117548161</v>
      </c>
      <c r="EE21">
        <v>78.776951060857286</v>
      </c>
      <c r="EF21">
        <v>7.0135474080342805E-2</v>
      </c>
      <c r="EG21">
        <v>18.262155031176999</v>
      </c>
      <c r="EH21">
        <v>2.8801345514335588</v>
      </c>
      <c r="EJ21">
        <v>34.855914669151218</v>
      </c>
      <c r="EK21">
        <v>34.855914669151218</v>
      </c>
      <c r="EL21">
        <v>29.113287519693205</v>
      </c>
      <c r="EM21">
        <v>0</v>
      </c>
      <c r="EN21">
        <v>5.568291530745257</v>
      </c>
      <c r="EO21">
        <v>0.17433561871275527</v>
      </c>
      <c r="EP21">
        <v>0</v>
      </c>
      <c r="ET21">
        <v>7195.9470924950347</v>
      </c>
      <c r="EU21">
        <v>6247.6695314819635</v>
      </c>
      <c r="EV21">
        <v>4935.4132141494547</v>
      </c>
      <c r="EW21">
        <v>0.61791306685867919</v>
      </c>
      <c r="EX21">
        <v>1151.6780963207643</v>
      </c>
      <c r="EY21">
        <v>159.96030794488661</v>
      </c>
      <c r="EZ21">
        <v>948.27756101307068</v>
      </c>
      <c r="FB21">
        <v>4133.2492466590857</v>
      </c>
      <c r="FC21">
        <v>3256.393691701855</v>
      </c>
      <c r="FD21">
        <v>2.8991819597500159</v>
      </c>
      <c r="FE21">
        <v>754.90058500061627</v>
      </c>
      <c r="FF21">
        <v>119.05578799686448</v>
      </c>
      <c r="FH21">
        <v>1440.8349030852553</v>
      </c>
      <c r="FI21">
        <v>1440.8349030852553</v>
      </c>
      <c r="FJ21">
        <v>1203.4525904739885</v>
      </c>
      <c r="FK21">
        <v>0</v>
      </c>
      <c r="FL21">
        <v>230.17582135500328</v>
      </c>
      <c r="FM21">
        <v>7.2064912562633792</v>
      </c>
      <c r="FN21">
        <v>0</v>
      </c>
    </row>
    <row r="22" spans="1:170" x14ac:dyDescent="0.25">
      <c r="A22">
        <v>2017</v>
      </c>
      <c r="C22">
        <v>93228.262255839742</v>
      </c>
      <c r="D22">
        <v>4784383</v>
      </c>
      <c r="F22">
        <v>1797964</v>
      </c>
      <c r="G22">
        <v>200837.44230736545</v>
      </c>
      <c r="H22">
        <v>77257</v>
      </c>
      <c r="I22">
        <v>9467.1545050286913</v>
      </c>
      <c r="K22">
        <v>2668.92</v>
      </c>
      <c r="L22">
        <v>2750.8304761904765</v>
      </c>
      <c r="M22">
        <v>0.97022336458046254</v>
      </c>
      <c r="Q22">
        <v>2.6610004427229912</v>
      </c>
      <c r="R22">
        <v>41.97771004272974</v>
      </c>
      <c r="S22">
        <v>111.70270500820119</v>
      </c>
      <c r="T22">
        <v>46.050746879216135</v>
      </c>
      <c r="U22">
        <v>122.54105783331855</v>
      </c>
      <c r="V22">
        <v>19485.952996622498</v>
      </c>
      <c r="W22">
        <v>51852.129550891863</v>
      </c>
      <c r="X22">
        <v>1.4640482233280432</v>
      </c>
      <c r="AB22">
        <v>2834.4877901977638</v>
      </c>
      <c r="AC22">
        <v>366.14780739466897</v>
      </c>
      <c r="AD22">
        <v>1188.7693035253653</v>
      </c>
      <c r="AE22">
        <v>47.76414445399827</v>
      </c>
      <c r="AF22">
        <v>1141.005159071367</v>
      </c>
      <c r="AG22">
        <v>554.37248495270842</v>
      </c>
      <c r="AH22">
        <v>64.816423043852097</v>
      </c>
      <c r="AI22">
        <v>28.366294067067916</v>
      </c>
      <c r="AJ22">
        <v>0</v>
      </c>
      <c r="AK22">
        <v>0</v>
      </c>
      <c r="AL22">
        <v>12.47944969905417</v>
      </c>
      <c r="AM22">
        <v>0</v>
      </c>
      <c r="AN22">
        <v>23.970679277729992</v>
      </c>
      <c r="AO22">
        <v>0</v>
      </c>
      <c r="AP22">
        <v>684.35245055889936</v>
      </c>
      <c r="AR22">
        <v>2834.4877901977629</v>
      </c>
      <c r="AS22">
        <v>2450.7795433831038</v>
      </c>
      <c r="AT22">
        <v>1901.5015780971503</v>
      </c>
      <c r="AU22">
        <v>0.24212388171084231</v>
      </c>
      <c r="AV22">
        <v>482.82816682264081</v>
      </c>
      <c r="AW22">
        <v>66.20767458160212</v>
      </c>
      <c r="AX22">
        <v>383.70824681465922</v>
      </c>
      <c r="AZ22">
        <v>1</v>
      </c>
      <c r="BA22">
        <v>0.86462871770285954</v>
      </c>
      <c r="BB22">
        <v>0.67084486469581228</v>
      </c>
      <c r="BC22">
        <v>8.5420682547356923E-5</v>
      </c>
      <c r="BD22">
        <v>0.17034053506681493</v>
      </c>
      <c r="BE22">
        <v>2.3357897257685063E-2</v>
      </c>
      <c r="BF22">
        <v>0.13537128229714043</v>
      </c>
      <c r="BJ22">
        <v>6466.1151351095996</v>
      </c>
      <c r="BK22">
        <v>1550.1893226696</v>
      </c>
      <c r="BL22">
        <v>3613.8186025199998</v>
      </c>
      <c r="BM22">
        <v>126.18669851999999</v>
      </c>
      <c r="BN22">
        <v>3487.6319039999998</v>
      </c>
      <c r="BO22">
        <v>1302.1072099199998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6466.1151351095959</v>
      </c>
      <c r="CA22">
        <v>6466.1151351095959</v>
      </c>
      <c r="CB22">
        <v>5306.20788672451</v>
      </c>
      <c r="CC22">
        <v>0</v>
      </c>
      <c r="CD22">
        <v>1123.9783700522312</v>
      </c>
      <c r="CE22">
        <v>35.928878332855199</v>
      </c>
      <c r="CF22">
        <v>0</v>
      </c>
      <c r="CH22">
        <v>1</v>
      </c>
      <c r="CI22">
        <v>1</v>
      </c>
      <c r="CJ22">
        <v>0.82061760049909371</v>
      </c>
      <c r="CK22">
        <v>0</v>
      </c>
      <c r="CL22">
        <v>0.1738259134838589</v>
      </c>
      <c r="CM22">
        <v>5.5564860170474262E-3</v>
      </c>
      <c r="CN22">
        <v>0</v>
      </c>
      <c r="CR22">
        <v>18334.679114820978</v>
      </c>
      <c r="CS22">
        <v>15852.690092541059</v>
      </c>
      <c r="CT22">
        <v>12299.725330023211</v>
      </c>
      <c r="CU22">
        <v>1.5661608042747777</v>
      </c>
      <c r="CV22">
        <v>3123.1390506969624</v>
      </c>
      <c r="CW22">
        <v>428.25955101661248</v>
      </c>
      <c r="CX22">
        <v>2481.9890222799158</v>
      </c>
      <c r="CZ22">
        <v>10743.337105708848</v>
      </c>
      <c r="DA22">
        <v>8319.6914533471972</v>
      </c>
      <c r="DB22">
        <v>7.6292249295977212</v>
      </c>
      <c r="DC22">
        <v>2094.6964680402343</v>
      </c>
      <c r="DD22">
        <v>321.31995939181769</v>
      </c>
      <c r="DF22">
        <v>3596.3540622112546</v>
      </c>
      <c r="DG22">
        <v>3596.3540622112546</v>
      </c>
      <c r="DH22">
        <v>2951.2314410769682</v>
      </c>
      <c r="DI22">
        <v>0</v>
      </c>
      <c r="DJ22">
        <v>625.13953007525799</v>
      </c>
      <c r="DK22">
        <v>19.983091059028546</v>
      </c>
      <c r="DL22">
        <v>0</v>
      </c>
      <c r="DN22">
        <v>0.67769804638796016</v>
      </c>
      <c r="DO22">
        <v>0.67641278403503147</v>
      </c>
      <c r="DP22">
        <v>4.8712909356268117</v>
      </c>
      <c r="DQ22">
        <v>0.67070227551116557</v>
      </c>
      <c r="DR22">
        <v>0.75029257054293563</v>
      </c>
      <c r="DV22">
        <v>164.13818370356248</v>
      </c>
      <c r="DW22">
        <v>141.91858730168761</v>
      </c>
      <c r="DX22">
        <v>110.11125763803275</v>
      </c>
      <c r="DY22">
        <v>1.4020795684041763E-2</v>
      </c>
      <c r="DZ22">
        <v>27.959386036960002</v>
      </c>
      <c r="EA22">
        <v>3.8339228310108497</v>
      </c>
      <c r="EB22">
        <v>22.219596401874856</v>
      </c>
      <c r="ED22">
        <v>96.177949360492875</v>
      </c>
      <c r="EE22">
        <v>74.480662332540348</v>
      </c>
      <c r="EF22">
        <v>6.8299374925948175E-2</v>
      </c>
      <c r="EG22">
        <v>18.752423836884184</v>
      </c>
      <c r="EH22">
        <v>2.876563816142379</v>
      </c>
      <c r="EJ22">
        <v>32.195765196081965</v>
      </c>
      <c r="EK22">
        <v>32.195765196081965</v>
      </c>
      <c r="EL22">
        <v>26.420411581441016</v>
      </c>
      <c r="EM22">
        <v>0</v>
      </c>
      <c r="EN22">
        <v>5.5964582955207787</v>
      </c>
      <c r="EO22">
        <v>0.17889531912017162</v>
      </c>
      <c r="EP22">
        <v>0</v>
      </c>
      <c r="ET22">
        <v>6890.1450824484527</v>
      </c>
      <c r="EU22">
        <v>5957.4173074240698</v>
      </c>
      <c r="EV22">
        <v>4622.2184455696497</v>
      </c>
      <c r="EW22">
        <v>0.58856089579306181</v>
      </c>
      <c r="EX22">
        <v>1173.6710000322537</v>
      </c>
      <c r="EY22">
        <v>160.93930092637495</v>
      </c>
      <c r="EZ22">
        <v>932.72777502438385</v>
      </c>
      <c r="FB22">
        <v>4037.3300707591143</v>
      </c>
      <c r="FC22">
        <v>3126.5276471858419</v>
      </c>
      <c r="FD22">
        <v>2.8670513567411384</v>
      </c>
      <c r="FE22">
        <v>787.18381042309773</v>
      </c>
      <c r="FF22">
        <v>120.75156179343294</v>
      </c>
      <c r="FH22">
        <v>1351.5044960049386</v>
      </c>
      <c r="FI22">
        <v>1351.5044960049386</v>
      </c>
      <c r="FJ22">
        <v>1109.0683765753097</v>
      </c>
      <c r="FK22">
        <v>0</v>
      </c>
      <c r="FL22">
        <v>234.92650359560076</v>
      </c>
      <c r="FM22">
        <v>7.5096158340281693</v>
      </c>
      <c r="FN22">
        <v>0</v>
      </c>
    </row>
    <row r="23" spans="1:170" x14ac:dyDescent="0.25">
      <c r="A23">
        <v>2018</v>
      </c>
      <c r="C23">
        <v>96777.953301995847</v>
      </c>
      <c r="D23">
        <v>4830392</v>
      </c>
      <c r="F23">
        <v>1846480</v>
      </c>
      <c r="G23">
        <v>207558.4193499416</v>
      </c>
      <c r="H23">
        <v>87602</v>
      </c>
      <c r="I23">
        <v>10809.32537711911</v>
      </c>
      <c r="K23">
        <v>2754.34</v>
      </c>
      <c r="L23">
        <v>2750.8304761904765</v>
      </c>
      <c r="M23">
        <v>1.0012758051940678</v>
      </c>
      <c r="Q23">
        <v>2.6160001733027167</v>
      </c>
      <c r="R23">
        <v>42.969270268322241</v>
      </c>
      <c r="S23">
        <v>112.40761846862225</v>
      </c>
      <c r="T23">
        <v>47.167928127711981</v>
      </c>
      <c r="U23">
        <v>123.39130815642463</v>
      </c>
      <c r="V23">
        <v>20035.217287126146</v>
      </c>
      <c r="W23">
        <v>52412.131895279577</v>
      </c>
      <c r="X23">
        <v>1.4593821350691663</v>
      </c>
      <c r="AB23">
        <v>3017.5090283748923</v>
      </c>
      <c r="AC23">
        <v>388.2765262252795</v>
      </c>
      <c r="AD23">
        <v>1280.3815133276009</v>
      </c>
      <c r="AE23">
        <v>53.84161650902837</v>
      </c>
      <c r="AF23">
        <v>1226.5398968185723</v>
      </c>
      <c r="AG23">
        <v>602.87016337059322</v>
      </c>
      <c r="AH23">
        <v>71.526655202063623</v>
      </c>
      <c r="AI23">
        <v>29.780481513327604</v>
      </c>
      <c r="AJ23">
        <v>0</v>
      </c>
      <c r="AK23">
        <v>0</v>
      </c>
      <c r="AL23">
        <v>13.38211521926053</v>
      </c>
      <c r="AM23">
        <v>0</v>
      </c>
      <c r="AN23">
        <v>28.364058469475523</v>
      </c>
      <c r="AO23">
        <v>0</v>
      </c>
      <c r="AP23">
        <v>702.8182287188306</v>
      </c>
      <c r="AR23">
        <v>3017.5090283748923</v>
      </c>
      <c r="AS23">
        <v>2634.5998252012168</v>
      </c>
      <c r="AT23">
        <v>2070.3183576257275</v>
      </c>
      <c r="AU23">
        <v>0.23587404607842199</v>
      </c>
      <c r="AV23">
        <v>496.17776182407886</v>
      </c>
      <c r="AW23">
        <v>67.867831705332009</v>
      </c>
      <c r="AX23">
        <v>382.90920317367568</v>
      </c>
      <c r="AZ23">
        <v>1</v>
      </c>
      <c r="BA23">
        <v>0.87310420629299834</v>
      </c>
      <c r="BB23">
        <v>0.68610179394913584</v>
      </c>
      <c r="BC23">
        <v>7.8168464074307724E-5</v>
      </c>
      <c r="BD23">
        <v>0.16443290050114617</v>
      </c>
      <c r="BE23">
        <v>2.2491343378641972E-2</v>
      </c>
      <c r="BF23">
        <v>0.12689579370700177</v>
      </c>
      <c r="BJ23">
        <v>6951.1859863296004</v>
      </c>
      <c r="BK23">
        <v>1640.4558879696001</v>
      </c>
      <c r="BL23">
        <v>3894.7117935600004</v>
      </c>
      <c r="BM23">
        <v>142.24259448000001</v>
      </c>
      <c r="BN23">
        <v>3752.4691990800002</v>
      </c>
      <c r="BO23">
        <v>1416.0183047999999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6951.1859863295995</v>
      </c>
      <c r="CA23">
        <v>6951.1859863295995</v>
      </c>
      <c r="CB23">
        <v>5759.9303229080533</v>
      </c>
      <c r="CC23">
        <v>0</v>
      </c>
      <c r="CD23">
        <v>1153.9674263594306</v>
      </c>
      <c r="CE23">
        <v>37.2882370621153</v>
      </c>
      <c r="CF23">
        <v>0</v>
      </c>
      <c r="CH23">
        <v>1</v>
      </c>
      <c r="CI23">
        <v>1</v>
      </c>
      <c r="CJ23">
        <v>0.82862555170235652</v>
      </c>
      <c r="CK23">
        <v>0</v>
      </c>
      <c r="CL23">
        <v>0.16601014972536426</v>
      </c>
      <c r="CM23">
        <v>5.3642985722792353E-3</v>
      </c>
      <c r="CN23">
        <v>0</v>
      </c>
      <c r="CR23">
        <v>19005.691911095702</v>
      </c>
      <c r="CS23">
        <v>16593.949551086473</v>
      </c>
      <c r="CT23">
        <v>13039.839315447343</v>
      </c>
      <c r="CU23">
        <v>1.4856457453598455</v>
      </c>
      <c r="CV23">
        <v>3125.1610469726388</v>
      </c>
      <c r="CW23">
        <v>427.4635429211317</v>
      </c>
      <c r="CX23">
        <v>2411.7423600092329</v>
      </c>
      <c r="CZ23">
        <v>11505.943444404758</v>
      </c>
      <c r="DA23">
        <v>9021.9180054369808</v>
      </c>
      <c r="DB23">
        <v>7.488688250727404</v>
      </c>
      <c r="DC23">
        <v>2152.205020865365</v>
      </c>
      <c r="DD23">
        <v>324.33172985168432</v>
      </c>
      <c r="DF23">
        <v>3764.560670210129</v>
      </c>
      <c r="DG23">
        <v>3764.560670210129</v>
      </c>
      <c r="DH23">
        <v>3119.4111622698611</v>
      </c>
      <c r="DI23">
        <v>0</v>
      </c>
      <c r="DJ23">
        <v>624.95528051180111</v>
      </c>
      <c r="DK23">
        <v>20.194227428466757</v>
      </c>
      <c r="DL23">
        <v>0</v>
      </c>
      <c r="DN23">
        <v>0.69338185035348732</v>
      </c>
      <c r="DO23">
        <v>0.69187340328261371</v>
      </c>
      <c r="DP23">
        <v>5.0406957877522354</v>
      </c>
      <c r="DQ23">
        <v>0.6886701160409695</v>
      </c>
      <c r="DR23">
        <v>0.75873541784480203</v>
      </c>
      <c r="DV23">
        <v>169.07832556207927</v>
      </c>
      <c r="DW23">
        <v>147.62299724122838</v>
      </c>
      <c r="DX23">
        <v>116.0049424860586</v>
      </c>
      <c r="DY23">
        <v>1.3216593017443497E-2</v>
      </c>
      <c r="DZ23">
        <v>27.802039484049779</v>
      </c>
      <c r="EA23">
        <v>3.8027986781025431</v>
      </c>
      <c r="EB23">
        <v>21.455328320850896</v>
      </c>
      <c r="ED23">
        <v>102.35910698185069</v>
      </c>
      <c r="EE23">
        <v>80.260734355433229</v>
      </c>
      <c r="EF23">
        <v>6.6620824751463054E-2</v>
      </c>
      <c r="EG23">
        <v>19.146433757656176</v>
      </c>
      <c r="EH23">
        <v>2.8853180440097939</v>
      </c>
      <c r="EJ23">
        <v>33.490262684116722</v>
      </c>
      <c r="EK23">
        <v>33.490262684116722</v>
      </c>
      <c r="EL23">
        <v>27.750887393283055</v>
      </c>
      <c r="EM23">
        <v>0</v>
      </c>
      <c r="EN23">
        <v>5.5597235225319954</v>
      </c>
      <c r="EO23">
        <v>0.17965176830166388</v>
      </c>
      <c r="EP23">
        <v>0</v>
      </c>
      <c r="ET23">
        <v>7265.1722675923602</v>
      </c>
      <c r="EU23">
        <v>6343.2524662781298</v>
      </c>
      <c r="EV23">
        <v>4984.6477261446298</v>
      </c>
      <c r="EW23">
        <v>0.56790735739295017</v>
      </c>
      <c r="EX23">
        <v>1194.6333486007013</v>
      </c>
      <c r="EY23">
        <v>163.40348417540673</v>
      </c>
      <c r="EZ23">
        <v>921.91980131423043</v>
      </c>
      <c r="FB23">
        <v>4398.2961323272511</v>
      </c>
      <c r="FC23">
        <v>3448.7451864526265</v>
      </c>
      <c r="FD23">
        <v>2.8626482242441473</v>
      </c>
      <c r="FE23">
        <v>822.70828680725685</v>
      </c>
      <c r="FF23">
        <v>123.98001084312372</v>
      </c>
      <c r="FH23">
        <v>1439.0521486309185</v>
      </c>
      <c r="FI23">
        <v>1439.0521486309185</v>
      </c>
      <c r="FJ23">
        <v>1192.4353805877561</v>
      </c>
      <c r="FK23">
        <v>0</v>
      </c>
      <c r="FL23">
        <v>238.89726265682583</v>
      </c>
      <c r="FM23">
        <v>7.719505386336202</v>
      </c>
      <c r="FN23">
        <v>0</v>
      </c>
    </row>
    <row r="24" spans="1:170" x14ac:dyDescent="0.25">
      <c r="A24">
        <v>2019</v>
      </c>
      <c r="C24">
        <v>99165.121120363357</v>
      </c>
      <c r="D24">
        <v>4904240</v>
      </c>
      <c r="F24">
        <v>1869706</v>
      </c>
      <c r="G24">
        <v>211226.03052910641</v>
      </c>
      <c r="H24">
        <v>63367</v>
      </c>
      <c r="I24">
        <v>7866.3112379298109</v>
      </c>
      <c r="K24">
        <v>2706.58</v>
      </c>
      <c r="L24">
        <v>2750.8304761904765</v>
      </c>
      <c r="M24">
        <v>0.98391377564939675</v>
      </c>
      <c r="Q24">
        <v>2.6230006214880843</v>
      </c>
      <c r="R24">
        <v>43.070084361512976</v>
      </c>
      <c r="S24">
        <v>112.97285804779276</v>
      </c>
      <c r="T24">
        <v>47.327066424325054</v>
      </c>
      <c r="U24">
        <v>124.13892464421247</v>
      </c>
      <c r="V24">
        <v>20220.283085730585</v>
      </c>
      <c r="W24">
        <v>53037.815100536318</v>
      </c>
      <c r="X24">
        <v>1.4601008068294046</v>
      </c>
      <c r="AB24">
        <v>2935.3401547721405</v>
      </c>
      <c r="AC24">
        <v>349.1265692175408</v>
      </c>
      <c r="AD24">
        <v>1258.2084264832329</v>
      </c>
      <c r="AE24">
        <v>50.020120378331903</v>
      </c>
      <c r="AF24">
        <v>1208.1883061049009</v>
      </c>
      <c r="AG24">
        <v>590.15924333619944</v>
      </c>
      <c r="AH24">
        <v>74.529320722269986</v>
      </c>
      <c r="AI24">
        <v>25.460103181427336</v>
      </c>
      <c r="AJ24">
        <v>0</v>
      </c>
      <c r="AK24">
        <v>0</v>
      </c>
      <c r="AL24">
        <v>13.52665520206363</v>
      </c>
      <c r="AM24">
        <v>0</v>
      </c>
      <c r="AN24">
        <v>35.542562338779049</v>
      </c>
      <c r="AO24">
        <v>0</v>
      </c>
      <c r="AP24">
        <v>698.85915735167669</v>
      </c>
      <c r="AR24">
        <v>2935.340154772141</v>
      </c>
      <c r="AS24">
        <v>2555.1584606364786</v>
      </c>
      <c r="AT24">
        <v>1994.8925369072219</v>
      </c>
      <c r="AU24">
        <v>0.23846504924145517</v>
      </c>
      <c r="AV24">
        <v>492.51899278365698</v>
      </c>
      <c r="AW24">
        <v>67.508465896358203</v>
      </c>
      <c r="AX24">
        <v>380.18169413566221</v>
      </c>
      <c r="AZ24">
        <v>1</v>
      </c>
      <c r="BA24">
        <v>0.87048121373000653</v>
      </c>
      <c r="BB24">
        <v>0.6796120489354589</v>
      </c>
      <c r="BC24">
        <v>8.1239323781187556E-5</v>
      </c>
      <c r="BD24">
        <v>0.16778941002218847</v>
      </c>
      <c r="BE24">
        <v>2.2998515448577925E-2</v>
      </c>
      <c r="BF24">
        <v>0.12951878626999339</v>
      </c>
      <c r="BJ24">
        <v>6688.8005752836007</v>
      </c>
      <c r="BK24">
        <v>1479.4871220035998</v>
      </c>
      <c r="BL24">
        <v>3823.1504913600006</v>
      </c>
      <c r="BM24">
        <v>132.14669544000003</v>
      </c>
      <c r="BN24">
        <v>3691.0037959200008</v>
      </c>
      <c r="BO24">
        <v>1386.16296192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6688.8005752836016</v>
      </c>
      <c r="CA24">
        <v>6688.8005752836016</v>
      </c>
      <c r="CB24">
        <v>5509.1113750141903</v>
      </c>
      <c r="CC24">
        <v>0</v>
      </c>
      <c r="CD24">
        <v>1142.4916339944764</v>
      </c>
      <c r="CE24">
        <v>37.197566274934459</v>
      </c>
      <c r="CF24">
        <v>0</v>
      </c>
      <c r="CH24">
        <v>1</v>
      </c>
      <c r="CI24">
        <v>1</v>
      </c>
      <c r="CJ24">
        <v>0.82363217635332275</v>
      </c>
      <c r="CK24">
        <v>0</v>
      </c>
      <c r="CL24">
        <v>0.17080665227428093</v>
      </c>
      <c r="CM24">
        <v>5.5611713723962087E-3</v>
      </c>
      <c r="CN24">
        <v>0</v>
      </c>
      <c r="CR24">
        <v>18258.488767752791</v>
      </c>
      <c r="CS24">
        <v>15893.671463429142</v>
      </c>
      <c r="CT24">
        <v>12408.688961917538</v>
      </c>
      <c r="CU24">
        <v>1.4833072807586454</v>
      </c>
      <c r="CV24">
        <v>3063.5810582379954</v>
      </c>
      <c r="CW24">
        <v>419.9181359928491</v>
      </c>
      <c r="CX24">
        <v>2364.8173043236488</v>
      </c>
      <c r="CZ24">
        <v>11288.254182942141</v>
      </c>
      <c r="DA24">
        <v>8798.9792726414944</v>
      </c>
      <c r="DB24">
        <v>7.6951690000468318</v>
      </c>
      <c r="DC24">
        <v>2158.9566202962701</v>
      </c>
      <c r="DD24">
        <v>322.6231210043274</v>
      </c>
      <c r="DF24">
        <v>3577.461149123767</v>
      </c>
      <c r="DG24">
        <v>3577.461149123767</v>
      </c>
      <c r="DH24">
        <v>2946.512112072267</v>
      </c>
      <c r="DI24">
        <v>0</v>
      </c>
      <c r="DJ24">
        <v>611.05416252313273</v>
      </c>
      <c r="DK24">
        <v>19.894874528366735</v>
      </c>
      <c r="DL24">
        <v>0</v>
      </c>
      <c r="DN24">
        <v>0.71023578214234961</v>
      </c>
      <c r="DO24">
        <v>0.70909822138710221</v>
      </c>
      <c r="DP24">
        <v>5.1878454989522442</v>
      </c>
      <c r="DQ24">
        <v>0.70471666303420222</v>
      </c>
      <c r="DR24">
        <v>0.76830004077228387</v>
      </c>
      <c r="DV24">
        <v>161.61836642238976</v>
      </c>
      <c r="DW24">
        <v>140.68575176442278</v>
      </c>
      <c r="DX24">
        <v>109.83778914992207</v>
      </c>
      <c r="DY24">
        <v>1.3129766798775132E-2</v>
      </c>
      <c r="DZ24">
        <v>27.117850350762648</v>
      </c>
      <c r="EA24">
        <v>3.7169824969392584</v>
      </c>
      <c r="EB24">
        <v>20.932614657966973</v>
      </c>
      <c r="ED24">
        <v>99.920054940689255</v>
      </c>
      <c r="EE24">
        <v>77.885780927301298</v>
      </c>
      <c r="EF24">
        <v>6.8115201589318192E-2</v>
      </c>
      <c r="EG24">
        <v>19.110401007850324</v>
      </c>
      <c r="EH24">
        <v>2.8557578039482978</v>
      </c>
      <c r="EJ24">
        <v>31.666554347154207</v>
      </c>
      <c r="EK24">
        <v>31.666554347154207</v>
      </c>
      <c r="EL24">
        <v>26.081593074557397</v>
      </c>
      <c r="EM24">
        <v>0</v>
      </c>
      <c r="EN24">
        <v>5.4088581370989877</v>
      </c>
      <c r="EO24">
        <v>0.17610313549782269</v>
      </c>
      <c r="EP24">
        <v>0</v>
      </c>
      <c r="ET24">
        <v>6960.9166761822426</v>
      </c>
      <c r="EU24">
        <v>6059.3471969565617</v>
      </c>
      <c r="EV24">
        <v>4730.7228447692187</v>
      </c>
      <c r="EW24">
        <v>0.56550016367023714</v>
      </c>
      <c r="EX24">
        <v>1167.9681023102314</v>
      </c>
      <c r="EY24">
        <v>160.090749713441</v>
      </c>
      <c r="EZ24">
        <v>901.56947922568065</v>
      </c>
      <c r="FB24">
        <v>4303.5651957024966</v>
      </c>
      <c r="FC24">
        <v>3354.5471551011851</v>
      </c>
      <c r="FD24">
        <v>2.9337274787533971</v>
      </c>
      <c r="FE24">
        <v>823.08658359045603</v>
      </c>
      <c r="FF24">
        <v>122.9977295321022</v>
      </c>
      <c r="FH24">
        <v>1363.8811671703672</v>
      </c>
      <c r="FI24">
        <v>1363.8811671703672</v>
      </c>
      <c r="FJ24">
        <v>1123.3364140038398</v>
      </c>
      <c r="FK24">
        <v>0</v>
      </c>
      <c r="FL24">
        <v>232.95997626430932</v>
      </c>
      <c r="FM24">
        <v>7.5847769022181728</v>
      </c>
      <c r="FN24">
        <v>0</v>
      </c>
    </row>
    <row r="25" spans="1:170" x14ac:dyDescent="0.25">
      <c r="A25">
        <v>2020</v>
      </c>
      <c r="C25">
        <v>88462.889891018422</v>
      </c>
      <c r="D25">
        <v>4964440</v>
      </c>
      <c r="F25">
        <v>1913079</v>
      </c>
      <c r="G25">
        <v>217462.31299999999</v>
      </c>
      <c r="H25">
        <v>84019</v>
      </c>
      <c r="I25">
        <v>10487.804918978123</v>
      </c>
      <c r="K25">
        <v>2744.36</v>
      </c>
      <c r="L25">
        <v>2750.8304761904765</v>
      </c>
      <c r="M25">
        <v>0.99764780990814195</v>
      </c>
      <c r="Q25">
        <v>2.5949999973864122</v>
      </c>
      <c r="R25">
        <v>43.803996623989818</v>
      </c>
      <c r="S25">
        <v>113.67137112476797</v>
      </c>
      <c r="T25">
        <v>48.102730637705108</v>
      </c>
      <c r="U25">
        <v>124.82658587912404</v>
      </c>
      <c r="V25">
        <v>17819.308903122692</v>
      </c>
      <c r="W25">
        <v>46241.10655703106</v>
      </c>
      <c r="X25">
        <v>1.3741703746094012</v>
      </c>
      <c r="AB25">
        <v>3184.608512467757</v>
      </c>
      <c r="AC25">
        <v>362.62639724849521</v>
      </c>
      <c r="AD25">
        <v>1444.0706792777305</v>
      </c>
      <c r="AE25">
        <v>55.285554600171963</v>
      </c>
      <c r="AF25">
        <v>1388.7851246775583</v>
      </c>
      <c r="AG25">
        <v>588.56405846947541</v>
      </c>
      <c r="AH25">
        <v>85.184694754944104</v>
      </c>
      <c r="AI25">
        <v>25.995786758383488</v>
      </c>
      <c r="AJ25">
        <v>0</v>
      </c>
      <c r="AK25">
        <v>0</v>
      </c>
      <c r="AL25">
        <v>13.90128976784179</v>
      </c>
      <c r="AM25">
        <v>0</v>
      </c>
      <c r="AN25">
        <v>45.28761822871887</v>
      </c>
      <c r="AO25">
        <v>0</v>
      </c>
      <c r="AP25">
        <v>749.45030094582955</v>
      </c>
      <c r="AR25">
        <v>3184.608512467757</v>
      </c>
      <c r="AS25">
        <v>2792.8087145248164</v>
      </c>
      <c r="AT25">
        <v>2193.8284787334155</v>
      </c>
      <c r="AU25">
        <v>0.24301579477561203</v>
      </c>
      <c r="AV25">
        <v>527.59099468527143</v>
      </c>
      <c r="AW25">
        <v>71.1462253113542</v>
      </c>
      <c r="AX25">
        <v>391.7997979429399</v>
      </c>
      <c r="AZ25">
        <v>1</v>
      </c>
      <c r="BA25">
        <v>0.87697081245338571</v>
      </c>
      <c r="BB25">
        <v>0.6888848252915758</v>
      </c>
      <c r="BC25">
        <v>7.6309472208029369E-5</v>
      </c>
      <c r="BD25">
        <v>0.16566902732934058</v>
      </c>
      <c r="BE25">
        <v>2.2340650360261366E-2</v>
      </c>
      <c r="BF25">
        <v>0.12302918754661427</v>
      </c>
      <c r="BJ25">
        <v>7308.8212420115997</v>
      </c>
      <c r="BK25">
        <v>1534.6393609715997</v>
      </c>
      <c r="BL25">
        <v>4391.7656810400013</v>
      </c>
      <c r="BM25">
        <v>146.05729236000002</v>
      </c>
      <c r="BN25">
        <v>4245.708388680001</v>
      </c>
      <c r="BO25">
        <v>1382.4161999999999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7308.8212420116033</v>
      </c>
      <c r="CA25">
        <v>7308.8212420116033</v>
      </c>
      <c r="CB25">
        <v>6037.9266757339656</v>
      </c>
      <c r="CC25">
        <v>0</v>
      </c>
      <c r="CD25">
        <v>1233.4404732330572</v>
      </c>
      <c r="CE25">
        <v>37.454093044580048</v>
      </c>
      <c r="CF25">
        <v>0</v>
      </c>
      <c r="CH25">
        <v>1</v>
      </c>
      <c r="CI25">
        <v>1</v>
      </c>
      <c r="CJ25">
        <v>0.82611497474141948</v>
      </c>
      <c r="CK25">
        <v>0</v>
      </c>
      <c r="CL25">
        <v>0.16876051997867414</v>
      </c>
      <c r="CM25">
        <v>5.1245052799063365E-3</v>
      </c>
      <c r="CN25">
        <v>0</v>
      </c>
      <c r="CR25">
        <v>19359.888953880109</v>
      </c>
      <c r="CS25">
        <v>16978.057544891566</v>
      </c>
      <c r="CT25">
        <v>13336.733719658008</v>
      </c>
      <c r="CU25">
        <v>1.4773429080766491</v>
      </c>
      <c r="CV25">
        <v>3207.333972193363</v>
      </c>
      <c r="CW25">
        <v>432.5125101321218</v>
      </c>
      <c r="CX25">
        <v>2381.8314089885421</v>
      </c>
      <c r="CZ25">
        <v>12312.897627169041</v>
      </c>
      <c r="DA25">
        <v>9656.5355351801882</v>
      </c>
      <c r="DB25">
        <v>7.893980107644734</v>
      </c>
      <c r="DC25">
        <v>2310.284917858648</v>
      </c>
      <c r="DD25">
        <v>338.18319402255804</v>
      </c>
      <c r="DF25">
        <v>3820.4492558914726</v>
      </c>
      <c r="DG25">
        <v>3820.4492558914726</v>
      </c>
      <c r="DH25">
        <v>3156.1303405316589</v>
      </c>
      <c r="DI25">
        <v>0</v>
      </c>
      <c r="DJ25">
        <v>644.74100297638381</v>
      </c>
      <c r="DK25">
        <v>19.577912383430089</v>
      </c>
      <c r="DL25">
        <v>0</v>
      </c>
      <c r="DN25">
        <v>0.7252241662282386</v>
      </c>
      <c r="DO25">
        <v>0.72405551000442481</v>
      </c>
      <c r="DP25">
        <v>5.3433634564380839</v>
      </c>
      <c r="DQ25">
        <v>0.72031317533132966</v>
      </c>
      <c r="DR25">
        <v>0.78190384347322461</v>
      </c>
      <c r="DV25">
        <v>170.31455468791967</v>
      </c>
      <c r="DW25">
        <v>149.36089339730151</v>
      </c>
      <c r="DX25">
        <v>117.3271122508001</v>
      </c>
      <c r="DY25">
        <v>1.2996613777580709E-2</v>
      </c>
      <c r="DZ25">
        <v>28.215846615177441</v>
      </c>
      <c r="EA25">
        <v>3.804937917546428</v>
      </c>
      <c r="EB25">
        <v>20.953661290618165</v>
      </c>
      <c r="ED25">
        <v>108.3201293811628</v>
      </c>
      <c r="EE25">
        <v>84.95134209809946</v>
      </c>
      <c r="EF25">
        <v>6.944563111656446E-2</v>
      </c>
      <c r="EG25">
        <v>20.324246070040218</v>
      </c>
      <c r="EH25">
        <v>2.975095581906559</v>
      </c>
      <c r="EJ25">
        <v>33.609599480401016</v>
      </c>
      <c r="EK25">
        <v>33.609599480401016</v>
      </c>
      <c r="EL25">
        <v>27.765393425820712</v>
      </c>
      <c r="EM25">
        <v>0</v>
      </c>
      <c r="EN25">
        <v>5.6719734845874532</v>
      </c>
      <c r="EO25">
        <v>0.1722325699928523</v>
      </c>
      <c r="EP25">
        <v>0</v>
      </c>
      <c r="ET25">
        <v>7460.458178565962</v>
      </c>
      <c r="EU25">
        <v>6542.6040701314978</v>
      </c>
      <c r="EV25">
        <v>5139.3964289365213</v>
      </c>
      <c r="EW25">
        <v>0.5693036260364448</v>
      </c>
      <c r="EX25">
        <v>1235.9668498742467</v>
      </c>
      <c r="EY25">
        <v>166.67148769469455</v>
      </c>
      <c r="EZ25">
        <v>917.85410843446414</v>
      </c>
      <c r="FB25">
        <v>4744.854581722595</v>
      </c>
      <c r="FC25">
        <v>3721.2083024685521</v>
      </c>
      <c r="FD25">
        <v>3.0419961909808317</v>
      </c>
      <c r="FE25">
        <v>890.28320623717968</v>
      </c>
      <c r="FF25">
        <v>130.32107682588193</v>
      </c>
      <c r="FH25">
        <v>1472.234782173136</v>
      </c>
      <c r="FI25">
        <v>1472.234782173136</v>
      </c>
      <c r="FJ25">
        <v>1216.2351998883994</v>
      </c>
      <c r="FK25">
        <v>0</v>
      </c>
      <c r="FL25">
        <v>248.45510737022855</v>
      </c>
      <c r="FM25">
        <v>7.5444749145079903</v>
      </c>
      <c r="FN25">
        <v>0</v>
      </c>
    </row>
    <row r="26" spans="1:170" x14ac:dyDescent="0.25">
      <c r="A26">
        <v>2021</v>
      </c>
      <c r="C26">
        <v>95942.317255096961</v>
      </c>
      <c r="D26">
        <v>5006324</v>
      </c>
      <c r="F26">
        <v>1934437</v>
      </c>
      <c r="G26">
        <v>221065.49447319296</v>
      </c>
      <c r="H26">
        <v>62947</v>
      </c>
      <c r="I26">
        <v>7953.3405809375918</v>
      </c>
      <c r="K26">
        <v>2643.76</v>
      </c>
      <c r="L26">
        <v>2750.8304761904765</v>
      </c>
      <c r="M26">
        <v>0.96107703578347936</v>
      </c>
      <c r="Q26">
        <v>2.5880005396919104</v>
      </c>
      <c r="R26">
        <v>44.157248806348321</v>
      </c>
      <c r="S26">
        <v>114.27898374213942</v>
      </c>
      <c r="T26">
        <v>48.82139459376539</v>
      </c>
      <c r="U26">
        <v>126.34979555717655</v>
      </c>
      <c r="V26">
        <v>19164.224539821425</v>
      </c>
      <c r="W26">
        <v>49597.023451834801</v>
      </c>
      <c r="X26">
        <v>1.411841906756415</v>
      </c>
      <c r="AB26">
        <v>3047.667497850387</v>
      </c>
      <c r="AC26">
        <v>335.44049871023208</v>
      </c>
      <c r="AD26">
        <v>1319.2797076526224</v>
      </c>
      <c r="AE26">
        <v>47.769733447979362</v>
      </c>
      <c r="AF26">
        <v>1271.509974204643</v>
      </c>
      <c r="AG26">
        <v>593.79019776440236</v>
      </c>
      <c r="AH26">
        <v>97.377815993121217</v>
      </c>
      <c r="AI26">
        <v>26.324591573516763</v>
      </c>
      <c r="AJ26">
        <v>0</v>
      </c>
      <c r="AK26">
        <v>0</v>
      </c>
      <c r="AL26">
        <v>13.8475494411006</v>
      </c>
      <c r="AM26">
        <v>0</v>
      </c>
      <c r="AN26">
        <v>57.2056749785039</v>
      </c>
      <c r="AO26">
        <v>0</v>
      </c>
      <c r="AP26">
        <v>758.98495270851242</v>
      </c>
      <c r="AR26">
        <v>3047.6674978503884</v>
      </c>
      <c r="AS26">
        <v>2644.5375158704346</v>
      </c>
      <c r="AT26">
        <v>2071.3133782033424</v>
      </c>
      <c r="AU26">
        <v>0.23013521993207964</v>
      </c>
      <c r="AV26">
        <v>501.53584411198688</v>
      </c>
      <c r="AW26">
        <v>71.458158335172797</v>
      </c>
      <c r="AX26">
        <v>403.12998197995427</v>
      </c>
      <c r="AZ26">
        <v>1</v>
      </c>
      <c r="BA26">
        <v>0.86772507753411621</v>
      </c>
      <c r="BB26">
        <v>0.67963889750581452</v>
      </c>
      <c r="BC26">
        <v>7.5511918571957392E-5</v>
      </c>
      <c r="BD26">
        <v>0.16456383265751109</v>
      </c>
      <c r="BE26">
        <v>2.3446835452218585E-2</v>
      </c>
      <c r="BF26">
        <v>0.13227492246588379</v>
      </c>
      <c r="BJ26">
        <v>6836.2884122064006</v>
      </c>
      <c r="BK26">
        <v>1422.3138634464001</v>
      </c>
      <c r="BL26">
        <v>4019.2832199600007</v>
      </c>
      <c r="BM26">
        <v>126.20146392000002</v>
      </c>
      <c r="BN26">
        <v>3893.081756040001</v>
      </c>
      <c r="BO26">
        <v>1394.6913288000001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6836.2884122064061</v>
      </c>
      <c r="CA26">
        <v>6836.2884122064061</v>
      </c>
      <c r="CB26">
        <v>5648.255435366631</v>
      </c>
      <c r="CC26">
        <v>0</v>
      </c>
      <c r="CD26">
        <v>1150.7756077176812</v>
      </c>
      <c r="CE26">
        <v>37.257369122094438</v>
      </c>
      <c r="CF26">
        <v>0</v>
      </c>
      <c r="CH26">
        <v>1</v>
      </c>
      <c r="CI26">
        <v>1</v>
      </c>
      <c r="CJ26">
        <v>0.82621666828472229</v>
      </c>
      <c r="CK26">
        <v>0</v>
      </c>
      <c r="CL26">
        <v>0.16833339062508473</v>
      </c>
      <c r="CM26">
        <v>5.4499410901930707E-3</v>
      </c>
      <c r="CN26">
        <v>0</v>
      </c>
      <c r="CR26">
        <v>18322.83656691845</v>
      </c>
      <c r="CS26">
        <v>15899.184780674248</v>
      </c>
      <c r="CT26">
        <v>12452.912443519675</v>
      </c>
      <c r="CU26">
        <v>1.3835925428484288</v>
      </c>
      <c r="CV26">
        <v>3015.2762106092923</v>
      </c>
      <c r="CW26">
        <v>429.61253400243038</v>
      </c>
      <c r="CX26">
        <v>2423.6517862441979</v>
      </c>
      <c r="CZ26">
        <v>11865.767905404113</v>
      </c>
      <c r="DA26">
        <v>9294.0724190608089</v>
      </c>
      <c r="DB26">
        <v>7.55506377757147</v>
      </c>
      <c r="DC26">
        <v>2223.4410029753526</v>
      </c>
      <c r="DD26">
        <v>340.69941959037965</v>
      </c>
      <c r="DF26">
        <v>3533.9938246665079</v>
      </c>
      <c r="DG26">
        <v>3533.9938246665079</v>
      </c>
      <c r="DH26">
        <v>2919.8446035547449</v>
      </c>
      <c r="DI26">
        <v>0</v>
      </c>
      <c r="DJ26">
        <v>594.8891629542245</v>
      </c>
      <c r="DK26">
        <v>19.26005815753857</v>
      </c>
      <c r="DL26">
        <v>0</v>
      </c>
      <c r="DN26">
        <v>0.74631297573364719</v>
      </c>
      <c r="DO26">
        <v>0.7463372493153051</v>
      </c>
      <c r="DP26">
        <v>5.4604687027422925</v>
      </c>
      <c r="DQ26">
        <v>0.73739214840489364</v>
      </c>
      <c r="DR26">
        <v>0.79303882597720532</v>
      </c>
      <c r="DV26">
        <v>160.33426240700857</v>
      </c>
      <c r="DW26">
        <v>139.12606027849682</v>
      </c>
      <c r="DX26">
        <v>108.96940133470726</v>
      </c>
      <c r="DY26">
        <v>1.2107147767172878E-2</v>
      </c>
      <c r="DZ26">
        <v>26.385220728012428</v>
      </c>
      <c r="EA26">
        <v>3.7593310680099647</v>
      </c>
      <c r="EB26">
        <v>21.208202128511719</v>
      </c>
      <c r="ED26">
        <v>103.83158404854376</v>
      </c>
      <c r="EE26">
        <v>81.327923251680943</v>
      </c>
      <c r="EF26">
        <v>6.6110701462123722E-2</v>
      </c>
      <c r="EG26">
        <v>19.456254598766417</v>
      </c>
      <c r="EH26">
        <v>2.9812954966342566</v>
      </c>
      <c r="EJ26">
        <v>30.924267165699145</v>
      </c>
      <c r="EK26">
        <v>30.924267165699145</v>
      </c>
      <c r="EL26">
        <v>25.550144986790578</v>
      </c>
      <c r="EM26">
        <v>0</v>
      </c>
      <c r="EN26">
        <v>5.2055867445981159</v>
      </c>
      <c r="EO26">
        <v>0.16853543431045218</v>
      </c>
      <c r="EP26">
        <v>0</v>
      </c>
      <c r="ET26">
        <v>7079.9199172886165</v>
      </c>
      <c r="EU26">
        <v>6143.4240591645985</v>
      </c>
      <c r="EV26">
        <v>4811.7889670154927</v>
      </c>
      <c r="EW26">
        <v>0.53461833629027733</v>
      </c>
      <c r="EX26">
        <v>1165.0987564972638</v>
      </c>
      <c r="EY26">
        <v>166.00171731555119</v>
      </c>
      <c r="EZ26">
        <v>936.49585812401824</v>
      </c>
      <c r="FB26">
        <v>4584.9170907888138</v>
      </c>
      <c r="FC26">
        <v>3591.2173419280762</v>
      </c>
      <c r="FD26">
        <v>2.9192666932252131</v>
      </c>
      <c r="FE26">
        <v>859.13467515738739</v>
      </c>
      <c r="FF26">
        <v>131.64580701012463</v>
      </c>
      <c r="FH26">
        <v>1365.5305593897649</v>
      </c>
      <c r="FI26">
        <v>1365.5305593897649</v>
      </c>
      <c r="FJ26">
        <v>1128.2241092199845</v>
      </c>
      <c r="FK26">
        <v>0</v>
      </c>
      <c r="FL26">
        <v>229.86438906424775</v>
      </c>
      <c r="FM26">
        <v>7.44206110553261</v>
      </c>
      <c r="FN26">
        <v>0</v>
      </c>
    </row>
    <row r="27" spans="1:170" x14ac:dyDescent="0.25">
      <c r="A27">
        <v>2022</v>
      </c>
      <c r="H27">
        <f>AVERAGE(H24:H26)</f>
        <v>70111</v>
      </c>
    </row>
    <row r="28" spans="1:170" x14ac:dyDescent="0.25">
      <c r="A28">
        <v>2023</v>
      </c>
      <c r="H28">
        <f>AVERAGE(H25:H27)</f>
        <v>72359</v>
      </c>
    </row>
    <row r="29" spans="1:170" x14ac:dyDescent="0.25">
      <c r="A29">
        <v>2024</v>
      </c>
      <c r="H29" s="24">
        <f>AVERAGE(H26:H28)</f>
        <v>68472.333333333328</v>
      </c>
    </row>
    <row r="108" spans="1:170" x14ac:dyDescent="0.25">
      <c r="A108" t="s">
        <v>68</v>
      </c>
      <c r="C108" t="s">
        <v>769</v>
      </c>
      <c r="D108" t="s">
        <v>770</v>
      </c>
      <c r="F108" t="s">
        <v>771</v>
      </c>
      <c r="G108" t="s">
        <v>772</v>
      </c>
      <c r="H108" t="s">
        <v>773</v>
      </c>
      <c r="I108" t="s">
        <v>774</v>
      </c>
      <c r="K108" t="s">
        <v>775</v>
      </c>
      <c r="L108" t="s">
        <v>776</v>
      </c>
      <c r="M108" t="s">
        <v>777</v>
      </c>
      <c r="AB108" t="s">
        <v>778</v>
      </c>
      <c r="AC108" t="s">
        <v>779</v>
      </c>
      <c r="AE108" t="s">
        <v>780</v>
      </c>
      <c r="AF108" t="s">
        <v>781</v>
      </c>
      <c r="AG108" t="s">
        <v>782</v>
      </c>
      <c r="AI108" t="s">
        <v>783</v>
      </c>
      <c r="AJ108" t="s">
        <v>784</v>
      </c>
      <c r="AK108" t="s">
        <v>785</v>
      </c>
      <c r="AL108" t="s">
        <v>786</v>
      </c>
      <c r="AM108" t="s">
        <v>787</v>
      </c>
      <c r="AN108" t="s">
        <v>788</v>
      </c>
      <c r="AO108" t="s">
        <v>789</v>
      </c>
      <c r="AP108" t="s">
        <v>790</v>
      </c>
      <c r="AR108" t="s">
        <v>791</v>
      </c>
      <c r="AS108" t="s">
        <v>792</v>
      </c>
      <c r="AT108" t="s">
        <v>793</v>
      </c>
      <c r="AU108" t="s">
        <v>794</v>
      </c>
      <c r="AV108" t="s">
        <v>795</v>
      </c>
      <c r="AW108" t="s">
        <v>796</v>
      </c>
      <c r="AX108" t="s">
        <v>797</v>
      </c>
      <c r="BJ108" t="s">
        <v>798</v>
      </c>
      <c r="BK108" t="s">
        <v>799</v>
      </c>
      <c r="BM108" t="s">
        <v>800</v>
      </c>
      <c r="BN108" t="s">
        <v>801</v>
      </c>
      <c r="BO108" t="s">
        <v>802</v>
      </c>
      <c r="BQ108" t="s">
        <v>803</v>
      </c>
      <c r="BR108" t="s">
        <v>804</v>
      </c>
      <c r="BS108" t="s">
        <v>805</v>
      </c>
      <c r="BT108" t="s">
        <v>806</v>
      </c>
      <c r="BU108" t="s">
        <v>807</v>
      </c>
      <c r="BV108" t="s">
        <v>808</v>
      </c>
      <c r="BW108" t="s">
        <v>809</v>
      </c>
      <c r="BX108" t="s">
        <v>810</v>
      </c>
      <c r="BZ108" t="s">
        <v>811</v>
      </c>
      <c r="CA108" t="s">
        <v>812</v>
      </c>
      <c r="CB108" t="s">
        <v>813</v>
      </c>
      <c r="CC108" t="s">
        <v>814</v>
      </c>
      <c r="CD108" t="s">
        <v>815</v>
      </c>
      <c r="CE108" t="s">
        <v>816</v>
      </c>
      <c r="CF108" t="s">
        <v>817</v>
      </c>
      <c r="CR108" t="s">
        <v>818</v>
      </c>
      <c r="CS108" t="s">
        <v>819</v>
      </c>
      <c r="CT108" t="s">
        <v>820</v>
      </c>
      <c r="CU108" t="s">
        <v>821</v>
      </c>
      <c r="CV108" t="s">
        <v>822</v>
      </c>
      <c r="CW108" t="s">
        <v>823</v>
      </c>
      <c r="CX108" t="s">
        <v>824</v>
      </c>
      <c r="CZ108" t="s">
        <v>825</v>
      </c>
      <c r="DA108" t="s">
        <v>826</v>
      </c>
      <c r="DB108" t="s">
        <v>827</v>
      </c>
      <c r="DC108" t="s">
        <v>828</v>
      </c>
      <c r="DD108" t="s">
        <v>829</v>
      </c>
      <c r="DF108" t="s">
        <v>830</v>
      </c>
      <c r="DG108" t="s">
        <v>831</v>
      </c>
      <c r="DH108" t="s">
        <v>832</v>
      </c>
      <c r="DI108" t="s">
        <v>833</v>
      </c>
      <c r="DJ108" t="s">
        <v>834</v>
      </c>
      <c r="DK108" t="s">
        <v>835</v>
      </c>
      <c r="DL108" t="s">
        <v>836</v>
      </c>
      <c r="DN108" t="s">
        <v>837</v>
      </c>
      <c r="DO108" t="s">
        <v>838</v>
      </c>
      <c r="DP108" t="s">
        <v>839</v>
      </c>
      <c r="DQ108" t="s">
        <v>840</v>
      </c>
      <c r="DR108" t="s">
        <v>841</v>
      </c>
      <c r="DV108" t="s">
        <v>842</v>
      </c>
      <c r="DW108" t="s">
        <v>843</v>
      </c>
      <c r="DX108" t="s">
        <v>844</v>
      </c>
      <c r="DY108" t="s">
        <v>845</v>
      </c>
      <c r="DZ108" t="s">
        <v>846</v>
      </c>
      <c r="EA108" t="s">
        <v>847</v>
      </c>
      <c r="EB108" t="s">
        <v>848</v>
      </c>
      <c r="ED108" t="s">
        <v>849</v>
      </c>
      <c r="EE108" t="s">
        <v>850</v>
      </c>
      <c r="EF108" t="s">
        <v>851</v>
      </c>
      <c r="EG108" t="s">
        <v>852</v>
      </c>
      <c r="EH108" t="s">
        <v>853</v>
      </c>
      <c r="EJ108" t="s">
        <v>854</v>
      </c>
      <c r="EK108" t="s">
        <v>855</v>
      </c>
      <c r="EL108" t="s">
        <v>856</v>
      </c>
      <c r="EM108" t="s">
        <v>857</v>
      </c>
      <c r="EN108" t="s">
        <v>858</v>
      </c>
      <c r="EO108" t="s">
        <v>859</v>
      </c>
      <c r="EP108" t="s">
        <v>860</v>
      </c>
      <c r="ET108" t="s">
        <v>861</v>
      </c>
      <c r="EU108" t="s">
        <v>862</v>
      </c>
      <c r="EV108" t="s">
        <v>863</v>
      </c>
      <c r="EW108" t="s">
        <v>864</v>
      </c>
      <c r="EX108" t="s">
        <v>865</v>
      </c>
      <c r="EY108" t="s">
        <v>866</v>
      </c>
      <c r="EZ108" t="s">
        <v>867</v>
      </c>
      <c r="FB108" t="s">
        <v>868</v>
      </c>
      <c r="FC108" t="s">
        <v>869</v>
      </c>
      <c r="FD108" t="s">
        <v>870</v>
      </c>
      <c r="FE108" t="s">
        <v>871</v>
      </c>
      <c r="FF108" t="s">
        <v>872</v>
      </c>
      <c r="FH108" t="s">
        <v>873</v>
      </c>
      <c r="FI108" t="s">
        <v>874</v>
      </c>
      <c r="FJ108" t="s">
        <v>875</v>
      </c>
      <c r="FK108" t="s">
        <v>876</v>
      </c>
      <c r="FL108" t="s">
        <v>877</v>
      </c>
      <c r="FM108" t="s">
        <v>878</v>
      </c>
      <c r="FN108" t="s">
        <v>879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08A1-AD64-2C43-A52F-52C05A137669}">
  <dimension ref="A1:FN108"/>
  <sheetViews>
    <sheetView workbookViewId="0">
      <selection activeCell="H29" sqref="H29"/>
    </sheetView>
  </sheetViews>
  <sheetFormatPr defaultColWidth="11" defaultRowHeight="15.75" x14ac:dyDescent="0.25"/>
  <cols>
    <col min="1" max="1" width="16" customWidth="1"/>
    <col min="2" max="2" width="3.625" customWidth="1"/>
    <col min="3" max="3" width="12.125" customWidth="1"/>
    <col min="4" max="4" width="12.875" customWidth="1"/>
    <col min="5" max="5" width="3.625" customWidth="1"/>
    <col min="6" max="6" width="7.875" customWidth="1"/>
    <col min="7" max="7" width="7.125" customWidth="1"/>
    <col min="8" max="8" width="38.375" bestFit="1" customWidth="1"/>
    <col min="9" max="9" width="61.875" bestFit="1" customWidth="1"/>
    <col min="10" max="10" width="12.125" bestFit="1" customWidth="1"/>
    <col min="11" max="11" width="26.375" bestFit="1" customWidth="1"/>
    <col min="12" max="12" width="45.125" bestFit="1" customWidth="1"/>
    <col min="13" max="13" width="27.625" bestFit="1" customWidth="1"/>
    <col min="14" max="14" width="12.125" bestFit="1" customWidth="1"/>
    <col min="15" max="15" width="12" bestFit="1" customWidth="1"/>
    <col min="16" max="16" width="12.1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75" bestFit="1" customWidth="1"/>
    <col min="23" max="23" width="62.5" bestFit="1" customWidth="1"/>
    <col min="24" max="24" width="58.875" bestFit="1" customWidth="1"/>
    <col min="25" max="25" width="12.125" bestFit="1" customWidth="1"/>
    <col min="26" max="26" width="20.5" bestFit="1" customWidth="1"/>
    <col min="27" max="27" width="12.125" bestFit="1" customWidth="1"/>
    <col min="28" max="28" width="48.625" bestFit="1" customWidth="1"/>
    <col min="29" max="29" width="22.875" bestFit="1" customWidth="1"/>
    <col min="30" max="30" width="12.125" bestFit="1" customWidth="1"/>
    <col min="31" max="31" width="28.5" bestFit="1" customWidth="1"/>
    <col min="32" max="32" width="40.875" bestFit="1" customWidth="1"/>
    <col min="33" max="33" width="20.5" bestFit="1" customWidth="1"/>
    <col min="34" max="34" width="30.375" bestFit="1" customWidth="1"/>
    <col min="35" max="35" width="31" bestFit="1" customWidth="1"/>
    <col min="36" max="36" width="23.375" bestFit="1" customWidth="1"/>
    <col min="37" max="37" width="23" bestFit="1" customWidth="1"/>
    <col min="38" max="38" width="22.125" bestFit="1" customWidth="1"/>
    <col min="39" max="39" width="21.125" bestFit="1" customWidth="1"/>
    <col min="40" max="40" width="24.625" bestFit="1" customWidth="1"/>
    <col min="41" max="41" width="28.125" bestFit="1" customWidth="1"/>
    <col min="42" max="42" width="21.5" bestFit="1" customWidth="1"/>
    <col min="43" max="43" width="12.125" bestFit="1" customWidth="1"/>
    <col min="44" max="44" width="36.5" bestFit="1" customWidth="1"/>
    <col min="45" max="45" width="25.125" bestFit="1" customWidth="1"/>
    <col min="46" max="47" width="28.125" bestFit="1" customWidth="1"/>
    <col min="48" max="48" width="28.875" bestFit="1" customWidth="1"/>
    <col min="49" max="49" width="28.5" bestFit="1" customWidth="1"/>
    <col min="50" max="50" width="44.875" bestFit="1" customWidth="1"/>
    <col min="51" max="51" width="12.125" bestFit="1" customWidth="1"/>
    <col min="52" max="52" width="44" bestFit="1" customWidth="1"/>
    <col min="53" max="53" width="16.5" bestFit="1" customWidth="1"/>
    <col min="54" max="54" width="17" bestFit="1" customWidth="1"/>
    <col min="55" max="55" width="12.125" bestFit="1" customWidth="1"/>
    <col min="56" max="56" width="17" bestFit="1" customWidth="1"/>
    <col min="57" max="57" width="12.375" bestFit="1" customWidth="1"/>
    <col min="58" max="58" width="46.625" bestFit="1" customWidth="1"/>
    <col min="59" max="59" width="12.125" bestFit="1" customWidth="1"/>
    <col min="60" max="60" width="12.375" bestFit="1" customWidth="1"/>
    <col min="61" max="61" width="12.125" bestFit="1" customWidth="1"/>
    <col min="62" max="62" width="44.625" bestFit="1" customWidth="1"/>
    <col min="63" max="63" width="24.125" bestFit="1" customWidth="1"/>
    <col min="64" max="64" width="12.125" bestFit="1" customWidth="1"/>
    <col min="65" max="65" width="30.5" bestFit="1" customWidth="1"/>
    <col min="66" max="66" width="43.625" bestFit="1" customWidth="1"/>
    <col min="67" max="67" width="22" bestFit="1" customWidth="1"/>
    <col min="68" max="68" width="33.125" bestFit="1" customWidth="1"/>
    <col min="69" max="69" width="32.5" bestFit="1" customWidth="1"/>
    <col min="70" max="70" width="24.625" bestFit="1" customWidth="1"/>
    <col min="71" max="71" width="24.375" bestFit="1" customWidth="1"/>
    <col min="72" max="72" width="23.5" bestFit="1" customWidth="1"/>
    <col min="73" max="73" width="22.625" bestFit="1" customWidth="1"/>
    <col min="74" max="74" width="26" bestFit="1" customWidth="1"/>
    <col min="75" max="75" width="29.5" bestFit="1" customWidth="1"/>
    <col min="76" max="76" width="22.875" bestFit="1" customWidth="1"/>
    <col min="77" max="77" width="12.125" bestFit="1" customWidth="1"/>
    <col min="78" max="78" width="32.375" bestFit="1" customWidth="1"/>
    <col min="79" max="79" width="26.625" bestFit="1" customWidth="1"/>
    <col min="80" max="81" width="29.5" bestFit="1" customWidth="1"/>
    <col min="82" max="82" width="30.125" bestFit="1" customWidth="1"/>
    <col min="83" max="83" width="29.875" bestFit="1" customWidth="1"/>
    <col min="84" max="84" width="47.625" bestFit="1" customWidth="1"/>
    <col min="85" max="85" width="12.125" bestFit="1" customWidth="1"/>
    <col min="86" max="86" width="34.875" bestFit="1" customWidth="1"/>
    <col min="87" max="87" width="17.5" bestFit="1" customWidth="1"/>
    <col min="88" max="88" width="18" bestFit="1" customWidth="1"/>
    <col min="89" max="89" width="12.875" bestFit="1" customWidth="1"/>
    <col min="90" max="90" width="18" bestFit="1" customWidth="1"/>
    <col min="91" max="91" width="13.375" bestFit="1" customWidth="1"/>
    <col min="92" max="92" width="47.625" bestFit="1" customWidth="1"/>
    <col min="93" max="93" width="12.125" bestFit="1" customWidth="1"/>
    <col min="94" max="94" width="30" bestFit="1" customWidth="1"/>
    <col min="95" max="95" width="12.125" bestFit="1" customWidth="1"/>
    <col min="96" max="96" width="48.375" bestFit="1" customWidth="1"/>
    <col min="97" max="97" width="38.375" bestFit="1" customWidth="1"/>
    <col min="98" max="99" width="41.125" bestFit="1" customWidth="1"/>
    <col min="100" max="100" width="41.875" bestFit="1" customWidth="1"/>
    <col min="101" max="101" width="41.5" bestFit="1" customWidth="1"/>
    <col min="102" max="102" width="47.625" bestFit="1" customWidth="1"/>
    <col min="103" max="103" width="13.125" bestFit="1" customWidth="1"/>
    <col min="104" max="104" width="56.375" bestFit="1" customWidth="1"/>
    <col min="105" max="106" width="40.625" bestFit="1" customWidth="1"/>
    <col min="107" max="107" width="41.375" bestFit="1" customWidth="1"/>
    <col min="108" max="108" width="41" bestFit="1" customWidth="1"/>
    <col min="109" max="109" width="13.125" bestFit="1" customWidth="1"/>
    <col min="110" max="110" width="42.5" bestFit="1" customWidth="1"/>
    <col min="111" max="111" width="39.875" bestFit="1" customWidth="1"/>
    <col min="112" max="113" width="42.875" bestFit="1" customWidth="1"/>
    <col min="114" max="114" width="43.5" bestFit="1" customWidth="1"/>
    <col min="115" max="115" width="43.125" bestFit="1" customWidth="1"/>
    <col min="116" max="116" width="47.625" bestFit="1" customWidth="1"/>
    <col min="117" max="117" width="13.125" bestFit="1" customWidth="1"/>
    <col min="118" max="118" width="66.875" bestFit="1" customWidth="1"/>
    <col min="119" max="120" width="27.125" bestFit="1" customWidth="1"/>
    <col min="121" max="121" width="27.875" bestFit="1" customWidth="1"/>
    <col min="122" max="122" width="27.5" bestFit="1" customWidth="1"/>
    <col min="123" max="125" width="13.125" bestFit="1" customWidth="1"/>
    <col min="126" max="126" width="45.375" bestFit="1" customWidth="1"/>
    <col min="127" max="127" width="33.125" bestFit="1" customWidth="1"/>
    <col min="128" max="129" width="36" bestFit="1" customWidth="1"/>
    <col min="130" max="130" width="36.625" bestFit="1" customWidth="1"/>
    <col min="131" max="131" width="36.375" bestFit="1" customWidth="1"/>
    <col min="132" max="132" width="47.625" bestFit="1" customWidth="1"/>
    <col min="133" max="133" width="13.125" bestFit="1" customWidth="1"/>
    <col min="134" max="134" width="53.125" bestFit="1" customWidth="1"/>
    <col min="135" max="136" width="35.5" bestFit="1" customWidth="1"/>
    <col min="137" max="137" width="36.125" bestFit="1" customWidth="1"/>
    <col min="138" max="138" width="35.875" bestFit="1" customWidth="1"/>
    <col min="139" max="139" width="13.125" bestFit="1" customWidth="1"/>
    <col min="140" max="140" width="39.5" bestFit="1" customWidth="1"/>
    <col min="141" max="141" width="34.625" bestFit="1" customWidth="1"/>
    <col min="142" max="143" width="37.625" bestFit="1" customWidth="1"/>
    <col min="144" max="144" width="38.375" bestFit="1" customWidth="1"/>
    <col min="145" max="145" width="38" bestFit="1" customWidth="1"/>
    <col min="146" max="146" width="47.625" bestFit="1" customWidth="1"/>
    <col min="147" max="149" width="13.125" bestFit="1" customWidth="1"/>
    <col min="150" max="150" width="41.5" bestFit="1" customWidth="1"/>
    <col min="151" max="151" width="35" bestFit="1" customWidth="1"/>
    <col min="152" max="153" width="38" bestFit="1" customWidth="1"/>
    <col min="154" max="154" width="38.625" bestFit="1" customWidth="1"/>
    <col min="155" max="155" width="38.375" bestFit="1" customWidth="1"/>
    <col min="156" max="156" width="47.625" bestFit="1" customWidth="1"/>
    <col min="157" max="157" width="13.125" bestFit="1" customWidth="1"/>
    <col min="158" max="158" width="49.375" bestFit="1" customWidth="1"/>
    <col min="159" max="160" width="37.5" bestFit="1" customWidth="1"/>
    <col min="161" max="161" width="38.125" bestFit="1" customWidth="1"/>
    <col min="162" max="162" width="37.875" bestFit="1" customWidth="1"/>
    <col min="163" max="163" width="13.125" bestFit="1" customWidth="1"/>
    <col min="164" max="164" width="35.625" bestFit="1" customWidth="1"/>
    <col min="165" max="165" width="36.5" bestFit="1" customWidth="1"/>
    <col min="166" max="167" width="39.5" bestFit="1" customWidth="1"/>
    <col min="168" max="168" width="40.125" bestFit="1" customWidth="1"/>
    <col min="169" max="169" width="39.875" bestFit="1" customWidth="1"/>
    <col min="170" max="170" width="47.625" bestFit="1" customWidth="1"/>
  </cols>
  <sheetData>
    <row r="1" spans="1:170" x14ac:dyDescent="0.25">
      <c r="A1" t="s">
        <v>656</v>
      </c>
      <c r="B1" t="s">
        <v>117</v>
      </c>
      <c r="C1" t="s">
        <v>210</v>
      </c>
      <c r="D1" t="s">
        <v>211</v>
      </c>
      <c r="E1" t="s">
        <v>120</v>
      </c>
      <c r="F1" t="s">
        <v>212</v>
      </c>
      <c r="G1" t="s">
        <v>213</v>
      </c>
      <c r="H1" t="s">
        <v>214</v>
      </c>
      <c r="I1" t="s">
        <v>215</v>
      </c>
      <c r="J1" t="s">
        <v>125</v>
      </c>
      <c r="K1" t="s">
        <v>216</v>
      </c>
      <c r="L1" t="s">
        <v>217</v>
      </c>
      <c r="M1" t="s">
        <v>218</v>
      </c>
      <c r="N1" t="s">
        <v>129</v>
      </c>
      <c r="O1" t="s">
        <v>219</v>
      </c>
      <c r="P1" t="s">
        <v>131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140</v>
      </c>
      <c r="Z1" t="s">
        <v>228</v>
      </c>
      <c r="AA1" t="s">
        <v>142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  <c r="AY1" t="s">
        <v>252</v>
      </c>
      <c r="AZ1" t="s">
        <v>253</v>
      </c>
      <c r="BA1" t="s">
        <v>254</v>
      </c>
      <c r="BB1" t="s">
        <v>255</v>
      </c>
      <c r="BC1" t="s">
        <v>256</v>
      </c>
      <c r="BD1" t="s">
        <v>257</v>
      </c>
      <c r="BE1" t="s">
        <v>258</v>
      </c>
      <c r="BF1" t="s">
        <v>259</v>
      </c>
      <c r="BG1" t="s">
        <v>260</v>
      </c>
      <c r="BH1" t="s">
        <v>261</v>
      </c>
      <c r="BI1" t="s">
        <v>262</v>
      </c>
      <c r="BJ1" t="s">
        <v>263</v>
      </c>
      <c r="BK1" t="s">
        <v>264</v>
      </c>
      <c r="BL1" t="s">
        <v>265</v>
      </c>
      <c r="BM1" t="s">
        <v>266</v>
      </c>
      <c r="BN1" t="s">
        <v>267</v>
      </c>
      <c r="BO1" t="s">
        <v>268</v>
      </c>
      <c r="BP1" t="s">
        <v>269</v>
      </c>
      <c r="BQ1" t="s">
        <v>270</v>
      </c>
      <c r="BR1" t="s">
        <v>271</v>
      </c>
      <c r="BS1" t="s">
        <v>272</v>
      </c>
      <c r="BT1" t="s">
        <v>273</v>
      </c>
      <c r="BU1" t="s">
        <v>274</v>
      </c>
      <c r="BV1" t="s">
        <v>275</v>
      </c>
      <c r="BW1" t="s">
        <v>276</v>
      </c>
      <c r="BX1" t="s">
        <v>277</v>
      </c>
      <c r="BY1" t="s">
        <v>278</v>
      </c>
      <c r="BZ1" t="s">
        <v>279</v>
      </c>
      <c r="CA1" t="s">
        <v>280</v>
      </c>
      <c r="CB1" t="s">
        <v>281</v>
      </c>
      <c r="CC1" t="s">
        <v>282</v>
      </c>
      <c r="CD1" t="s">
        <v>283</v>
      </c>
      <c r="CE1" t="s">
        <v>284</v>
      </c>
      <c r="CF1" t="s">
        <v>285</v>
      </c>
      <c r="CG1" t="s">
        <v>286</v>
      </c>
      <c r="CH1" t="s">
        <v>287</v>
      </c>
      <c r="CI1" t="s">
        <v>288</v>
      </c>
      <c r="CJ1" t="s">
        <v>289</v>
      </c>
      <c r="CK1" t="s">
        <v>290</v>
      </c>
      <c r="CL1" t="s">
        <v>291</v>
      </c>
      <c r="CM1" t="s">
        <v>292</v>
      </c>
      <c r="CN1" t="s">
        <v>293</v>
      </c>
      <c r="CO1" t="s">
        <v>294</v>
      </c>
      <c r="CP1" t="s">
        <v>295</v>
      </c>
      <c r="CQ1" t="s">
        <v>296</v>
      </c>
      <c r="CR1" t="s">
        <v>297</v>
      </c>
      <c r="CS1" t="s">
        <v>298</v>
      </c>
      <c r="CT1" t="s">
        <v>299</v>
      </c>
      <c r="CU1" t="s">
        <v>300</v>
      </c>
      <c r="CV1" t="s">
        <v>301</v>
      </c>
      <c r="CW1" t="s">
        <v>302</v>
      </c>
      <c r="CX1" t="s">
        <v>303</v>
      </c>
      <c r="CY1" t="s">
        <v>304</v>
      </c>
      <c r="CZ1" t="s">
        <v>305</v>
      </c>
      <c r="DA1" t="s">
        <v>306</v>
      </c>
      <c r="DB1" t="s">
        <v>307</v>
      </c>
      <c r="DC1" t="s">
        <v>308</v>
      </c>
      <c r="DD1" t="s">
        <v>309</v>
      </c>
      <c r="DE1" t="s">
        <v>310</v>
      </c>
      <c r="DF1" t="s">
        <v>311</v>
      </c>
      <c r="DG1" t="s">
        <v>312</v>
      </c>
      <c r="DH1" t="s">
        <v>313</v>
      </c>
      <c r="DI1" t="s">
        <v>314</v>
      </c>
      <c r="DJ1" t="s">
        <v>315</v>
      </c>
      <c r="DK1" t="s">
        <v>316</v>
      </c>
      <c r="DL1" t="s">
        <v>317</v>
      </c>
      <c r="DM1" t="s">
        <v>318</v>
      </c>
      <c r="DN1" t="s">
        <v>319</v>
      </c>
      <c r="DO1" t="s">
        <v>320</v>
      </c>
      <c r="DP1" t="s">
        <v>321</v>
      </c>
      <c r="DQ1" t="s">
        <v>322</v>
      </c>
      <c r="DR1" t="s">
        <v>323</v>
      </c>
      <c r="DS1" t="s">
        <v>324</v>
      </c>
      <c r="DT1" t="s">
        <v>325</v>
      </c>
      <c r="DU1" t="s">
        <v>326</v>
      </c>
      <c r="DV1" t="s">
        <v>327</v>
      </c>
      <c r="DW1" t="s">
        <v>328</v>
      </c>
      <c r="DX1" t="s">
        <v>329</v>
      </c>
      <c r="DY1" t="s">
        <v>330</v>
      </c>
      <c r="DZ1" t="s">
        <v>331</v>
      </c>
      <c r="EA1" t="s">
        <v>332</v>
      </c>
      <c r="EB1" t="s">
        <v>333</v>
      </c>
      <c r="EC1" t="s">
        <v>334</v>
      </c>
      <c r="ED1" t="s">
        <v>335</v>
      </c>
      <c r="EE1" t="s">
        <v>336</v>
      </c>
      <c r="EF1" t="s">
        <v>337</v>
      </c>
      <c r="EG1" t="s">
        <v>338</v>
      </c>
      <c r="EH1" t="s">
        <v>339</v>
      </c>
      <c r="EI1" t="s">
        <v>340</v>
      </c>
      <c r="EJ1" t="s">
        <v>341</v>
      </c>
      <c r="EK1" t="s">
        <v>342</v>
      </c>
      <c r="EL1" t="s">
        <v>343</v>
      </c>
      <c r="EM1" t="s">
        <v>344</v>
      </c>
      <c r="EN1" t="s">
        <v>345</v>
      </c>
      <c r="EO1" t="s">
        <v>346</v>
      </c>
      <c r="EP1" t="s">
        <v>347</v>
      </c>
      <c r="EQ1" t="s">
        <v>348</v>
      </c>
      <c r="ER1" t="s">
        <v>349</v>
      </c>
      <c r="ES1" t="s">
        <v>350</v>
      </c>
      <c r="ET1" t="s">
        <v>351</v>
      </c>
      <c r="EU1" t="s">
        <v>352</v>
      </c>
      <c r="EV1" t="s">
        <v>353</v>
      </c>
      <c r="EW1" t="s">
        <v>354</v>
      </c>
      <c r="EX1" t="s">
        <v>355</v>
      </c>
      <c r="EY1" t="s">
        <v>356</v>
      </c>
      <c r="EZ1" t="s">
        <v>357</v>
      </c>
      <c r="FA1" t="s">
        <v>358</v>
      </c>
      <c r="FB1" t="s">
        <v>359</v>
      </c>
      <c r="FC1" t="s">
        <v>360</v>
      </c>
      <c r="FD1" t="s">
        <v>361</v>
      </c>
      <c r="FE1" t="s">
        <v>362</v>
      </c>
      <c r="FF1" t="s">
        <v>363</v>
      </c>
      <c r="FG1" t="s">
        <v>364</v>
      </c>
      <c r="FH1" t="s">
        <v>365</v>
      </c>
      <c r="FI1" t="s">
        <v>366</v>
      </c>
      <c r="FJ1" t="s">
        <v>367</v>
      </c>
      <c r="FK1" t="s">
        <v>368</v>
      </c>
      <c r="FL1" t="s">
        <v>369</v>
      </c>
      <c r="FM1" t="s">
        <v>370</v>
      </c>
      <c r="FN1" t="s">
        <v>371</v>
      </c>
    </row>
    <row r="2" spans="1:170" x14ac:dyDescent="0.25">
      <c r="A2">
        <v>1997</v>
      </c>
      <c r="H2" s="1">
        <f>AVERAGE(H3:H5)</f>
        <v>86533.333333333328</v>
      </c>
    </row>
    <row r="3" spans="1:170" x14ac:dyDescent="0.25">
      <c r="A3">
        <v>1998</v>
      </c>
      <c r="H3" s="1">
        <f>AVERAGE(H4:H6)</f>
        <v>96413</v>
      </c>
    </row>
    <row r="4" spans="1:170" x14ac:dyDescent="0.25">
      <c r="A4">
        <v>1999</v>
      </c>
      <c r="H4" s="1">
        <f>AVERAGE(H5:H7)</f>
        <v>106389</v>
      </c>
    </row>
    <row r="5" spans="1:170" x14ac:dyDescent="0.25">
      <c r="A5">
        <v>2000</v>
      </c>
      <c r="C5">
        <v>175859.98452722814</v>
      </c>
      <c r="D5">
        <v>10239085</v>
      </c>
      <c r="F5">
        <v>4373926</v>
      </c>
      <c r="G5">
        <v>544890.53168469411</v>
      </c>
      <c r="H5">
        <v>56798</v>
      </c>
      <c r="I5">
        <v>0</v>
      </c>
      <c r="K5">
        <v>2515.89</v>
      </c>
      <c r="L5">
        <v>2633.7271428571426</v>
      </c>
      <c r="M5">
        <v>0.95525840891425451</v>
      </c>
      <c r="Q5">
        <v>2.3409369522941175</v>
      </c>
      <c r="R5">
        <v>53.216721189900674</v>
      </c>
      <c r="S5">
        <v>124.57698911337187</v>
      </c>
      <c r="V5">
        <v>17175.361326449398</v>
      </c>
      <c r="W5">
        <v>40206.43799808871</v>
      </c>
      <c r="X5">
        <v>1.2292468403272903</v>
      </c>
      <c r="AB5">
        <v>9565.7693895098892</v>
      </c>
      <c r="AC5">
        <v>197.7196044711952</v>
      </c>
      <c r="AD5">
        <v>3864.567239896819</v>
      </c>
      <c r="AE5">
        <v>98.882201203783325</v>
      </c>
      <c r="AF5">
        <v>3765.6850386930359</v>
      </c>
      <c r="AG5">
        <v>3292.5863284608772</v>
      </c>
      <c r="AH5">
        <v>152.38374892519346</v>
      </c>
      <c r="AI5">
        <v>151.906018916595</v>
      </c>
      <c r="AJ5">
        <v>0</v>
      </c>
      <c r="AK5">
        <v>0</v>
      </c>
      <c r="AL5">
        <v>0.47773000859845233</v>
      </c>
      <c r="AM5">
        <v>0</v>
      </c>
      <c r="AN5">
        <v>1.066904416267437</v>
      </c>
      <c r="AO5">
        <v>17.411865864144449</v>
      </c>
      <c r="AP5">
        <v>2041.1006018916587</v>
      </c>
      <c r="AR5">
        <v>9565.7693895098892</v>
      </c>
      <c r="AS5">
        <v>8644.323712931171</v>
      </c>
      <c r="AT5">
        <v>7737.4061355296044</v>
      </c>
      <c r="AU5">
        <v>1.0635560980055607</v>
      </c>
      <c r="AV5">
        <v>784.28527246482111</v>
      </c>
      <c r="AW5">
        <v>121.56874883874008</v>
      </c>
      <c r="AX5">
        <v>921.44567657871733</v>
      </c>
      <c r="AZ5">
        <v>1</v>
      </c>
      <c r="BA5">
        <v>0.90367260185163956</v>
      </c>
      <c r="BB5">
        <v>0.80886396278951467</v>
      </c>
      <c r="BC5">
        <v>1.1118353942045567E-4</v>
      </c>
      <c r="BD5">
        <v>8.1988728823516488E-2</v>
      </c>
      <c r="BE5">
        <v>1.2708726699188048E-2</v>
      </c>
      <c r="BF5">
        <v>9.6327398148360374E-2</v>
      </c>
      <c r="BJ5">
        <v>20450.392588920004</v>
      </c>
      <c r="BK5">
        <v>785.0442705600002</v>
      </c>
      <c r="BL5">
        <v>11931.738671520001</v>
      </c>
      <c r="BM5">
        <v>261.23400000000004</v>
      </c>
      <c r="BN5">
        <v>11670.504671520001</v>
      </c>
      <c r="BO5">
        <v>7733.609646840001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20450.39258892</v>
      </c>
      <c r="CA5">
        <v>20450.39258892</v>
      </c>
      <c r="CB5">
        <v>19405.874860049666</v>
      </c>
      <c r="CC5">
        <v>0</v>
      </c>
      <c r="CD5">
        <v>957.77620149635516</v>
      </c>
      <c r="CE5">
        <v>86.741527373983445</v>
      </c>
      <c r="CF5">
        <v>0</v>
      </c>
      <c r="CH5">
        <v>1</v>
      </c>
      <c r="CI5">
        <v>1</v>
      </c>
      <c r="CJ5">
        <v>0.94892431896704732</v>
      </c>
      <c r="CK5">
        <v>0</v>
      </c>
      <c r="CL5">
        <v>4.683412297988241E-2</v>
      </c>
      <c r="CM5">
        <v>4.2415580530703314E-3</v>
      </c>
      <c r="CN5">
        <v>0</v>
      </c>
      <c r="CR5">
        <v>25434.791992365674</v>
      </c>
      <c r="CS5">
        <v>22984.724657296338</v>
      </c>
      <c r="CT5">
        <v>20573.286643671912</v>
      </c>
      <c r="CU5">
        <v>2.827930198134279</v>
      </c>
      <c r="CV5">
        <v>2085.3662633446174</v>
      </c>
      <c r="CW5">
        <v>323.24382008167191</v>
      </c>
      <c r="CX5">
        <v>2450.067335069336</v>
      </c>
      <c r="CZ5">
        <v>11779.38255916152</v>
      </c>
      <c r="DA5">
        <v>10310.602733506776</v>
      </c>
      <c r="DB5">
        <v>5.4945361416815555</v>
      </c>
      <c r="DC5">
        <v>1234.079428256654</v>
      </c>
      <c r="DD5">
        <v>229.20586125640443</v>
      </c>
      <c r="DF5">
        <v>4675.5232230540705</v>
      </c>
      <c r="DG5">
        <v>4675.5232230540705</v>
      </c>
      <c r="DH5">
        <v>4436.7176902511983</v>
      </c>
      <c r="DI5">
        <v>0</v>
      </c>
      <c r="DJ5">
        <v>218.97402962381057</v>
      </c>
      <c r="DK5">
        <v>19.831503179062345</v>
      </c>
      <c r="DL5">
        <v>0</v>
      </c>
      <c r="DN5">
        <v>0.51248743392809093</v>
      </c>
      <c r="DO5">
        <v>0.50116458843381695</v>
      </c>
      <c r="DP5">
        <v>1.9429532402555636</v>
      </c>
      <c r="DQ5">
        <v>0.59178066220241521</v>
      </c>
      <c r="DR5">
        <v>0.70908041242209208</v>
      </c>
      <c r="DV5">
        <v>204.16926250496087</v>
      </c>
      <c r="DW5">
        <v>184.50216866598839</v>
      </c>
      <c r="DX5">
        <v>165.1451587495753</v>
      </c>
      <c r="DY5">
        <v>2.2700261246165677E-2</v>
      </c>
      <c r="DZ5">
        <v>16.739578297616585</v>
      </c>
      <c r="EA5">
        <v>2.5947313575503288</v>
      </c>
      <c r="EB5">
        <v>19.667093838972463</v>
      </c>
      <c r="ED5">
        <v>94.555042973800212</v>
      </c>
      <c r="EE5">
        <v>82.764905516568277</v>
      </c>
      <c r="EF5">
        <v>4.4105546142885407E-2</v>
      </c>
      <c r="EG5">
        <v>9.9061587299527218</v>
      </c>
      <c r="EH5">
        <v>1.8398731811363216</v>
      </c>
      <c r="EJ5">
        <v>37.531194615717425</v>
      </c>
      <c r="EK5">
        <v>37.531194615717425</v>
      </c>
      <c r="EL5">
        <v>35.614263290739373</v>
      </c>
      <c r="EM5">
        <v>0</v>
      </c>
      <c r="EN5">
        <v>1.7577405842144107</v>
      </c>
      <c r="EO5">
        <v>0.15919074076364612</v>
      </c>
      <c r="EP5">
        <v>0</v>
      </c>
      <c r="ET5">
        <v>10865.218718274144</v>
      </c>
      <c r="EU5">
        <v>9818.6004688299327</v>
      </c>
      <c r="EV5">
        <v>8788.4838690380348</v>
      </c>
      <c r="EW5">
        <v>1.2080334736751062</v>
      </c>
      <c r="EX5">
        <v>890.82547110077405</v>
      </c>
      <c r="EY5">
        <v>138.08309521744832</v>
      </c>
      <c r="EZ5">
        <v>1046.6182494442112</v>
      </c>
      <c r="FB5">
        <v>5031.9093590358034</v>
      </c>
      <c r="FC5">
        <v>4404.4769011836861</v>
      </c>
      <c r="FD5">
        <v>2.3471525520142316</v>
      </c>
      <c r="FE5">
        <v>527.17328719479463</v>
      </c>
      <c r="FF5">
        <v>97.912018105307268</v>
      </c>
      <c r="FH5">
        <v>1997.2871197885356</v>
      </c>
      <c r="FI5">
        <v>1997.2871197885356</v>
      </c>
      <c r="FJ5">
        <v>1895.2743199269919</v>
      </c>
      <c r="FK5">
        <v>0</v>
      </c>
      <c r="FL5">
        <v>93.541190594311431</v>
      </c>
      <c r="FM5">
        <v>8.4716092672327115</v>
      </c>
      <c r="FN5">
        <v>0</v>
      </c>
    </row>
    <row r="6" spans="1:170" x14ac:dyDescent="0.25">
      <c r="A6">
        <v>2001</v>
      </c>
      <c r="C6">
        <v>177517.78048311657</v>
      </c>
      <c r="D6">
        <v>10263414</v>
      </c>
      <c r="F6">
        <v>4400571</v>
      </c>
      <c r="G6">
        <v>548175.6325735359</v>
      </c>
      <c r="H6">
        <v>126052</v>
      </c>
      <c r="I6">
        <v>15668.925645634738</v>
      </c>
      <c r="K6">
        <v>2719.01</v>
      </c>
      <c r="L6">
        <v>2633.7271428571426</v>
      </c>
      <c r="M6">
        <v>1.0323810525984634</v>
      </c>
      <c r="Q6">
        <v>2.3322914230903216</v>
      </c>
      <c r="R6">
        <v>53.410651911102477</v>
      </c>
      <c r="S6">
        <v>124.569205353927</v>
      </c>
      <c r="T6">
        <v>53.297478579314408</v>
      </c>
      <c r="U6">
        <v>124.30525216287514</v>
      </c>
      <c r="V6">
        <v>17296.172646169838</v>
      </c>
      <c r="W6">
        <v>40339.715114951352</v>
      </c>
      <c r="X6">
        <v>1.2181706212174128</v>
      </c>
      <c r="AB6">
        <v>9968.17781599312</v>
      </c>
      <c r="AC6">
        <v>217.01392949269132</v>
      </c>
      <c r="AD6">
        <v>3844.7621668099737</v>
      </c>
      <c r="AE6">
        <v>98.882201203783325</v>
      </c>
      <c r="AF6">
        <v>3745.8799656061906</v>
      </c>
      <c r="AG6">
        <v>3621.9697334479793</v>
      </c>
      <c r="AH6">
        <v>171.51521926053306</v>
      </c>
      <c r="AI6">
        <v>170.3448839208942</v>
      </c>
      <c r="AJ6">
        <v>0</v>
      </c>
      <c r="AK6">
        <v>0</v>
      </c>
      <c r="AL6">
        <v>1.1703353396388647</v>
      </c>
      <c r="AM6">
        <v>0</v>
      </c>
      <c r="AN6">
        <v>1.8951918410452633</v>
      </c>
      <c r="AO6">
        <v>15.23834909716251</v>
      </c>
      <c r="AP6">
        <v>2097.6784178847811</v>
      </c>
      <c r="AR6">
        <v>9968.1778159931218</v>
      </c>
      <c r="AS6">
        <v>9023.6283109840151</v>
      </c>
      <c r="AT6">
        <v>8137.5102833945539</v>
      </c>
      <c r="AU6">
        <v>1.3183076626749175</v>
      </c>
      <c r="AV6">
        <v>762.00670734612891</v>
      </c>
      <c r="AW6">
        <v>122.79301258065718</v>
      </c>
      <c r="AX6">
        <v>944.54950500910604</v>
      </c>
      <c r="AZ6">
        <v>1</v>
      </c>
      <c r="BA6">
        <v>0.90524351366468858</v>
      </c>
      <c r="BB6">
        <v>0.81634882860321645</v>
      </c>
      <c r="BC6">
        <v>1.3225161980555779E-4</v>
      </c>
      <c r="BD6">
        <v>7.6443932021713318E-2</v>
      </c>
      <c r="BE6">
        <v>1.2318501419953191E-2</v>
      </c>
      <c r="BF6">
        <v>9.4756486335311349E-2</v>
      </c>
      <c r="BJ6">
        <v>21234.345853319999</v>
      </c>
      <c r="BK6">
        <v>861.42474000000004</v>
      </c>
      <c r="BL6">
        <v>11865.657437639999</v>
      </c>
      <c r="BM6">
        <v>261.23400000000004</v>
      </c>
      <c r="BN6">
        <v>11604.423437639998</v>
      </c>
      <c r="BO6">
        <v>8507.2636756800002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21234.345853319999</v>
      </c>
      <c r="CA6">
        <v>21234.345853319999</v>
      </c>
      <c r="CB6">
        <v>20182.727540316144</v>
      </c>
      <c r="CC6">
        <v>0</v>
      </c>
      <c r="CD6">
        <v>959.86683973962181</v>
      </c>
      <c r="CE6">
        <v>91.751473264232473</v>
      </c>
      <c r="CF6">
        <v>0</v>
      </c>
      <c r="CH6">
        <v>1</v>
      </c>
      <c r="CI6">
        <v>1</v>
      </c>
      <c r="CJ6">
        <v>0.95047559645735757</v>
      </c>
      <c r="CK6">
        <v>0</v>
      </c>
      <c r="CL6">
        <v>4.5203504095208388E-2</v>
      </c>
      <c r="CM6">
        <v>4.3208994474339827E-3</v>
      </c>
      <c r="CN6">
        <v>0</v>
      </c>
      <c r="CR6">
        <v>26344.287593587287</v>
      </c>
      <c r="CS6">
        <v>23847.995466212025</v>
      </c>
      <c r="CT6">
        <v>21506.128317411232</v>
      </c>
      <c r="CU6">
        <v>3.4840747068753788</v>
      </c>
      <c r="CV6">
        <v>2013.8609299646523</v>
      </c>
      <c r="CW6">
        <v>324.52214412926025</v>
      </c>
      <c r="CX6">
        <v>2496.2921273752663</v>
      </c>
      <c r="CZ6">
        <v>12380.748498167455</v>
      </c>
      <c r="DA6">
        <v>10946.92629376524</v>
      </c>
      <c r="DB6">
        <v>7.1892002189961497</v>
      </c>
      <c r="DC6">
        <v>1196.6156005555315</v>
      </c>
      <c r="DD6">
        <v>230.01740362768865</v>
      </c>
      <c r="DF6">
        <v>4825.3614936152599</v>
      </c>
      <c r="DG6">
        <v>4825.3614936152599</v>
      </c>
      <c r="DH6">
        <v>4586.3883437663299</v>
      </c>
      <c r="DI6">
        <v>0</v>
      </c>
      <c r="DJ6">
        <v>218.12324803749823</v>
      </c>
      <c r="DK6">
        <v>20.849901811431401</v>
      </c>
      <c r="DL6">
        <v>0</v>
      </c>
      <c r="DN6">
        <v>0.51915258520191243</v>
      </c>
      <c r="DO6">
        <v>0.50901427408031763</v>
      </c>
      <c r="DP6">
        <v>2.0634460578038629</v>
      </c>
      <c r="DQ6">
        <v>0.59418978875395068</v>
      </c>
      <c r="DR6">
        <v>0.70878800657766672</v>
      </c>
      <c r="DV6">
        <v>211.48314720911711</v>
      </c>
      <c r="DW6">
        <v>191.44374726044779</v>
      </c>
      <c r="DX6">
        <v>172.64401949348439</v>
      </c>
      <c r="DY6">
        <v>2.7968988779982971E-2</v>
      </c>
      <c r="DZ6">
        <v>16.166603328991744</v>
      </c>
      <c r="EA6">
        <v>2.6051554491916793</v>
      </c>
      <c r="EB6">
        <v>20.039399948669349</v>
      </c>
      <c r="ED6">
        <v>99.388516311003002</v>
      </c>
      <c r="EE6">
        <v>87.878270256784148</v>
      </c>
      <c r="EF6">
        <v>5.7712499638816334E-2</v>
      </c>
      <c r="EG6">
        <v>9.6060306169225207</v>
      </c>
      <c r="EH6">
        <v>1.8465029376575164</v>
      </c>
      <c r="EJ6">
        <v>38.736391389070874</v>
      </c>
      <c r="EK6">
        <v>38.736391389070874</v>
      </c>
      <c r="EL6">
        <v>36.817994710132794</v>
      </c>
      <c r="EM6">
        <v>0</v>
      </c>
      <c r="EN6">
        <v>1.7510206267894604</v>
      </c>
      <c r="EO6">
        <v>0.16737605214862286</v>
      </c>
      <c r="EP6">
        <v>0</v>
      </c>
      <c r="ET6">
        <v>11295.4527606506</v>
      </c>
      <c r="EU6">
        <v>10225.135345484856</v>
      </c>
      <c r="EV6">
        <v>9221.0296297000859</v>
      </c>
      <c r="EW6">
        <v>1.4938419240332013</v>
      </c>
      <c r="EX6">
        <v>863.46882298964852</v>
      </c>
      <c r="EY6">
        <v>139.1430508710886</v>
      </c>
      <c r="EZ6">
        <v>1070.3174151657431</v>
      </c>
      <c r="FB6">
        <v>5308.4054486479126</v>
      </c>
      <c r="FC6">
        <v>4693.6357032348888</v>
      </c>
      <c r="FD6">
        <v>3.0824622291284465</v>
      </c>
      <c r="FE6">
        <v>513.06435752784171</v>
      </c>
      <c r="FF6">
        <v>98.622925656053766</v>
      </c>
      <c r="FH6">
        <v>2068.9359167738921</v>
      </c>
      <c r="FI6">
        <v>2068.9359167738921</v>
      </c>
      <c r="FJ6">
        <v>1966.473099527715</v>
      </c>
      <c r="FK6">
        <v>0</v>
      </c>
      <c r="FL6">
        <v>93.523153186612348</v>
      </c>
      <c r="FM6">
        <v>8.9396640595646328</v>
      </c>
      <c r="FN6">
        <v>0</v>
      </c>
    </row>
    <row r="7" spans="1:170" x14ac:dyDescent="0.25">
      <c r="A7">
        <v>2002</v>
      </c>
      <c r="C7">
        <v>178604.2765827922</v>
      </c>
      <c r="D7">
        <v>10309725</v>
      </c>
      <c r="F7">
        <v>4436875</v>
      </c>
      <c r="G7">
        <v>552648.84462520119</v>
      </c>
      <c r="H7">
        <v>136317</v>
      </c>
      <c r="I7">
        <v>16932.530463860941</v>
      </c>
      <c r="K7">
        <v>2527.94</v>
      </c>
      <c r="L7">
        <v>2633.7271428571426</v>
      </c>
      <c r="M7">
        <v>0.95983367405995534</v>
      </c>
      <c r="Q7">
        <v>2.323645583885054</v>
      </c>
      <c r="R7">
        <v>53.604615508677604</v>
      </c>
      <c r="S7">
        <v>124.55812810259501</v>
      </c>
      <c r="T7">
        <v>53.456676975515599</v>
      </c>
      <c r="U7">
        <v>124.21437138332666</v>
      </c>
      <c r="V7">
        <v>17323.864272111256</v>
      </c>
      <c r="W7">
        <v>40254.520711715384</v>
      </c>
      <c r="X7">
        <v>1.2100855843164195</v>
      </c>
      <c r="AB7">
        <v>9418.3337919174555</v>
      </c>
      <c r="AC7">
        <v>187.10627687016336</v>
      </c>
      <c r="AD7">
        <v>3380.7251934651767</v>
      </c>
      <c r="AE7">
        <v>115.3625967325881</v>
      </c>
      <c r="AF7">
        <v>3265.3625967325888</v>
      </c>
      <c r="AG7">
        <v>3456.4400687876182</v>
      </c>
      <c r="AH7">
        <v>149.6846947549441</v>
      </c>
      <c r="AI7">
        <v>148.27549441100601</v>
      </c>
      <c r="AJ7">
        <v>0</v>
      </c>
      <c r="AK7">
        <v>0</v>
      </c>
      <c r="AL7">
        <v>1.4092003439380909</v>
      </c>
      <c r="AM7">
        <v>0</v>
      </c>
      <c r="AN7">
        <v>3.6320351075660753</v>
      </c>
      <c r="AO7">
        <v>15.57274290627687</v>
      </c>
      <c r="AP7">
        <v>2228.804815133276</v>
      </c>
      <c r="AR7">
        <v>9418.3337919174555</v>
      </c>
      <c r="AS7">
        <v>8439.5957064076665</v>
      </c>
      <c r="AT7">
        <v>7560.0091137111212</v>
      </c>
      <c r="AU7">
        <v>1.5672987332185779</v>
      </c>
      <c r="AV7">
        <v>756.94611692725312</v>
      </c>
      <c r="AW7">
        <v>121.07317703607376</v>
      </c>
      <c r="AX7">
        <v>978.73808550978833</v>
      </c>
      <c r="AZ7">
        <v>1</v>
      </c>
      <c r="BA7">
        <v>0.89608160985441887</v>
      </c>
      <c r="BB7">
        <v>0.80269071799078784</v>
      </c>
      <c r="BC7">
        <v>1.6640934244267164E-4</v>
      </c>
      <c r="BD7">
        <v>8.0369429842977388E-2</v>
      </c>
      <c r="BE7">
        <v>1.2855052678211012E-2</v>
      </c>
      <c r="BF7">
        <v>0.10391839014558109</v>
      </c>
      <c r="BJ7">
        <v>19315.244441399998</v>
      </c>
      <c r="BK7">
        <v>771.34947648000002</v>
      </c>
      <c r="BL7">
        <v>10425.426504840001</v>
      </c>
      <c r="BM7">
        <v>304.77307571999995</v>
      </c>
      <c r="BN7">
        <v>10120.653429120001</v>
      </c>
      <c r="BO7">
        <v>8118.468460080001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19315.244441399998</v>
      </c>
      <c r="CA7">
        <v>19315.244441399998</v>
      </c>
      <c r="CB7">
        <v>18266.97568746515</v>
      </c>
      <c r="CC7">
        <v>0</v>
      </c>
      <c r="CD7">
        <v>955.9967383104198</v>
      </c>
      <c r="CE7">
        <v>92.272015624424924</v>
      </c>
      <c r="CF7">
        <v>0</v>
      </c>
      <c r="CH7">
        <v>1</v>
      </c>
      <c r="CI7">
        <v>1</v>
      </c>
      <c r="CJ7">
        <v>0.94572842414108926</v>
      </c>
      <c r="CK7">
        <v>0</v>
      </c>
      <c r="CL7">
        <v>4.9494415730061962E-2</v>
      </c>
      <c r="CM7">
        <v>4.777160128848823E-3</v>
      </c>
      <c r="CN7">
        <v>0</v>
      </c>
      <c r="CR7">
        <v>24687.470798704049</v>
      </c>
      <c r="CS7">
        <v>22121.988576536671</v>
      </c>
      <c r="CT7">
        <v>19816.403660788357</v>
      </c>
      <c r="CU7">
        <v>4.1082257821849977</v>
      </c>
      <c r="CV7">
        <v>1984.1179523569981</v>
      </c>
      <c r="CW7">
        <v>317.35873760913654</v>
      </c>
      <c r="CX7">
        <v>2565.4822221673671</v>
      </c>
      <c r="CZ7">
        <v>11740.779101001532</v>
      </c>
      <c r="DA7">
        <v>10319.346697444304</v>
      </c>
      <c r="DB7">
        <v>8.8906420677855209</v>
      </c>
      <c r="DC7">
        <v>1187.2468658031016</v>
      </c>
      <c r="DD7">
        <v>225.29489568634139</v>
      </c>
      <c r="DF7">
        <v>4353.3442888068739</v>
      </c>
      <c r="DG7">
        <v>4353.3442888068739</v>
      </c>
      <c r="DH7">
        <v>4117.0814339969356</v>
      </c>
      <c r="DI7">
        <v>0</v>
      </c>
      <c r="DJ7">
        <v>215.46623204629833</v>
      </c>
      <c r="DK7">
        <v>20.796622763639931</v>
      </c>
      <c r="DL7">
        <v>0</v>
      </c>
      <c r="DN7">
        <v>0.53072891979766224</v>
      </c>
      <c r="DO7">
        <v>0.52074770347273847</v>
      </c>
      <c r="DP7">
        <v>2.1641074612644462</v>
      </c>
      <c r="DQ7">
        <v>0.59837514417564375</v>
      </c>
      <c r="DR7">
        <v>0.70990607469524836</v>
      </c>
      <c r="DV7">
        <v>198.20039988373679</v>
      </c>
      <c r="DW7">
        <v>177.60373340160842</v>
      </c>
      <c r="DX7">
        <v>159.09362128873795</v>
      </c>
      <c r="DY7">
        <v>3.2982398216527216E-2</v>
      </c>
      <c r="DZ7">
        <v>15.92925313330605</v>
      </c>
      <c r="EA7">
        <v>2.5478765813479241</v>
      </c>
      <c r="EB7">
        <v>20.596666482128345</v>
      </c>
      <c r="ED7">
        <v>94.259437580267644</v>
      </c>
      <c r="EE7">
        <v>82.847637923271861</v>
      </c>
      <c r="EF7">
        <v>7.1377454070781721E-2</v>
      </c>
      <c r="EG7">
        <v>9.5316691402523332</v>
      </c>
      <c r="EH7">
        <v>1.8087530626726531</v>
      </c>
      <c r="EJ7">
        <v>34.950302763229928</v>
      </c>
      <c r="EK7">
        <v>34.950302763229928</v>
      </c>
      <c r="EL7">
        <v>33.053494755523396</v>
      </c>
      <c r="EM7">
        <v>0</v>
      </c>
      <c r="EN7">
        <v>1.7298448148548351</v>
      </c>
      <c r="EO7">
        <v>0.16696319285169686</v>
      </c>
      <c r="EP7">
        <v>0</v>
      </c>
      <c r="ET7">
        <v>10624.456229433859</v>
      </c>
      <c r="EU7">
        <v>9520.3798418989027</v>
      </c>
      <c r="EV7">
        <v>8528.1523990659643</v>
      </c>
      <c r="EW7">
        <v>1.7680087749510354</v>
      </c>
      <c r="EX7">
        <v>853.88148955126894</v>
      </c>
      <c r="EY7">
        <v>136.5779445067194</v>
      </c>
      <c r="EZ7">
        <v>1104.0763875349571</v>
      </c>
      <c r="FB7">
        <v>5052.7409095544435</v>
      </c>
      <c r="FC7">
        <v>4441.0157766791262</v>
      </c>
      <c r="FD7">
        <v>3.8261609814525497</v>
      </c>
      <c r="FE7">
        <v>510.94145941915394</v>
      </c>
      <c r="FF7">
        <v>96.957512474710626</v>
      </c>
      <c r="FH7">
        <v>1873.4975415348133</v>
      </c>
      <c r="FI7">
        <v>1873.4975415348133</v>
      </c>
      <c r="FJ7">
        <v>1771.8198775879237</v>
      </c>
      <c r="FK7">
        <v>0</v>
      </c>
      <c r="FL7">
        <v>92.72766618997305</v>
      </c>
      <c r="FM7">
        <v>8.9499977569163995</v>
      </c>
      <c r="FN7">
        <v>0</v>
      </c>
    </row>
    <row r="8" spans="1:170" x14ac:dyDescent="0.25">
      <c r="A8">
        <v>2003</v>
      </c>
      <c r="C8">
        <v>179886.66183490367</v>
      </c>
      <c r="D8">
        <v>10355844</v>
      </c>
      <c r="F8">
        <v>4473367</v>
      </c>
      <c r="G8">
        <v>557126.40797811921</v>
      </c>
      <c r="H8">
        <v>137330</v>
      </c>
      <c r="I8">
        <v>17039.65778113229</v>
      </c>
      <c r="K8">
        <v>2687.09</v>
      </c>
      <c r="L8">
        <v>2633.7271428571426</v>
      </c>
      <c r="M8">
        <v>1.0202613460880263</v>
      </c>
      <c r="Q8">
        <v>2.3149998647551162</v>
      </c>
      <c r="R8">
        <v>53.798261926127822</v>
      </c>
      <c r="S8">
        <v>124.54296908304623</v>
      </c>
      <c r="T8">
        <v>53.597493249798958</v>
      </c>
      <c r="U8">
        <v>124.07818962449784</v>
      </c>
      <c r="V8">
        <v>17370.545735809046</v>
      </c>
      <c r="W8">
        <v>40212.811029120501</v>
      </c>
      <c r="X8">
        <v>1.202190999315784</v>
      </c>
      <c r="AB8">
        <v>9944.3688736027507</v>
      </c>
      <c r="AC8">
        <v>131.38667239896816</v>
      </c>
      <c r="AD8">
        <v>3769.0599312123813</v>
      </c>
      <c r="AE8">
        <v>75.809716251074803</v>
      </c>
      <c r="AF8">
        <v>3693.2502149613065</v>
      </c>
      <c r="AG8">
        <v>3598.6991401547721</v>
      </c>
      <c r="AH8">
        <v>192.05606190885644</v>
      </c>
      <c r="AI8">
        <v>189.85864144454001</v>
      </c>
      <c r="AJ8">
        <v>0</v>
      </c>
      <c r="AK8">
        <v>0</v>
      </c>
      <c r="AL8">
        <v>2.1974204643164228</v>
      </c>
      <c r="AM8">
        <v>0</v>
      </c>
      <c r="AN8">
        <v>5.4990292718609961</v>
      </c>
      <c r="AO8">
        <v>15.33387790197764</v>
      </c>
      <c r="AP8">
        <v>2237.8331900257949</v>
      </c>
      <c r="AR8">
        <v>9944.3688736027507</v>
      </c>
      <c r="AS8">
        <v>8937.3910059907575</v>
      </c>
      <c r="AT8">
        <v>8044.2712431489726</v>
      </c>
      <c r="AU8">
        <v>4.1775528467413814</v>
      </c>
      <c r="AV8">
        <v>758.19558151199578</v>
      </c>
      <c r="AW8">
        <v>130.74662848304791</v>
      </c>
      <c r="AX8">
        <v>1006.9778676119928</v>
      </c>
      <c r="AZ8">
        <v>1</v>
      </c>
      <c r="BA8">
        <v>0.89873888625702447</v>
      </c>
      <c r="BB8">
        <v>0.80892727787908469</v>
      </c>
      <c r="BC8">
        <v>4.2009230548865326E-4</v>
      </c>
      <c r="BD8">
        <v>7.624371050078603E-2</v>
      </c>
      <c r="BE8">
        <v>1.3147805571665169E-2</v>
      </c>
      <c r="BF8">
        <v>0.10126111374297546</v>
      </c>
      <c r="BJ8">
        <v>20637.913602119999</v>
      </c>
      <c r="BK8">
        <v>540.76338095999995</v>
      </c>
      <c r="BL8">
        <v>11644.544393999999</v>
      </c>
      <c r="BM8">
        <v>200.27947571999999</v>
      </c>
      <c r="BN8">
        <v>11444.264918279998</v>
      </c>
      <c r="BO8">
        <v>8452.6058271600014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20637.913602119996</v>
      </c>
      <c r="CA8">
        <v>20637.913602119996</v>
      </c>
      <c r="CB8">
        <v>19553.136220094348</v>
      </c>
      <c r="CC8">
        <v>0</v>
      </c>
      <c r="CD8">
        <v>984.93476287529995</v>
      </c>
      <c r="CE8">
        <v>99.842619150349265</v>
      </c>
      <c r="CF8">
        <v>0</v>
      </c>
      <c r="CH8">
        <v>1</v>
      </c>
      <c r="CI8">
        <v>1</v>
      </c>
      <c r="CJ8">
        <v>0.94743764302248967</v>
      </c>
      <c r="CK8">
        <v>0</v>
      </c>
      <c r="CL8">
        <v>4.7724531745986384E-2</v>
      </c>
      <c r="CM8">
        <v>4.8378252315240382E-3</v>
      </c>
      <c r="CN8">
        <v>0</v>
      </c>
      <c r="CR8">
        <v>25853.682472285414</v>
      </c>
      <c r="CS8">
        <v>23235.709790784553</v>
      </c>
      <c r="CT8">
        <v>20913.748985456044</v>
      </c>
      <c r="CU8">
        <v>10.860933075153966</v>
      </c>
      <c r="CV8">
        <v>1971.1806817961751</v>
      </c>
      <c r="CW8">
        <v>339.91919045717628</v>
      </c>
      <c r="CX8">
        <v>2617.9726815008644</v>
      </c>
      <c r="CZ8">
        <v>12423.515463119276</v>
      </c>
      <c r="DA8">
        <v>10970.584359239872</v>
      </c>
      <c r="DB8">
        <v>24.746488302138943</v>
      </c>
      <c r="DC8">
        <v>1186.1437923562321</v>
      </c>
      <c r="DD8">
        <v>242.04082322103503</v>
      </c>
      <c r="DF8">
        <v>4613.5078123748835</v>
      </c>
      <c r="DG8">
        <v>4613.5078123748835</v>
      </c>
      <c r="DH8">
        <v>4371.0109678223025</v>
      </c>
      <c r="DI8">
        <v>0</v>
      </c>
      <c r="DJ8">
        <v>220.17750005204132</v>
      </c>
      <c r="DK8">
        <v>22.319344500540481</v>
      </c>
      <c r="DL8">
        <v>0</v>
      </c>
      <c r="DN8">
        <v>0.53467337881998034</v>
      </c>
      <c r="DO8">
        <v>0.52456326060282621</v>
      </c>
      <c r="DP8">
        <v>2.2784863999162557</v>
      </c>
      <c r="DQ8">
        <v>0.60174280486322373</v>
      </c>
      <c r="DR8">
        <v>0.7120540117064319</v>
      </c>
      <c r="DV8">
        <v>207.5884545120004</v>
      </c>
      <c r="DW8">
        <v>186.56781640793227</v>
      </c>
      <c r="DX8">
        <v>167.92396342751869</v>
      </c>
      <c r="DY8">
        <v>8.720631244877268E-2</v>
      </c>
      <c r="DZ8">
        <v>15.827314029118549</v>
      </c>
      <c r="EA8">
        <v>2.7293326388462398</v>
      </c>
      <c r="EB8">
        <v>21.020638104068158</v>
      </c>
      <c r="ED8">
        <v>99.752844777894921</v>
      </c>
      <c r="EE8">
        <v>88.086741788888929</v>
      </c>
      <c r="EF8">
        <v>0.1986983969013762</v>
      </c>
      <c r="EG8">
        <v>9.5239723373328449</v>
      </c>
      <c r="EH8">
        <v>1.9434322547717675</v>
      </c>
      <c r="EJ8">
        <v>37.043502707074218</v>
      </c>
      <c r="EK8">
        <v>37.043502707074218</v>
      </c>
      <c r="EL8">
        <v>35.096408894087617</v>
      </c>
      <c r="EM8">
        <v>0</v>
      </c>
      <c r="EN8">
        <v>1.7678838209262959</v>
      </c>
      <c r="EO8">
        <v>0.17920999206031263</v>
      </c>
      <c r="EP8">
        <v>0</v>
      </c>
      <c r="ET8">
        <v>11167.898048676669</v>
      </c>
      <c r="EU8">
        <v>10037.024254099668</v>
      </c>
      <c r="EV8">
        <v>9034.0173681471588</v>
      </c>
      <c r="EW8">
        <v>4.6915480387308142</v>
      </c>
      <c r="EX8">
        <v>851.48198572559716</v>
      </c>
      <c r="EY8">
        <v>146.83335218817967</v>
      </c>
      <c r="EZ8">
        <v>1130.8737945770019</v>
      </c>
      <c r="FB8">
        <v>5366.529671237563</v>
      </c>
      <c r="FC8">
        <v>4738.913606977836</v>
      </c>
      <c r="FD8">
        <v>10.689628400801942</v>
      </c>
      <c r="FE8">
        <v>512.37315838102825</v>
      </c>
      <c r="FF8">
        <v>104.55327747789671</v>
      </c>
      <c r="FH8">
        <v>1992.876061296404</v>
      </c>
      <c r="FI8">
        <v>1992.876061296404</v>
      </c>
      <c r="FJ8">
        <v>1888.1257983506075</v>
      </c>
      <c r="FK8">
        <v>0</v>
      </c>
      <c r="FL8">
        <v>95.109076853156537</v>
      </c>
      <c r="FM8">
        <v>9.6411860926399875</v>
      </c>
      <c r="FN8">
        <v>0</v>
      </c>
    </row>
    <row r="9" spans="1:170" x14ac:dyDescent="0.25">
      <c r="A9">
        <v>2004</v>
      </c>
      <c r="C9">
        <v>181799.9951236163</v>
      </c>
      <c r="D9">
        <v>10396421</v>
      </c>
      <c r="F9">
        <v>4508622</v>
      </c>
      <c r="G9">
        <v>561427.66074978944</v>
      </c>
      <c r="H9">
        <v>136922</v>
      </c>
      <c r="I9">
        <v>16966.621523859427</v>
      </c>
      <c r="K9">
        <v>2773.96</v>
      </c>
      <c r="L9">
        <v>2633.7271428571426</v>
      </c>
      <c r="M9">
        <v>1.0532450210429654</v>
      </c>
      <c r="Q9">
        <v>2.305897677827061</v>
      </c>
      <c r="R9">
        <v>54.002012880181503</v>
      </c>
      <c r="S9">
        <v>124.52311609839758</v>
      </c>
      <c r="T9">
        <v>53.73807510334106</v>
      </c>
      <c r="U9">
        <v>123.91450259169035</v>
      </c>
      <c r="V9">
        <v>17486.786570456919</v>
      </c>
      <c r="W9">
        <v>40322.740545474051</v>
      </c>
      <c r="X9">
        <v>1.1908003911650615</v>
      </c>
      <c r="AB9">
        <v>9298.3169389509876</v>
      </c>
      <c r="AC9">
        <v>146.90567497850384</v>
      </c>
      <c r="AD9">
        <v>3726.602751504729</v>
      </c>
      <c r="AE9">
        <v>79.105760963026654</v>
      </c>
      <c r="AF9">
        <v>3647.4969905417024</v>
      </c>
      <c r="AG9">
        <v>3552.8957867583831</v>
      </c>
      <c r="AH9">
        <v>196.96061908856407</v>
      </c>
      <c r="AI9">
        <v>194.61994840928631</v>
      </c>
      <c r="AJ9">
        <v>0</v>
      </c>
      <c r="AK9">
        <v>0</v>
      </c>
      <c r="AL9">
        <v>2.3406706792777299</v>
      </c>
      <c r="AM9">
        <v>0</v>
      </c>
      <c r="AN9">
        <v>8.3872304767618751</v>
      </c>
      <c r="AO9">
        <v>14.960705073086844</v>
      </c>
      <c r="AP9">
        <v>1659.9914015477209</v>
      </c>
      <c r="AR9">
        <v>9298.3169389509876</v>
      </c>
      <c r="AS9">
        <v>8281.8199672854462</v>
      </c>
      <c r="AT9">
        <v>7303.1414661950612</v>
      </c>
      <c r="AU9">
        <v>1.8973655739932913</v>
      </c>
      <c r="AV9">
        <v>841.34053529953189</v>
      </c>
      <c r="AW9">
        <v>135.44060021686064</v>
      </c>
      <c r="AX9">
        <v>1016.4969716655409</v>
      </c>
      <c r="AZ9">
        <v>1</v>
      </c>
      <c r="BA9">
        <v>0.89067946615076121</v>
      </c>
      <c r="BB9">
        <v>0.7854261705795309</v>
      </c>
      <c r="BC9">
        <v>2.040547323188305E-4</v>
      </c>
      <c r="BD9">
        <v>9.0483099341895495E-2</v>
      </c>
      <c r="BE9">
        <v>1.4566141497015987E-2</v>
      </c>
      <c r="BF9">
        <v>0.10932053384923868</v>
      </c>
      <c r="BJ9">
        <v>20456.161133399997</v>
      </c>
      <c r="BK9">
        <v>599.1191791199999</v>
      </c>
      <c r="BL9">
        <v>11512.018805399999</v>
      </c>
      <c r="BM9">
        <v>208.98720000000003</v>
      </c>
      <c r="BN9">
        <v>11303.0316054</v>
      </c>
      <c r="BO9">
        <v>8345.02314888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20456.161133399994</v>
      </c>
      <c r="CA9">
        <v>20456.161133399994</v>
      </c>
      <c r="CB9">
        <v>19139.661398570777</v>
      </c>
      <c r="CC9">
        <v>0</v>
      </c>
      <c r="CD9">
        <v>1204.7561803329097</v>
      </c>
      <c r="CE9">
        <v>111.7435544963114</v>
      </c>
      <c r="CF9">
        <v>0</v>
      </c>
      <c r="CH9">
        <v>1</v>
      </c>
      <c r="CI9">
        <v>1</v>
      </c>
      <c r="CJ9">
        <v>0.93564287423021453</v>
      </c>
      <c r="CK9">
        <v>0</v>
      </c>
      <c r="CL9">
        <v>5.889453903283115E-2</v>
      </c>
      <c r="CM9">
        <v>5.4625867369543267E-3</v>
      </c>
      <c r="CN9">
        <v>0</v>
      </c>
      <c r="CR9">
        <v>23985.028241444943</v>
      </c>
      <c r="CS9">
        <v>21362.972149701116</v>
      </c>
      <c r="CT9">
        <v>18838.468882919999</v>
      </c>
      <c r="CU9">
        <v>4.8942585174676383</v>
      </c>
      <c r="CV9">
        <v>2170.2396930888322</v>
      </c>
      <c r="CW9">
        <v>349.36931517481156</v>
      </c>
      <c r="CX9">
        <v>2622.056091743827</v>
      </c>
      <c r="CZ9">
        <v>11394.946551073879</v>
      </c>
      <c r="DA9">
        <v>9829.4106294933008</v>
      </c>
      <c r="DB9">
        <v>11.794525025278068</v>
      </c>
      <c r="DC9">
        <v>1305.4774578246106</v>
      </c>
      <c r="DD9">
        <v>248.26393873069236</v>
      </c>
      <c r="DF9">
        <v>4537.1204623940521</v>
      </c>
      <c r="DG9">
        <v>4537.1204623940521</v>
      </c>
      <c r="DH9">
        <v>4245.1244301630904</v>
      </c>
      <c r="DI9">
        <v>0</v>
      </c>
      <c r="DJ9">
        <v>267.21161816912343</v>
      </c>
      <c r="DK9">
        <v>24.784414061837829</v>
      </c>
      <c r="DL9">
        <v>0</v>
      </c>
      <c r="DN9">
        <v>0.53339706063480985</v>
      </c>
      <c r="DO9">
        <v>0.52177332938162435</v>
      </c>
      <c r="DP9">
        <v>2.40986964280357</v>
      </c>
      <c r="DQ9">
        <v>0.60153607086900462</v>
      </c>
      <c r="DR9">
        <v>0.71060602046997234</v>
      </c>
      <c r="DV9">
        <v>192.61506612549019</v>
      </c>
      <c r="DW9">
        <v>171.55828426924521</v>
      </c>
      <c r="DX9">
        <v>151.28491378286688</v>
      </c>
      <c r="DY9">
        <v>3.9304015758810741E-2</v>
      </c>
      <c r="DZ9">
        <v>17.428408162978503</v>
      </c>
      <c r="EA9">
        <v>2.8056583076409809</v>
      </c>
      <c r="EB9">
        <v>21.056781856244996</v>
      </c>
      <c r="ED9">
        <v>91.508684556766525</v>
      </c>
      <c r="EE9">
        <v>78.936433149698445</v>
      </c>
      <c r="EF9">
        <v>9.4717554417431141E-2</v>
      </c>
      <c r="EG9">
        <v>10.483816167859375</v>
      </c>
      <c r="EH9">
        <v>1.993717684791275</v>
      </c>
      <c r="EJ9">
        <v>36.435969517570065</v>
      </c>
      <c r="EK9">
        <v>36.435969517570065</v>
      </c>
      <c r="EL9">
        <v>34.091055244783732</v>
      </c>
      <c r="EM9">
        <v>0</v>
      </c>
      <c r="EN9">
        <v>2.145879628951576</v>
      </c>
      <c r="EO9">
        <v>0.19903464383475031</v>
      </c>
      <c r="EP9">
        <v>0</v>
      </c>
      <c r="ET9">
        <v>10401.601281825737</v>
      </c>
      <c r="EU9">
        <v>9264.4926768096211</v>
      </c>
      <c r="EV9">
        <v>8169.6898626795282</v>
      </c>
      <c r="EW9">
        <v>2.1224959652501547</v>
      </c>
      <c r="EX9">
        <v>941.16912209822556</v>
      </c>
      <c r="EY9">
        <v>151.51119606661652</v>
      </c>
      <c r="EZ9">
        <v>1137.1086050161146</v>
      </c>
      <c r="FB9">
        <v>4941.6531620829728</v>
      </c>
      <c r="FC9">
        <v>4262.7262796656023</v>
      </c>
      <c r="FD9">
        <v>5.1149385936294092</v>
      </c>
      <c r="FE9">
        <v>566.14717573019709</v>
      </c>
      <c r="FF9">
        <v>107.66476809354408</v>
      </c>
      <c r="FH9">
        <v>1967.6156951897192</v>
      </c>
      <c r="FI9">
        <v>1967.6156951897192</v>
      </c>
      <c r="FJ9">
        <v>1840.9856044277903</v>
      </c>
      <c r="FK9">
        <v>0</v>
      </c>
      <c r="FL9">
        <v>115.88181936196212</v>
      </c>
      <c r="FM9">
        <v>10.748271399966526</v>
      </c>
      <c r="FN9">
        <v>0</v>
      </c>
    </row>
    <row r="10" spans="1:170" x14ac:dyDescent="0.25">
      <c r="A10">
        <v>2005</v>
      </c>
      <c r="C10">
        <v>184426.75800926861</v>
      </c>
      <c r="D10">
        <v>10445852</v>
      </c>
      <c r="F10">
        <v>4551569</v>
      </c>
      <c r="G10">
        <v>566674.15056487988</v>
      </c>
      <c r="H10">
        <v>145416</v>
      </c>
      <c r="I10">
        <v>18011.769312548568</v>
      </c>
      <c r="K10">
        <v>2661.22</v>
      </c>
      <c r="L10">
        <v>2633.7271428571426</v>
      </c>
      <c r="M10">
        <v>1.0104387644017794</v>
      </c>
      <c r="Q10">
        <v>2.2950002515616044</v>
      </c>
      <c r="R10">
        <v>54.248724811042692</v>
      </c>
      <c r="S10">
        <v>124.50083708823922</v>
      </c>
      <c r="T10">
        <v>53.971121715580274</v>
      </c>
      <c r="U10">
        <v>123.86373791431869</v>
      </c>
      <c r="V10">
        <v>17655.501725399576</v>
      </c>
      <c r="W10">
        <v>40519.380901238364</v>
      </c>
      <c r="X10">
        <v>1.1782104784583378</v>
      </c>
      <c r="AB10">
        <v>9220.7190025795353</v>
      </c>
      <c r="AC10">
        <v>112.19836629406706</v>
      </c>
      <c r="AD10">
        <v>3759.5632846087701</v>
      </c>
      <c r="AE10">
        <v>116.4612209802235</v>
      </c>
      <c r="AF10">
        <v>3643.1020636285466</v>
      </c>
      <c r="AG10">
        <v>3493.8042132416158</v>
      </c>
      <c r="AH10">
        <v>206.04763542562338</v>
      </c>
      <c r="AI10">
        <v>203.6591573516767</v>
      </c>
      <c r="AJ10">
        <v>0</v>
      </c>
      <c r="AK10">
        <v>0</v>
      </c>
      <c r="AL10">
        <v>2.3884780739466889</v>
      </c>
      <c r="AM10">
        <v>0</v>
      </c>
      <c r="AN10">
        <v>10.207891411532623</v>
      </c>
      <c r="AO10">
        <v>13.980825451418744</v>
      </c>
      <c r="AP10">
        <v>1635.1246775580389</v>
      </c>
      <c r="AR10">
        <v>9220.7190025795353</v>
      </c>
      <c r="AS10">
        <v>8170.2577383003918</v>
      </c>
      <c r="AT10">
        <v>7160.0981797876811</v>
      </c>
      <c r="AU10">
        <v>2.3537718800821912</v>
      </c>
      <c r="AV10">
        <v>867.10069085827979</v>
      </c>
      <c r="AW10">
        <v>140.70509577434885</v>
      </c>
      <c r="AX10">
        <v>1050.4612642791435</v>
      </c>
      <c r="AZ10">
        <v>1</v>
      </c>
      <c r="BA10">
        <v>0.88607599212325283</v>
      </c>
      <c r="BB10">
        <v>0.77652276116261798</v>
      </c>
      <c r="BC10">
        <v>2.5526988507335637E-4</v>
      </c>
      <c r="BD10">
        <v>9.403829469434051E-2</v>
      </c>
      <c r="BE10">
        <v>1.525966638122103E-2</v>
      </c>
      <c r="BF10">
        <v>0.11392400787674722</v>
      </c>
      <c r="BJ10">
        <v>20268.883984439995</v>
      </c>
      <c r="BK10">
        <v>463.33771968000002</v>
      </c>
      <c r="BL10">
        <v>11599.317096479997</v>
      </c>
      <c r="BM10">
        <v>307.67549903999992</v>
      </c>
      <c r="BN10">
        <v>11291.641597439995</v>
      </c>
      <c r="BO10">
        <v>8206.2291682799987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20268.883984440003</v>
      </c>
      <c r="CA10">
        <v>20268.883984440003</v>
      </c>
      <c r="CB10">
        <v>18881.998151771229</v>
      </c>
      <c r="CC10">
        <v>0</v>
      </c>
      <c r="CD10">
        <v>1270.3305531819308</v>
      </c>
      <c r="CE10">
        <v>116.55527948684004</v>
      </c>
      <c r="CF10">
        <v>0</v>
      </c>
      <c r="CH10">
        <v>1</v>
      </c>
      <c r="CI10">
        <v>1</v>
      </c>
      <c r="CJ10">
        <v>0.93157561937137456</v>
      </c>
      <c r="CK10">
        <v>0</v>
      </c>
      <c r="CL10">
        <v>6.2673926899830146E-2</v>
      </c>
      <c r="CM10">
        <v>5.7504537287951865E-3</v>
      </c>
      <c r="CN10">
        <v>0</v>
      </c>
      <c r="CR10">
        <v>23560.438609191689</v>
      </c>
      <c r="CS10">
        <v>20876.339015498517</v>
      </c>
      <c r="CT10">
        <v>18295.216843011876</v>
      </c>
      <c r="CU10">
        <v>6.0142704560462299</v>
      </c>
      <c r="CV10">
        <v>2215.5834690590855</v>
      </c>
      <c r="CW10">
        <v>359.52443297150438</v>
      </c>
      <c r="CX10">
        <v>2684.0995936931731</v>
      </c>
      <c r="CZ10">
        <v>11290.827915108392</v>
      </c>
      <c r="DA10">
        <v>9677.3996101628145</v>
      </c>
      <c r="DB10">
        <v>15.655945771595562</v>
      </c>
      <c r="DC10">
        <v>1341.4507740635909</v>
      </c>
      <c r="DD10">
        <v>256.32158511039086</v>
      </c>
      <c r="DF10">
        <v>4453.1641691996765</v>
      </c>
      <c r="DG10">
        <v>4453.1641691996765</v>
      </c>
      <c r="DH10">
        <v>4148.4591690846009</v>
      </c>
      <c r="DI10">
        <v>0</v>
      </c>
      <c r="DJ10">
        <v>279.0972856133634</v>
      </c>
      <c r="DK10">
        <v>25.607714501711399</v>
      </c>
      <c r="DL10">
        <v>0</v>
      </c>
      <c r="DN10">
        <v>0.54084329185908131</v>
      </c>
      <c r="DO10">
        <v>0.52895790704220258</v>
      </c>
      <c r="DP10">
        <v>2.6031329794715869</v>
      </c>
      <c r="DQ10">
        <v>0.60546162796262359</v>
      </c>
      <c r="DR10">
        <v>0.71294621895893984</v>
      </c>
      <c r="DV10">
        <v>189.23919838782584</v>
      </c>
      <c r="DW10">
        <v>167.68031046010185</v>
      </c>
      <c r="DX10">
        <v>146.94854485231494</v>
      </c>
      <c r="DY10">
        <v>4.8307068423834386E-2</v>
      </c>
      <c r="DZ10">
        <v>17.795731505715128</v>
      </c>
      <c r="EA10">
        <v>2.887727033647923</v>
      </c>
      <c r="EB10">
        <v>21.558887927724001</v>
      </c>
      <c r="ED10">
        <v>90.688771089194233</v>
      </c>
      <c r="EE10">
        <v>77.729594727977741</v>
      </c>
      <c r="EF10">
        <v>0.12574972295567385</v>
      </c>
      <c r="EG10">
        <v>10.774632568236033</v>
      </c>
      <c r="EH10">
        <v>2.0587940700248022</v>
      </c>
      <c r="EJ10">
        <v>35.768146410481748</v>
      </c>
      <c r="EK10">
        <v>35.768146410481748</v>
      </c>
      <c r="EL10">
        <v>33.320733146110541</v>
      </c>
      <c r="EM10">
        <v>0</v>
      </c>
      <c r="EN10">
        <v>2.241730193472955</v>
      </c>
      <c r="EO10">
        <v>0.20568307089824697</v>
      </c>
      <c r="EP10">
        <v>0</v>
      </c>
      <c r="ET10">
        <v>10265.985196803476</v>
      </c>
      <c r="EU10">
        <v>9096.4430183802688</v>
      </c>
      <c r="EV10">
        <v>7971.771171076397</v>
      </c>
      <c r="EW10">
        <v>2.6205968613528015</v>
      </c>
      <c r="EX10">
        <v>965.39574126474236</v>
      </c>
      <c r="EY10">
        <v>156.6555091777748</v>
      </c>
      <c r="EZ10">
        <v>1169.5421784232096</v>
      </c>
      <c r="FB10">
        <v>4919.7501862693425</v>
      </c>
      <c r="FC10">
        <v>4216.7313940719387</v>
      </c>
      <c r="FD10">
        <v>6.821762115687207</v>
      </c>
      <c r="FE10">
        <v>584.51007713433467</v>
      </c>
      <c r="FF10">
        <v>111.68695294738204</v>
      </c>
      <c r="FH10">
        <v>1940.3763316233087</v>
      </c>
      <c r="FI10">
        <v>1940.3763316233087</v>
      </c>
      <c r="FJ10">
        <v>1807.6072829455393</v>
      </c>
      <c r="FK10">
        <v>0</v>
      </c>
      <c r="FL10">
        <v>121.61100436631985</v>
      </c>
      <c r="FM10">
        <v>11.15804431144918</v>
      </c>
      <c r="FN10">
        <v>0</v>
      </c>
    </row>
    <row r="11" spans="1:170" x14ac:dyDescent="0.25">
      <c r="A11">
        <v>2006</v>
      </c>
      <c r="C11">
        <v>187698.12800609003</v>
      </c>
      <c r="D11">
        <v>10511382</v>
      </c>
      <c r="F11">
        <v>4574144</v>
      </c>
      <c r="G11">
        <v>569394.28753955464</v>
      </c>
      <c r="H11">
        <v>126020</v>
      </c>
      <c r="I11">
        <v>15607.003613507435</v>
      </c>
      <c r="K11">
        <v>2588.67</v>
      </c>
      <c r="L11">
        <v>2633.7271428571426</v>
      </c>
      <c r="M11">
        <v>0.98289225101417932</v>
      </c>
      <c r="Q11">
        <v>2.2979998006184328</v>
      </c>
      <c r="R11">
        <v>54.169307855004661</v>
      </c>
      <c r="S11">
        <v>124.48105865043921</v>
      </c>
      <c r="T11">
        <v>53.89271574455254</v>
      </c>
      <c r="U11">
        <v>123.84545003576761</v>
      </c>
      <c r="V11">
        <v>17856.655576411362</v>
      </c>
      <c r="W11">
        <v>41034.590954305335</v>
      </c>
      <c r="X11">
        <v>1.1764893641137992</v>
      </c>
      <c r="AB11">
        <v>8796.1957007738583</v>
      </c>
      <c r="AC11">
        <v>110.62966466036112</v>
      </c>
      <c r="AD11">
        <v>3305.4504729148748</v>
      </c>
      <c r="AE11">
        <v>118.65864144454</v>
      </c>
      <c r="AF11">
        <v>3186.7918314703347</v>
      </c>
      <c r="AG11">
        <v>3487.2926053310398</v>
      </c>
      <c r="AH11">
        <v>216.84703353396384</v>
      </c>
      <c r="AI11">
        <v>213.93310404127251</v>
      </c>
      <c r="AJ11">
        <v>0</v>
      </c>
      <c r="AK11">
        <v>0</v>
      </c>
      <c r="AL11">
        <v>2.9139294926913162</v>
      </c>
      <c r="AM11">
        <v>0</v>
      </c>
      <c r="AN11">
        <v>9.7348709436283745</v>
      </c>
      <c r="AO11">
        <v>13.705932932072226</v>
      </c>
      <c r="AP11">
        <v>1662.2699914015479</v>
      </c>
      <c r="AR11">
        <v>8796.1957007738602</v>
      </c>
      <c r="AS11">
        <v>7732.1198960187439</v>
      </c>
      <c r="AT11">
        <v>6690.9558204344139</v>
      </c>
      <c r="AU11">
        <v>5.2566313365987405</v>
      </c>
      <c r="AV11">
        <v>896.81840633115905</v>
      </c>
      <c r="AW11">
        <v>139.0890379165717</v>
      </c>
      <c r="AX11">
        <v>1064.0758047551158</v>
      </c>
      <c r="AZ11">
        <v>1</v>
      </c>
      <c r="BA11">
        <v>0.87902999876850141</v>
      </c>
      <c r="BB11">
        <v>0.76066472916760663</v>
      </c>
      <c r="BC11">
        <v>5.9760281778818084E-4</v>
      </c>
      <c r="BD11">
        <v>0.10195525848205718</v>
      </c>
      <c r="BE11">
        <v>1.5812408301049408E-2</v>
      </c>
      <c r="BF11">
        <v>0.12097000123149851</v>
      </c>
      <c r="BJ11">
        <v>18837.077159159999</v>
      </c>
      <c r="BK11">
        <v>456.19436015999997</v>
      </c>
      <c r="BL11">
        <v>10189.948061519999</v>
      </c>
      <c r="BM11">
        <v>313.4808000000001</v>
      </c>
      <c r="BN11">
        <v>9876.4672615199997</v>
      </c>
      <c r="BO11">
        <v>8190.93473748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18837.077159159999</v>
      </c>
      <c r="CA11">
        <v>18837.077159159999</v>
      </c>
      <c r="CB11">
        <v>17368.055794472475</v>
      </c>
      <c r="CC11">
        <v>0</v>
      </c>
      <c r="CD11">
        <v>1346.5187993149841</v>
      </c>
      <c r="CE11">
        <v>122.50256537253966</v>
      </c>
      <c r="CF11">
        <v>0</v>
      </c>
      <c r="CH11">
        <v>1</v>
      </c>
      <c r="CI11">
        <v>1</v>
      </c>
      <c r="CJ11">
        <v>0.92201436813814952</v>
      </c>
      <c r="CK11">
        <v>0</v>
      </c>
      <c r="CL11">
        <v>7.1482363635178167E-2</v>
      </c>
      <c r="CM11">
        <v>6.5032682266722968E-3</v>
      </c>
      <c r="CN11">
        <v>0</v>
      </c>
      <c r="CR11">
        <v>22364.786941556715</v>
      </c>
      <c r="CS11">
        <v>19659.318637694392</v>
      </c>
      <c r="CT11">
        <v>17012.104601790463</v>
      </c>
      <c r="CU11">
        <v>13.365259695506603</v>
      </c>
      <c r="CV11">
        <v>2280.207633522552</v>
      </c>
      <c r="CW11">
        <v>353.64114268587281</v>
      </c>
      <c r="CX11">
        <v>2705.4683038623175</v>
      </c>
      <c r="CZ11">
        <v>10871.694628923646</v>
      </c>
      <c r="DA11">
        <v>9191.6904726473731</v>
      </c>
      <c r="DB11">
        <v>37.452890800199569</v>
      </c>
      <c r="DC11">
        <v>1390.7195378913193</v>
      </c>
      <c r="DD11">
        <v>251.83172758475567</v>
      </c>
      <c r="DF11">
        <v>4118.1644388895493</v>
      </c>
      <c r="DG11">
        <v>4118.1644388895493</v>
      </c>
      <c r="DH11">
        <v>3797.0067830117455</v>
      </c>
      <c r="DI11">
        <v>0</v>
      </c>
      <c r="DJ11">
        <v>294.37612793016223</v>
      </c>
      <c r="DK11">
        <v>26.781527947642154</v>
      </c>
      <c r="DL11">
        <v>0</v>
      </c>
      <c r="DN11">
        <v>0.55300465032793511</v>
      </c>
      <c r="DO11">
        <v>0.54030296002764888</v>
      </c>
      <c r="DP11">
        <v>2.8022568699350616</v>
      </c>
      <c r="DQ11">
        <v>0.60990916679937712</v>
      </c>
      <c r="DR11">
        <v>0.71211094295227151</v>
      </c>
      <c r="DV11">
        <v>179.66417689586223</v>
      </c>
      <c r="DW11">
        <v>157.9302011955136</v>
      </c>
      <c r="DX11">
        <v>136.66420245961203</v>
      </c>
      <c r="DY11">
        <v>0.10736781836856146</v>
      </c>
      <c r="DZ11">
        <v>18.317707595383684</v>
      </c>
      <c r="EA11">
        <v>2.8409233221493415</v>
      </c>
      <c r="EB11">
        <v>21.733975700348623</v>
      </c>
      <c r="ED11">
        <v>87.336135688345436</v>
      </c>
      <c r="EE11">
        <v>73.840073118746261</v>
      </c>
      <c r="EF11">
        <v>0.30087220663324127</v>
      </c>
      <c r="EG11">
        <v>11.172137777175084</v>
      </c>
      <c r="EH11">
        <v>2.0230525857908672</v>
      </c>
      <c r="EJ11">
        <v>33.082659189571565</v>
      </c>
      <c r="EK11">
        <v>33.082659189571565</v>
      </c>
      <c r="EL11">
        <v>30.502687109002576</v>
      </c>
      <c r="EM11">
        <v>0</v>
      </c>
      <c r="EN11">
        <v>2.3648266742076229</v>
      </c>
      <c r="EO11">
        <v>0.21514540636136903</v>
      </c>
      <c r="EP11">
        <v>0</v>
      </c>
      <c r="ET11">
        <v>9732.2841087879769</v>
      </c>
      <c r="EU11">
        <v>8554.9696881626005</v>
      </c>
      <c r="EV11">
        <v>7403.0052557934077</v>
      </c>
      <c r="EW11">
        <v>5.8160404069268301</v>
      </c>
      <c r="EX11">
        <v>992.25754193229579</v>
      </c>
      <c r="EY11">
        <v>153.89085002997027</v>
      </c>
      <c r="EZ11">
        <v>1177.3144206253753</v>
      </c>
      <c r="FB11">
        <v>4730.9380209684432</v>
      </c>
      <c r="FC11">
        <v>3999.8656528054198</v>
      </c>
      <c r="FD11">
        <v>16.29803918613062</v>
      </c>
      <c r="FE11">
        <v>605.1869706503245</v>
      </c>
      <c r="FF11">
        <v>109.58735832656872</v>
      </c>
      <c r="FH11">
        <v>1792.0647503021007</v>
      </c>
      <c r="FI11">
        <v>1792.0647503021007</v>
      </c>
      <c r="FJ11">
        <v>1652.3094484124424</v>
      </c>
      <c r="FK11">
        <v>0</v>
      </c>
      <c r="FL11">
        <v>128.10102413887955</v>
      </c>
      <c r="FM11">
        <v>11.654277750779077</v>
      </c>
      <c r="FN11">
        <v>0</v>
      </c>
    </row>
    <row r="12" spans="1:170" x14ac:dyDescent="0.25">
      <c r="A12">
        <v>2007</v>
      </c>
      <c r="C12">
        <v>191626.77060984241</v>
      </c>
      <c r="D12">
        <v>10584534</v>
      </c>
      <c r="F12">
        <v>4611997</v>
      </c>
      <c r="G12">
        <v>574000.12047436635</v>
      </c>
      <c r="H12">
        <v>141811</v>
      </c>
      <c r="I12">
        <v>17556.607569059601</v>
      </c>
      <c r="K12">
        <v>2439.16</v>
      </c>
      <c r="L12">
        <v>2633.7271428571426</v>
      </c>
      <c r="M12">
        <v>0.92612479110266877</v>
      </c>
      <c r="Q12">
        <v>2.2950001918908445</v>
      </c>
      <c r="R12">
        <v>54.230079517375664</v>
      </c>
      <c r="S12">
        <v>124.45804289863291</v>
      </c>
      <c r="T12">
        <v>53.944597379308767</v>
      </c>
      <c r="U12">
        <v>123.80286133698796</v>
      </c>
      <c r="V12">
        <v>18104.412590090637</v>
      </c>
      <c r="W12">
        <v>41549.630368329039</v>
      </c>
      <c r="X12">
        <v>1.1753289265001767</v>
      </c>
      <c r="AB12">
        <v>8136.7522785898527</v>
      </c>
      <c r="AC12">
        <v>91.033877901977633</v>
      </c>
      <c r="AD12">
        <v>2746.1784178847806</v>
      </c>
      <c r="AE12">
        <v>113.16517626827168</v>
      </c>
      <c r="AF12">
        <v>2633.0132416165088</v>
      </c>
      <c r="AG12">
        <v>3264.4976784178848</v>
      </c>
      <c r="AH12">
        <v>369.30472914875321</v>
      </c>
      <c r="AI12">
        <v>365.24436801375754</v>
      </c>
      <c r="AJ12">
        <v>0</v>
      </c>
      <c r="AK12">
        <v>0</v>
      </c>
      <c r="AL12">
        <v>4.0603611349957003</v>
      </c>
      <c r="AM12">
        <v>0</v>
      </c>
      <c r="AN12">
        <v>10.032013326299268</v>
      </c>
      <c r="AO12">
        <v>14.482201203783321</v>
      </c>
      <c r="AP12">
        <v>1651.2553740326739</v>
      </c>
      <c r="AR12">
        <v>8136.7522785898509</v>
      </c>
      <c r="AS12">
        <v>7059.0534268095307</v>
      </c>
      <c r="AT12">
        <v>6041.5245230480068</v>
      </c>
      <c r="AU12">
        <v>2.4804187394423716</v>
      </c>
      <c r="AV12">
        <v>876.68285966535166</v>
      </c>
      <c r="AW12">
        <v>138.3656253567309</v>
      </c>
      <c r="AX12">
        <v>1077.6988517803204</v>
      </c>
      <c r="AZ12">
        <v>1</v>
      </c>
      <c r="BA12">
        <v>0.86755171905428929</v>
      </c>
      <c r="BB12">
        <v>0.74249827402820234</v>
      </c>
      <c r="BC12">
        <v>3.0484137337805783E-4</v>
      </c>
      <c r="BD12">
        <v>0.10774358486642857</v>
      </c>
      <c r="BE12">
        <v>1.7005018786280478E-2</v>
      </c>
      <c r="BF12">
        <v>0.13244828094571071</v>
      </c>
      <c r="BJ12">
        <v>16502.2760112</v>
      </c>
      <c r="BK12">
        <v>375.58163544000001</v>
      </c>
      <c r="BL12">
        <v>8459.0592040799984</v>
      </c>
      <c r="BM12">
        <v>298.96777476</v>
      </c>
      <c r="BN12">
        <v>8160.0914293199985</v>
      </c>
      <c r="BO12">
        <v>7667.6351716800018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16502.276011199992</v>
      </c>
      <c r="CA12">
        <v>16502.276011199992</v>
      </c>
      <c r="CB12">
        <v>15067.439203022321</v>
      </c>
      <c r="CC12">
        <v>0</v>
      </c>
      <c r="CD12">
        <v>1310.1030273030042</v>
      </c>
      <c r="CE12">
        <v>124.73378087466961</v>
      </c>
      <c r="CF12">
        <v>0</v>
      </c>
      <c r="CH12">
        <v>1</v>
      </c>
      <c r="CI12">
        <v>1</v>
      </c>
      <c r="CJ12">
        <v>0.91305218703142166</v>
      </c>
      <c r="CK12">
        <v>0</v>
      </c>
      <c r="CL12">
        <v>7.93892325164023E-2</v>
      </c>
      <c r="CM12">
        <v>7.5585804521760237E-3</v>
      </c>
      <c r="CN12">
        <v>0</v>
      </c>
      <c r="CR12">
        <v>20518.31972137015</v>
      </c>
      <c r="CS12">
        <v>17800.703546380202</v>
      </c>
      <c r="CT12">
        <v>15234.816979076162</v>
      </c>
      <c r="CU12">
        <v>6.2548327632725655</v>
      </c>
      <c r="CV12">
        <v>2210.7173222159595</v>
      </c>
      <c r="CW12">
        <v>348.91441232480861</v>
      </c>
      <c r="CX12">
        <v>2717.6161749899507</v>
      </c>
      <c r="CZ12">
        <v>10046.292829355416</v>
      </c>
      <c r="DA12">
        <v>8418.2739743277089</v>
      </c>
      <c r="DB12">
        <v>18.230376964715163</v>
      </c>
      <c r="DC12">
        <v>1361.3000276228586</v>
      </c>
      <c r="DD12">
        <v>248.4884504401326</v>
      </c>
      <c r="DF12">
        <v>3578.1194157758546</v>
      </c>
      <c r="DG12">
        <v>3578.1194157758546</v>
      </c>
      <c r="DH12">
        <v>3267.0097580337369</v>
      </c>
      <c r="DI12">
        <v>0</v>
      </c>
      <c r="DJ12">
        <v>284.0641542704829</v>
      </c>
      <c r="DK12">
        <v>27.045503471634863</v>
      </c>
      <c r="DL12">
        <v>0</v>
      </c>
      <c r="DN12">
        <v>0.56437616654754885</v>
      </c>
      <c r="DO12">
        <v>0.55256810671828582</v>
      </c>
      <c r="DP12">
        <v>2.914606617743833</v>
      </c>
      <c r="DQ12">
        <v>0.6157729954629978</v>
      </c>
      <c r="DR12">
        <v>0.71217594247385718</v>
      </c>
      <c r="DV12">
        <v>164.86133996242947</v>
      </c>
      <c r="DW12">
        <v>143.0257388899993</v>
      </c>
      <c r="DX12">
        <v>122.40926037608058</v>
      </c>
      <c r="DY12">
        <v>5.0256557291093885E-2</v>
      </c>
      <c r="DZ12">
        <v>17.762751773435149</v>
      </c>
      <c r="EA12">
        <v>2.8034701831924855</v>
      </c>
      <c r="EB12">
        <v>21.835601072430183</v>
      </c>
      <c r="ED12">
        <v>80.72031823236847</v>
      </c>
      <c r="EE12">
        <v>67.639453250796521</v>
      </c>
      <c r="EF12">
        <v>0.1464780944656443</v>
      </c>
      <c r="EG12">
        <v>10.937822867193836</v>
      </c>
      <c r="EH12">
        <v>1.9965640199124657</v>
      </c>
      <c r="EJ12">
        <v>28.749603741480321</v>
      </c>
      <c r="EK12">
        <v>28.749603741480321</v>
      </c>
      <c r="EL12">
        <v>26.249888572445347</v>
      </c>
      <c r="EM12">
        <v>0</v>
      </c>
      <c r="EN12">
        <v>2.2824089761868107</v>
      </c>
      <c r="EO12">
        <v>0.21730619284815977</v>
      </c>
      <c r="EP12">
        <v>0</v>
      </c>
      <c r="ET12">
        <v>8940.443575503652</v>
      </c>
      <c r="EU12">
        <v>7756.2971930360718</v>
      </c>
      <c r="EV12">
        <v>6638.2639238579923</v>
      </c>
      <c r="EW12">
        <v>2.725417098165567</v>
      </c>
      <c r="EX12">
        <v>963.27544112079374</v>
      </c>
      <c r="EY12">
        <v>152.0324109591202</v>
      </c>
      <c r="EZ12">
        <v>1184.1463824675825</v>
      </c>
      <c r="FB12">
        <v>4377.4692764092115</v>
      </c>
      <c r="FC12">
        <v>3668.0929283025098</v>
      </c>
      <c r="FD12">
        <v>7.9435187104255549</v>
      </c>
      <c r="FE12">
        <v>593.15900383489168</v>
      </c>
      <c r="FF12">
        <v>108.2738255613842</v>
      </c>
      <c r="FH12">
        <v>1559.0932969935186</v>
      </c>
      <c r="FI12">
        <v>1559.0932969935186</v>
      </c>
      <c r="FJ12">
        <v>1423.5335446059621</v>
      </c>
      <c r="FK12">
        <v>0</v>
      </c>
      <c r="FL12">
        <v>123.77522026978272</v>
      </c>
      <c r="FM12">
        <v>11.784532117773876</v>
      </c>
      <c r="FN12">
        <v>0</v>
      </c>
    </row>
    <row r="13" spans="1:170" x14ac:dyDescent="0.25">
      <c r="A13">
        <v>2008</v>
      </c>
      <c r="C13">
        <v>194261.20093636017</v>
      </c>
      <c r="D13">
        <v>10666866</v>
      </c>
      <c r="F13">
        <v>4655987</v>
      </c>
      <c r="G13">
        <v>579359.60040696268</v>
      </c>
      <c r="H13">
        <v>148808</v>
      </c>
      <c r="I13">
        <v>18417.390777481705</v>
      </c>
      <c r="K13">
        <v>2698.26</v>
      </c>
      <c r="L13">
        <v>2633.7271428571426</v>
      </c>
      <c r="M13">
        <v>1.0245024839865722</v>
      </c>
      <c r="Q13">
        <v>2.2909999533933405</v>
      </c>
      <c r="R13">
        <v>54.313947546257978</v>
      </c>
      <c r="S13">
        <v>124.43325129708538</v>
      </c>
      <c r="T13">
        <v>54.022756834440507</v>
      </c>
      <c r="U13">
        <v>123.76613338988297</v>
      </c>
      <c r="V13">
        <v>18211.647257625638</v>
      </c>
      <c r="W13">
        <v>41722.883018436296</v>
      </c>
      <c r="X13">
        <v>1.1874150038000448</v>
      </c>
      <c r="AB13">
        <v>9194.3720550300968</v>
      </c>
      <c r="AC13">
        <v>129.60988822012038</v>
      </c>
      <c r="AD13">
        <v>3462.1906276870159</v>
      </c>
      <c r="AE13">
        <v>118.65864144454</v>
      </c>
      <c r="AF13">
        <v>3343.5319862424758</v>
      </c>
      <c r="AG13">
        <v>3480.7346517626829</v>
      </c>
      <c r="AH13">
        <v>429.92648323301808</v>
      </c>
      <c r="AI13">
        <v>424.74806534823733</v>
      </c>
      <c r="AJ13">
        <v>0</v>
      </c>
      <c r="AK13">
        <v>6.7153912295786752E-2</v>
      </c>
      <c r="AL13">
        <v>5.1112639724849522</v>
      </c>
      <c r="AM13">
        <v>0</v>
      </c>
      <c r="AN13">
        <v>12.27758299507256</v>
      </c>
      <c r="AO13">
        <v>14.042820292347375</v>
      </c>
      <c r="AP13">
        <v>1677.86758383491</v>
      </c>
      <c r="AR13">
        <v>9194.3720550300968</v>
      </c>
      <c r="AS13">
        <v>8110.4062346929741</v>
      </c>
      <c r="AT13">
        <v>7070.798031221143</v>
      </c>
      <c r="AU13">
        <v>2.9794425608357318</v>
      </c>
      <c r="AV13">
        <v>919.098338546783</v>
      </c>
      <c r="AW13">
        <v>117.53042236421112</v>
      </c>
      <c r="AX13">
        <v>1083.9658203371228</v>
      </c>
      <c r="AZ13">
        <v>1</v>
      </c>
      <c r="BA13">
        <v>0.88210550825555267</v>
      </c>
      <c r="BB13">
        <v>0.76903544786974554</v>
      </c>
      <c r="BC13">
        <v>3.2405068481057667E-4</v>
      </c>
      <c r="BD13">
        <v>9.9963144089210407E-2</v>
      </c>
      <c r="BE13">
        <v>1.2782865611786078E-2</v>
      </c>
      <c r="BF13">
        <v>0.1178944917444473</v>
      </c>
      <c r="BJ13">
        <v>19386.854294160003</v>
      </c>
      <c r="BK13">
        <v>534.50673672000005</v>
      </c>
      <c r="BL13">
        <v>10676.8161072</v>
      </c>
      <c r="BM13">
        <v>313.4808000000001</v>
      </c>
      <c r="BN13">
        <v>10363.335307200001</v>
      </c>
      <c r="BO13">
        <v>8175.5314502400015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19386.854294160003</v>
      </c>
      <c r="CA13">
        <v>19386.854294160003</v>
      </c>
      <c r="CB13">
        <v>17760.017590495008</v>
      </c>
      <c r="CC13">
        <v>0</v>
      </c>
      <c r="CD13">
        <v>1528.1881169716696</v>
      </c>
      <c r="CE13">
        <v>98.648586693325967</v>
      </c>
      <c r="CF13">
        <v>0</v>
      </c>
      <c r="CH13">
        <v>1</v>
      </c>
      <c r="CI13">
        <v>1</v>
      </c>
      <c r="CJ13">
        <v>0.91608557639208887</v>
      </c>
      <c r="CK13">
        <v>0</v>
      </c>
      <c r="CL13">
        <v>7.8825996924731273E-2</v>
      </c>
      <c r="CM13">
        <v>5.088426683179971E-3</v>
      </c>
      <c r="CN13">
        <v>0</v>
      </c>
      <c r="CR13">
        <v>22966.246898885249</v>
      </c>
      <c r="CS13">
        <v>20258.652893463681</v>
      </c>
      <c r="CT13">
        <v>17661.857969771372</v>
      </c>
      <c r="CU13">
        <v>7.4422280351125476</v>
      </c>
      <c r="CV13">
        <v>2295.7782479416474</v>
      </c>
      <c r="CW13">
        <v>293.5744477155489</v>
      </c>
      <c r="CX13">
        <v>2707.5940054215657</v>
      </c>
      <c r="CZ13">
        <v>11529.010677897171</v>
      </c>
      <c r="DA13">
        <v>9883.7182659104328</v>
      </c>
      <c r="DB13">
        <v>22.187816585081389</v>
      </c>
      <c r="DC13">
        <v>1412.5452859518207</v>
      </c>
      <c r="DD13">
        <v>210.55930944983808</v>
      </c>
      <c r="DF13">
        <v>4163.8549021206463</v>
      </c>
      <c r="DG13">
        <v>4163.8549021206463</v>
      </c>
      <c r="DH13">
        <v>3814.4474180222169</v>
      </c>
      <c r="DI13">
        <v>0</v>
      </c>
      <c r="DJ13">
        <v>328.22001370958935</v>
      </c>
      <c r="DK13">
        <v>21.187470388840424</v>
      </c>
      <c r="DL13">
        <v>0</v>
      </c>
      <c r="DN13">
        <v>0.56909068626260595</v>
      </c>
      <c r="DO13">
        <v>0.55960807083980724</v>
      </c>
      <c r="DP13">
        <v>2.9813405985947927</v>
      </c>
      <c r="DQ13">
        <v>0.61527949714580787</v>
      </c>
      <c r="DR13">
        <v>0.71722628140257594</v>
      </c>
      <c r="DV13">
        <v>184.56679914320611</v>
      </c>
      <c r="DW13">
        <v>162.80739016531831</v>
      </c>
      <c r="DX13">
        <v>141.9384110409809</v>
      </c>
      <c r="DY13">
        <v>5.9808997655652098E-2</v>
      </c>
      <c r="DZ13">
        <v>18.449877536836667</v>
      </c>
      <c r="EA13">
        <v>2.3592925898451176</v>
      </c>
      <c r="EB13">
        <v>21.75940897788778</v>
      </c>
      <c r="ED13">
        <v>92.65216939780484</v>
      </c>
      <c r="EE13">
        <v>79.429880380710912</v>
      </c>
      <c r="EF13">
        <v>0.17831099287205637</v>
      </c>
      <c r="EG13">
        <v>11.351831373266601</v>
      </c>
      <c r="EH13">
        <v>1.6921466509552665</v>
      </c>
      <c r="EJ13">
        <v>33.462558108197378</v>
      </c>
      <c r="EK13">
        <v>33.462558108197378</v>
      </c>
      <c r="EL13">
        <v>30.654566832101761</v>
      </c>
      <c r="EM13">
        <v>0</v>
      </c>
      <c r="EN13">
        <v>2.6377195025304085</v>
      </c>
      <c r="EO13">
        <v>0.17027177356521184</v>
      </c>
      <c r="EP13">
        <v>0</v>
      </c>
      <c r="ET13">
        <v>10024.55144744483</v>
      </c>
      <c r="EU13">
        <v>8842.7120495822564</v>
      </c>
      <c r="EV13">
        <v>7709.2354120790396</v>
      </c>
      <c r="EW13">
        <v>3.2484627614633546</v>
      </c>
      <c r="EX13">
        <v>1002.08568077063</v>
      </c>
      <c r="EY13">
        <v>128.14249397112286</v>
      </c>
      <c r="EZ13">
        <v>1181.8393978625718</v>
      </c>
      <c r="FB13">
        <v>5032.3050687193809</v>
      </c>
      <c r="FC13">
        <v>4314.1503566034789</v>
      </c>
      <c r="FD13">
        <v>9.6847739137740501</v>
      </c>
      <c r="FE13">
        <v>616.56277376156788</v>
      </c>
      <c r="FF13">
        <v>91.907164440560436</v>
      </c>
      <c r="FH13">
        <v>1817.4836258522421</v>
      </c>
      <c r="FI13">
        <v>1817.4836258522421</v>
      </c>
      <c r="FJ13">
        <v>1664.9705349720348</v>
      </c>
      <c r="FK13">
        <v>0</v>
      </c>
      <c r="FL13">
        <v>143.26495870217832</v>
      </c>
      <c r="FM13">
        <v>9.2481321780292323</v>
      </c>
      <c r="FN13">
        <v>0</v>
      </c>
    </row>
    <row r="14" spans="1:170" x14ac:dyDescent="0.25">
      <c r="A14">
        <v>2009</v>
      </c>
      <c r="C14">
        <v>195396.90206711821</v>
      </c>
      <c r="D14">
        <v>10753080</v>
      </c>
      <c r="F14">
        <v>4716263</v>
      </c>
      <c r="G14">
        <v>586729.82671081636</v>
      </c>
      <c r="H14">
        <v>166094</v>
      </c>
      <c r="I14">
        <v>20552.71413785245</v>
      </c>
      <c r="K14">
        <v>2692.13</v>
      </c>
      <c r="L14">
        <v>2633.7271428571426</v>
      </c>
      <c r="M14">
        <v>1.0221749839580954</v>
      </c>
      <c r="Q14">
        <v>2.2800000763316208</v>
      </c>
      <c r="R14">
        <v>54.563885576115531</v>
      </c>
      <c r="S14">
        <v>124.40566327849325</v>
      </c>
      <c r="T14">
        <v>54.272568571328598</v>
      </c>
      <c r="U14">
        <v>123.74146048534233</v>
      </c>
      <c r="V14">
        <v>18171.24973190176</v>
      </c>
      <c r="W14">
        <v>41430.450775776968</v>
      </c>
      <c r="X14">
        <v>1.2015255429644414</v>
      </c>
      <c r="AB14">
        <v>8777.1901977643993</v>
      </c>
      <c r="AC14">
        <v>216.98753224419599</v>
      </c>
      <c r="AD14">
        <v>2917.0964746345653</v>
      </c>
      <c r="AE14">
        <v>123.05339638865006</v>
      </c>
      <c r="AF14">
        <v>2794.0430782459152</v>
      </c>
      <c r="AG14">
        <v>3493.404901117799</v>
      </c>
      <c r="AH14">
        <v>458.68443680137574</v>
      </c>
      <c r="AI14">
        <v>448.93473774720553</v>
      </c>
      <c r="AJ14">
        <v>0</v>
      </c>
      <c r="AK14">
        <v>0.1958727429062769</v>
      </c>
      <c r="AL14">
        <v>9.5538263112639719</v>
      </c>
      <c r="AM14">
        <v>0</v>
      </c>
      <c r="AN14">
        <v>13.078123103139401</v>
      </c>
      <c r="AO14">
        <v>12.100257953568358</v>
      </c>
      <c r="AP14">
        <v>1678.916595012897</v>
      </c>
      <c r="AR14">
        <v>8777.1901977644011</v>
      </c>
      <c r="AS14">
        <v>7674.8305467418731</v>
      </c>
      <c r="AT14">
        <v>6595.9966978142838</v>
      </c>
      <c r="AU14">
        <v>3.4638620814358521</v>
      </c>
      <c r="AV14">
        <v>949.08864389873906</v>
      </c>
      <c r="AW14">
        <v>126.2813429474146</v>
      </c>
      <c r="AX14">
        <v>1102.359651022527</v>
      </c>
      <c r="AZ14">
        <v>1</v>
      </c>
      <c r="BA14">
        <v>0.87440631612343267</v>
      </c>
      <c r="BB14">
        <v>0.75149296633611984</v>
      </c>
      <c r="BC14">
        <v>3.9464361639538322E-4</v>
      </c>
      <c r="BD14">
        <v>0.10813126097466558</v>
      </c>
      <c r="BE14">
        <v>1.4387445196251887E-2</v>
      </c>
      <c r="BF14">
        <v>0.12559368387656725</v>
      </c>
      <c r="BJ14">
        <v>18073.811479200001</v>
      </c>
      <c r="BK14">
        <v>880.83047975999989</v>
      </c>
      <c r="BL14">
        <v>8987.6897334000005</v>
      </c>
      <c r="BM14">
        <v>325.09117476000011</v>
      </c>
      <c r="BN14">
        <v>8662.5985586400002</v>
      </c>
      <c r="BO14">
        <v>8205.2912660400016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18073.811479200001</v>
      </c>
      <c r="CA14">
        <v>18073.811479200001</v>
      </c>
      <c r="CB14">
        <v>16363.441821876992</v>
      </c>
      <c r="CC14">
        <v>0</v>
      </c>
      <c r="CD14">
        <v>1598.6919184384317</v>
      </c>
      <c r="CE14">
        <v>111.67773888457479</v>
      </c>
      <c r="CF14">
        <v>0</v>
      </c>
      <c r="CH14">
        <v>1</v>
      </c>
      <c r="CI14">
        <v>1</v>
      </c>
      <c r="CJ14">
        <v>0.90536751701259244</v>
      </c>
      <c r="CK14">
        <v>0</v>
      </c>
      <c r="CL14">
        <v>8.845350192339145E-2</v>
      </c>
      <c r="CM14">
        <v>6.1789810640161657E-3</v>
      </c>
      <c r="CN14">
        <v>0</v>
      </c>
      <c r="CR14">
        <v>21643.984230735219</v>
      </c>
      <c r="CS14">
        <v>18925.636517430852</v>
      </c>
      <c r="CT14">
        <v>16265.301912887408</v>
      </c>
      <c r="CU14">
        <v>8.5416602100219947</v>
      </c>
      <c r="CV14">
        <v>2340.3913073851768</v>
      </c>
      <c r="CW14">
        <v>311.40163694824309</v>
      </c>
      <c r="CX14">
        <v>2718.3477133043666</v>
      </c>
      <c r="CZ14">
        <v>11061.901028911936</v>
      </c>
      <c r="DA14">
        <v>9356.5327908478357</v>
      </c>
      <c r="DB14">
        <v>26.167774291447397</v>
      </c>
      <c r="DC14">
        <v>1456.4523236791665</v>
      </c>
      <c r="DD14">
        <v>222.74814009348628</v>
      </c>
      <c r="DF14">
        <v>3832.2314678379889</v>
      </c>
      <c r="DG14">
        <v>3832.2314678379889</v>
      </c>
      <c r="DH14">
        <v>3469.5778886540029</v>
      </c>
      <c r="DI14">
        <v>0</v>
      </c>
      <c r="DJ14">
        <v>338.97429351128881</v>
      </c>
      <c r="DK14">
        <v>23.679285672697812</v>
      </c>
      <c r="DL14">
        <v>0</v>
      </c>
      <c r="DN14">
        <v>0.58449294525569728</v>
      </c>
      <c r="DO14">
        <v>0.57524495032179013</v>
      </c>
      <c r="DP14">
        <v>3.0635466230258785</v>
      </c>
      <c r="DQ14">
        <v>0.62231145667106458</v>
      </c>
      <c r="DR14">
        <v>0.71530818616251657</v>
      </c>
      <c r="DV14">
        <v>173.97909114702614</v>
      </c>
      <c r="DW14">
        <v>152.12841617237405</v>
      </c>
      <c r="DX14">
        <v>130.74406328654084</v>
      </c>
      <c r="DY14">
        <v>6.8659737707444407E-2</v>
      </c>
      <c r="DZ14">
        <v>18.812578508954218</v>
      </c>
      <c r="EA14">
        <v>2.5031146391715509</v>
      </c>
      <c r="EB14">
        <v>21.850674974652083</v>
      </c>
      <c r="ED14">
        <v>88.917986025675347</v>
      </c>
      <c r="EE14">
        <v>75.209862190135155</v>
      </c>
      <c r="EF14">
        <v>0.21034230759148387</v>
      </c>
      <c r="EG14">
        <v>11.707283135646062</v>
      </c>
      <c r="EH14">
        <v>1.7904983923026443</v>
      </c>
      <c r="EJ14">
        <v>30.804316836116975</v>
      </c>
      <c r="EK14">
        <v>30.804316836116975</v>
      </c>
      <c r="EL14">
        <v>27.889227847184426</v>
      </c>
      <c r="EM14">
        <v>0</v>
      </c>
      <c r="EN14">
        <v>2.7247496985122326</v>
      </c>
      <c r="EO14">
        <v>0.19033929042032119</v>
      </c>
      <c r="EP14">
        <v>0</v>
      </c>
      <c r="ET14">
        <v>9492.9752219829097</v>
      </c>
      <c r="EU14">
        <v>8300.7174929051016</v>
      </c>
      <c r="EV14">
        <v>7133.9041089232214</v>
      </c>
      <c r="EW14">
        <v>3.7463420719551017</v>
      </c>
      <c r="EX14">
        <v>1026.4873811542682</v>
      </c>
      <c r="EY14">
        <v>136.57966075565625</v>
      </c>
      <c r="EZ14">
        <v>1192.2577290778077</v>
      </c>
      <c r="FB14">
        <v>4851.7108151635903</v>
      </c>
      <c r="FC14">
        <v>4103.7423147379532</v>
      </c>
      <c r="FD14">
        <v>11.477093603237824</v>
      </c>
      <c r="FE14">
        <v>638.79485742057875</v>
      </c>
      <c r="FF14">
        <v>97.69654940182032</v>
      </c>
      <c r="FH14">
        <v>1680.8032190962961</v>
      </c>
      <c r="FI14">
        <v>1680.8032190962961</v>
      </c>
      <c r="FJ14">
        <v>1521.7446370599862</v>
      </c>
      <c r="FK14">
        <v>0</v>
      </c>
      <c r="FL14">
        <v>148.67293077317677</v>
      </c>
      <c r="FM14">
        <v>10.385651263133427</v>
      </c>
      <c r="FN14">
        <v>0</v>
      </c>
    </row>
    <row r="15" spans="1:170" x14ac:dyDescent="0.25">
      <c r="A15">
        <v>2010</v>
      </c>
      <c r="C15">
        <v>201276.13033920951</v>
      </c>
      <c r="D15">
        <v>10839905</v>
      </c>
      <c r="F15">
        <v>4758518</v>
      </c>
      <c r="G15">
        <v>591848.05908814433</v>
      </c>
      <c r="H15">
        <v>149443</v>
      </c>
      <c r="I15">
        <v>18471.390686412135</v>
      </c>
      <c r="K15">
        <v>3193.64</v>
      </c>
      <c r="L15">
        <v>2633.7271428571426</v>
      </c>
      <c r="M15">
        <v>1.2125933427315665</v>
      </c>
      <c r="Q15">
        <v>2.2780002093088645</v>
      </c>
      <c r="R15">
        <v>54.599007933016416</v>
      </c>
      <c r="S15">
        <v>124.37655149946775</v>
      </c>
      <c r="T15">
        <v>54.258809078356094</v>
      </c>
      <c r="U15">
        <v>123.6015784373449</v>
      </c>
      <c r="V15">
        <v>18568.071430442378</v>
      </c>
      <c r="W15">
        <v>42298.070605009692</v>
      </c>
      <c r="X15">
        <v>1.2235540903318574</v>
      </c>
      <c r="AB15">
        <v>9672.7585554600173</v>
      </c>
      <c r="AC15">
        <v>120.40515907136714</v>
      </c>
      <c r="AD15">
        <v>3171.4984522785894</v>
      </c>
      <c r="AE15">
        <v>141.73112639724849</v>
      </c>
      <c r="AF15">
        <v>3029.7673258813411</v>
      </c>
      <c r="AG15">
        <v>3985.656405846948</v>
      </c>
      <c r="AH15">
        <v>687.24256233877907</v>
      </c>
      <c r="AI15">
        <v>650.89208942390371</v>
      </c>
      <c r="AJ15">
        <v>0</v>
      </c>
      <c r="AK15">
        <v>7.6817712811693886</v>
      </c>
      <c r="AL15">
        <v>11.25683576956148</v>
      </c>
      <c r="AM15">
        <v>0</v>
      </c>
      <c r="AN15">
        <v>17.41186586414447</v>
      </c>
      <c r="AO15">
        <v>12.117626827171108</v>
      </c>
      <c r="AP15">
        <v>1713.2502149613067</v>
      </c>
      <c r="AR15">
        <v>9672.7585554600191</v>
      </c>
      <c r="AS15">
        <v>8573.8521176127306</v>
      </c>
      <c r="AT15">
        <v>7510.9361914111068</v>
      </c>
      <c r="AU15">
        <v>4.9626178617024355</v>
      </c>
      <c r="AV15">
        <v>930.3029545557406</v>
      </c>
      <c r="AW15">
        <v>127.65035378417974</v>
      </c>
      <c r="AX15">
        <v>1098.9064378472881</v>
      </c>
      <c r="AZ15">
        <v>1</v>
      </c>
      <c r="BA15">
        <v>0.88639161914912223</v>
      </c>
      <c r="BB15">
        <v>0.77650404983709442</v>
      </c>
      <c r="BC15">
        <v>5.1305093921745492E-4</v>
      </c>
      <c r="BD15">
        <v>9.617762598143309E-2</v>
      </c>
      <c r="BE15">
        <v>1.3196892391377273E-2</v>
      </c>
      <c r="BF15">
        <v>0.11360838085087777</v>
      </c>
      <c r="BJ15">
        <v>19622.581737960001</v>
      </c>
      <c r="BK15">
        <v>496.20159335999995</v>
      </c>
      <c r="BL15">
        <v>9764.8911039599989</v>
      </c>
      <c r="BM15">
        <v>374.43532427999997</v>
      </c>
      <c r="BN15">
        <v>9390.4557796799982</v>
      </c>
      <c r="BO15">
        <v>9361.4890406400027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19622.581737960001</v>
      </c>
      <c r="CA15">
        <v>19622.581737960001</v>
      </c>
      <c r="CB15">
        <v>17919.491709996772</v>
      </c>
      <c r="CC15">
        <v>0</v>
      </c>
      <c r="CD15">
        <v>1588.1024498351846</v>
      </c>
      <c r="CE15">
        <v>114.9875781280479</v>
      </c>
      <c r="CF15">
        <v>0</v>
      </c>
      <c r="CH15">
        <v>1</v>
      </c>
      <c r="CI15">
        <v>1</v>
      </c>
      <c r="CJ15">
        <v>0.91320764766296825</v>
      </c>
      <c r="CK15">
        <v>0</v>
      </c>
      <c r="CL15">
        <v>8.0932390601945667E-2</v>
      </c>
      <c r="CM15">
        <v>5.8599617350862526E-3</v>
      </c>
      <c r="CN15">
        <v>0</v>
      </c>
      <c r="CR15">
        <v>23640.591881758151</v>
      </c>
      <c r="CS15">
        <v>20954.822515715201</v>
      </c>
      <c r="CT15">
        <v>18357.015336731136</v>
      </c>
      <c r="CU15">
        <v>12.128827868592561</v>
      </c>
      <c r="CV15">
        <v>2273.6960039834389</v>
      </c>
      <c r="CW15">
        <v>311.98234713202942</v>
      </c>
      <c r="CX15">
        <v>2685.7693660429491</v>
      </c>
      <c r="CZ15">
        <v>12486.125708384418</v>
      </c>
      <c r="DA15">
        <v>10796.671089362306</v>
      </c>
      <c r="DB15">
        <v>38.244767775053859</v>
      </c>
      <c r="DC15">
        <v>1428.0282910053124</v>
      </c>
      <c r="DD15">
        <v>223.18156024174621</v>
      </c>
      <c r="DF15">
        <v>4123.6750051087338</v>
      </c>
      <c r="DG15">
        <v>4123.6750051087338</v>
      </c>
      <c r="DH15">
        <v>3765.7715511419256</v>
      </c>
      <c r="DI15">
        <v>0</v>
      </c>
      <c r="DJ15">
        <v>333.73887622894028</v>
      </c>
      <c r="DK15">
        <v>24.164577737868782</v>
      </c>
      <c r="DL15">
        <v>0</v>
      </c>
      <c r="DN15">
        <v>0.59585929200881416</v>
      </c>
      <c r="DO15">
        <v>0.58814959247535759</v>
      </c>
      <c r="DP15">
        <v>3.1532121808809057</v>
      </c>
      <c r="DQ15">
        <v>0.62806474062647555</v>
      </c>
      <c r="DR15">
        <v>0.71536598879197755</v>
      </c>
      <c r="DV15">
        <v>190.07273956988041</v>
      </c>
      <c r="DW15">
        <v>168.47888338345572</v>
      </c>
      <c r="DX15">
        <v>147.59225203964343</v>
      </c>
      <c r="DY15">
        <v>9.751699755596184E-2</v>
      </c>
      <c r="DZ15">
        <v>18.280744855618295</v>
      </c>
      <c r="EA15">
        <v>2.5083694906379881</v>
      </c>
      <c r="EB15">
        <v>21.593856186424677</v>
      </c>
      <c r="ED15">
        <v>100.38970817130148</v>
      </c>
      <c r="EE15">
        <v>86.806322889636547</v>
      </c>
      <c r="EF15">
        <v>0.30749178453639242</v>
      </c>
      <c r="EG15">
        <v>11.48149127620268</v>
      </c>
      <c r="EH15">
        <v>1.7944022209258734</v>
      </c>
      <c r="EJ15">
        <v>33.154762335779829</v>
      </c>
      <c r="EK15">
        <v>33.154762335779829</v>
      </c>
      <c r="EL15">
        <v>30.277182521482281</v>
      </c>
      <c r="EM15">
        <v>0</v>
      </c>
      <c r="EN15">
        <v>2.6832941756740092</v>
      </c>
      <c r="EO15">
        <v>0.1942856386235487</v>
      </c>
      <c r="EP15">
        <v>0</v>
      </c>
      <c r="ET15">
        <v>10377.783015626064</v>
      </c>
      <c r="EU15">
        <v>9198.7798903990461</v>
      </c>
      <c r="EV15">
        <v>8058.3905399642508</v>
      </c>
      <c r="EW15">
        <v>5.3243313231619034</v>
      </c>
      <c r="EX15">
        <v>998.11053339335228</v>
      </c>
      <c r="EY15">
        <v>136.95448571827987</v>
      </c>
      <c r="EZ15">
        <v>1179.0031252270169</v>
      </c>
      <c r="FB15">
        <v>5481.1784728380926</v>
      </c>
      <c r="FC15">
        <v>4739.53911208725</v>
      </c>
      <c r="FD15">
        <v>16.788746383239864</v>
      </c>
      <c r="FE15">
        <v>626.87803327224901</v>
      </c>
      <c r="FF15">
        <v>97.972581095354045</v>
      </c>
      <c r="FH15">
        <v>1810.2171317885168</v>
      </c>
      <c r="FI15">
        <v>1810.2171317885168</v>
      </c>
      <c r="FJ15">
        <v>1653.104128679797</v>
      </c>
      <c r="FK15">
        <v>0</v>
      </c>
      <c r="FL15">
        <v>146.50519998424198</v>
      </c>
      <c r="FM15">
        <v>10.607803124478297</v>
      </c>
      <c r="FN15">
        <v>0</v>
      </c>
    </row>
    <row r="16" spans="1:170" x14ac:dyDescent="0.25">
      <c r="A16">
        <v>2011</v>
      </c>
      <c r="C16">
        <v>203019.03594514463</v>
      </c>
      <c r="D16">
        <v>11000638</v>
      </c>
      <c r="F16">
        <v>4839700</v>
      </c>
      <c r="G16">
        <v>601737.41453391395</v>
      </c>
      <c r="H16">
        <v>189330</v>
      </c>
      <c r="I16">
        <v>23362.107664402603</v>
      </c>
      <c r="K16">
        <v>2404.6799999999998</v>
      </c>
      <c r="L16">
        <v>2633.7271428571426</v>
      </c>
      <c r="M16">
        <v>0.91303307805505407</v>
      </c>
      <c r="Q16">
        <v>2.2729999793375621</v>
      </c>
      <c r="R16">
        <v>54.700228707999841</v>
      </c>
      <c r="S16">
        <v>124.33361872304357</v>
      </c>
      <c r="T16">
        <v>54.286663996666235</v>
      </c>
      <c r="U16">
        <v>123.39358614272753</v>
      </c>
      <c r="V16">
        <v>18455.205593088751</v>
      </c>
      <c r="W16">
        <v>41948.681931761195</v>
      </c>
      <c r="X16">
        <v>1.2118829600741063</v>
      </c>
      <c r="AB16">
        <v>8058.7023215821155</v>
      </c>
      <c r="AC16">
        <v>100.74978503869303</v>
      </c>
      <c r="AD16">
        <v>2681.5896818572655</v>
      </c>
      <c r="AE16">
        <v>116.4612209802235</v>
      </c>
      <c r="AF16">
        <v>2565.128460877042</v>
      </c>
      <c r="AG16">
        <v>3113.431556319862</v>
      </c>
      <c r="AH16">
        <v>512.97153912295789</v>
      </c>
      <c r="AI16">
        <v>477.8936371453139</v>
      </c>
      <c r="AJ16">
        <v>0</v>
      </c>
      <c r="AK16">
        <v>3.392605331040413</v>
      </c>
      <c r="AL16">
        <v>12.959759243336199</v>
      </c>
      <c r="AM16">
        <v>0</v>
      </c>
      <c r="AN16">
        <v>18.725537403267417</v>
      </c>
      <c r="AO16">
        <v>13.534823731728288</v>
      </c>
      <c r="AP16">
        <v>1655.1504729148753</v>
      </c>
      <c r="AR16">
        <v>8058.7023215821137</v>
      </c>
      <c r="AS16">
        <v>6960.2740675097466</v>
      </c>
      <c r="AT16">
        <v>5930.7080512105431</v>
      </c>
      <c r="AU16">
        <v>3.9851911427229991</v>
      </c>
      <c r="AV16">
        <v>904.93595571686126</v>
      </c>
      <c r="AW16">
        <v>120.64486943961964</v>
      </c>
      <c r="AX16">
        <v>1098.4282540723675</v>
      </c>
      <c r="AZ16">
        <v>1</v>
      </c>
      <c r="BA16">
        <v>0.86369663374577665</v>
      </c>
      <c r="BB16">
        <v>0.7359383452255629</v>
      </c>
      <c r="BC16">
        <v>4.9452020731057499E-4</v>
      </c>
      <c r="BD16">
        <v>0.1122930119025914</v>
      </c>
      <c r="BE16">
        <v>1.4970756410311753E-2</v>
      </c>
      <c r="BF16">
        <v>0.13630336625422343</v>
      </c>
      <c r="BJ16">
        <v>15986.550981599999</v>
      </c>
      <c r="BK16">
        <v>416.86778232000006</v>
      </c>
      <c r="BL16">
        <v>8256.8713496399996</v>
      </c>
      <c r="BM16">
        <v>307.67549903999992</v>
      </c>
      <c r="BN16">
        <v>7949.1958506000001</v>
      </c>
      <c r="BO16">
        <v>7312.8118496400002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15986.550981599999</v>
      </c>
      <c r="CA16">
        <v>15986.550981599999</v>
      </c>
      <c r="CB16">
        <v>14327.318094505146</v>
      </c>
      <c r="CC16">
        <v>0</v>
      </c>
      <c r="CD16">
        <v>1552.5548255789861</v>
      </c>
      <c r="CE16">
        <v>106.67806151586691</v>
      </c>
      <c r="CF16">
        <v>0</v>
      </c>
      <c r="CH16">
        <v>1</v>
      </c>
      <c r="CI16">
        <v>1</v>
      </c>
      <c r="CJ16">
        <v>0.89621070304629336</v>
      </c>
      <c r="CK16">
        <v>0</v>
      </c>
      <c r="CL16">
        <v>9.7116309037886053E-2</v>
      </c>
      <c r="CM16">
        <v>6.6729879158206112E-3</v>
      </c>
      <c r="CN16">
        <v>0</v>
      </c>
      <c r="CR16">
        <v>19365.396202243937</v>
      </c>
      <c r="CS16">
        <v>16725.827511031333</v>
      </c>
      <c r="CT16">
        <v>14251.737635716803</v>
      </c>
      <c r="CU16">
        <v>9.5765797445850929</v>
      </c>
      <c r="CV16">
        <v>2174.5986662369769</v>
      </c>
      <c r="CW16">
        <v>289.91462933297032</v>
      </c>
      <c r="CX16">
        <v>2639.5686912126025</v>
      </c>
      <c r="CZ16">
        <v>10175.307885582732</v>
      </c>
      <c r="DA16">
        <v>8556.8284398655014</v>
      </c>
      <c r="DB16">
        <v>30.994342368112729</v>
      </c>
      <c r="DC16">
        <v>1379.3103596658707</v>
      </c>
      <c r="DD16">
        <v>208.17474368324747</v>
      </c>
      <c r="DF16">
        <v>3303.2111456495236</v>
      </c>
      <c r="DG16">
        <v>3303.2111456495236</v>
      </c>
      <c r="DH16">
        <v>2960.3731831529117</v>
      </c>
      <c r="DI16">
        <v>0</v>
      </c>
      <c r="DJ16">
        <v>320.79567443828876</v>
      </c>
      <c r="DK16">
        <v>22.04228805832323</v>
      </c>
      <c r="DL16">
        <v>0</v>
      </c>
      <c r="DN16">
        <v>0.6083590111683097</v>
      </c>
      <c r="DO16">
        <v>0.60040597564895659</v>
      </c>
      <c r="DP16">
        <v>3.2364730618609348</v>
      </c>
      <c r="DQ16">
        <v>0.63428272125848928</v>
      </c>
      <c r="DR16">
        <v>0.71805532601859967</v>
      </c>
      <c r="DV16">
        <v>155.75349934421897</v>
      </c>
      <c r="DW16">
        <v>134.52377307772693</v>
      </c>
      <c r="DX16">
        <v>114.62497257047528</v>
      </c>
      <c r="DY16">
        <v>7.702325278505065E-2</v>
      </c>
      <c r="DZ16">
        <v>17.490029555730644</v>
      </c>
      <c r="EA16">
        <v>2.3317476987359536</v>
      </c>
      <c r="EB16">
        <v>21.229726266492023</v>
      </c>
      <c r="ED16">
        <v>81.838749568196036</v>
      </c>
      <c r="EE16">
        <v>68.821518489911114</v>
      </c>
      <c r="EF16">
        <v>0.24928368277572169</v>
      </c>
      <c r="EG16">
        <v>11.093623541500238</v>
      </c>
      <c r="EH16">
        <v>1.6743238540089649</v>
      </c>
      <c r="EJ16">
        <v>26.56732088693979</v>
      </c>
      <c r="EK16">
        <v>26.56732088693979</v>
      </c>
      <c r="EL16">
        <v>23.809917330140784</v>
      </c>
      <c r="EM16">
        <v>0</v>
      </c>
      <c r="EN16">
        <v>2.5801201455647296</v>
      </c>
      <c r="EO16">
        <v>0.17728341123427777</v>
      </c>
      <c r="EP16">
        <v>0</v>
      </c>
      <c r="ET16">
        <v>8519.7520362000814</v>
      </c>
      <c r="EU16">
        <v>7358.4811540147348</v>
      </c>
      <c r="EV16">
        <v>6270.0122152532076</v>
      </c>
      <c r="EW16">
        <v>4.2131895431763571</v>
      </c>
      <c r="EX16">
        <v>956.70861680814301</v>
      </c>
      <c r="EY16">
        <v>127.547132410209</v>
      </c>
      <c r="EZ16">
        <v>1161.2708821853453</v>
      </c>
      <c r="FB16">
        <v>4476.5983185570467</v>
      </c>
      <c r="FC16">
        <v>3764.552801429978</v>
      </c>
      <c r="FD16">
        <v>13.635874461004461</v>
      </c>
      <c r="FE16">
        <v>606.82374492051417</v>
      </c>
      <c r="FF16">
        <v>91.585897745550099</v>
      </c>
      <c r="FH16">
        <v>1453.2385286744277</v>
      </c>
      <c r="FI16">
        <v>1453.2385286744277</v>
      </c>
      <c r="FJ16">
        <v>1302.4079234772698</v>
      </c>
      <c r="FK16">
        <v>0</v>
      </c>
      <c r="FL16">
        <v>141.13316205650855</v>
      </c>
      <c r="FM16">
        <v>9.6974431406493817</v>
      </c>
      <c r="FN16">
        <v>0</v>
      </c>
    </row>
    <row r="17" spans="1:170" x14ac:dyDescent="0.25">
      <c r="A17">
        <v>2012</v>
      </c>
      <c r="C17">
        <v>205997.00134528687</v>
      </c>
      <c r="D17">
        <v>11075889</v>
      </c>
      <c r="F17">
        <v>4859978</v>
      </c>
      <c r="G17">
        <v>604095.26540000003</v>
      </c>
      <c r="H17">
        <v>130271</v>
      </c>
      <c r="I17">
        <v>16060.447629633292</v>
      </c>
      <c r="K17">
        <v>2766.54</v>
      </c>
      <c r="L17">
        <v>2633.7271428571426</v>
      </c>
      <c r="M17">
        <v>1.0504277208453638</v>
      </c>
      <c r="Q17">
        <v>2.278999822632942</v>
      </c>
      <c r="R17">
        <v>54.54146979985083</v>
      </c>
      <c r="S17">
        <v>124.3</v>
      </c>
      <c r="T17">
        <v>54.096056530150072</v>
      </c>
      <c r="U17">
        <v>123.28490323735362</v>
      </c>
      <c r="V17">
        <v>18598.687775336759</v>
      </c>
      <c r="W17">
        <v>42386.406141197935</v>
      </c>
      <c r="X17">
        <v>1.2444227976574722</v>
      </c>
      <c r="AB17">
        <v>8531.0435941530504</v>
      </c>
      <c r="AC17">
        <v>96.128374892519346</v>
      </c>
      <c r="AD17">
        <v>2675.6638865004297</v>
      </c>
      <c r="AE17">
        <v>121.9546861564918</v>
      </c>
      <c r="AF17">
        <v>2553.7092003439379</v>
      </c>
      <c r="AG17">
        <v>3469.6263972484949</v>
      </c>
      <c r="AH17">
        <v>603.84582975064473</v>
      </c>
      <c r="AI17">
        <v>563.60464316423031</v>
      </c>
      <c r="AJ17">
        <v>0</v>
      </c>
      <c r="AK17">
        <v>3.2631126397248487</v>
      </c>
      <c r="AL17">
        <v>13.666723989681859</v>
      </c>
      <c r="AM17">
        <v>0</v>
      </c>
      <c r="AN17">
        <v>23.311349957007739</v>
      </c>
      <c r="AO17">
        <v>14.378503869303533</v>
      </c>
      <c r="AP17">
        <v>1694.711951848667</v>
      </c>
      <c r="AR17">
        <v>8531.0435941530504</v>
      </c>
      <c r="AS17">
        <v>7445.2649057813378</v>
      </c>
      <c r="AT17">
        <v>6361.31968201977</v>
      </c>
      <c r="AU17">
        <v>4.1367154704610565</v>
      </c>
      <c r="AV17">
        <v>951.48579217953477</v>
      </c>
      <c r="AW17">
        <v>128.32271611157188</v>
      </c>
      <c r="AX17">
        <v>1085.7786883717126</v>
      </c>
      <c r="AZ17">
        <v>1</v>
      </c>
      <c r="BA17">
        <v>0.87272615871804049</v>
      </c>
      <c r="BB17">
        <v>0.74566723423845227</v>
      </c>
      <c r="BC17">
        <v>4.8490145722573154E-4</v>
      </c>
      <c r="BD17">
        <v>0.11153216856512815</v>
      </c>
      <c r="BE17">
        <v>1.5041854457234381E-2</v>
      </c>
      <c r="BF17">
        <v>0.12727384128195951</v>
      </c>
      <c r="BJ17">
        <v>16782.957177959997</v>
      </c>
      <c r="BK17">
        <v>398.31143880000002</v>
      </c>
      <c r="BL17">
        <v>8235.2052993599991</v>
      </c>
      <c r="BM17">
        <v>322.18852427999997</v>
      </c>
      <c r="BN17">
        <v>7913.0167750800001</v>
      </c>
      <c r="BO17">
        <v>8149.4404397999997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16782.957177959997</v>
      </c>
      <c r="CA17">
        <v>16782.957177959997</v>
      </c>
      <c r="CB17">
        <v>15046.54798037669</v>
      </c>
      <c r="CC17">
        <v>0</v>
      </c>
      <c r="CD17">
        <v>1620.7060885174419</v>
      </c>
      <c r="CE17">
        <v>115.70310906586415</v>
      </c>
      <c r="CF17">
        <v>0</v>
      </c>
      <c r="CH17">
        <v>1</v>
      </c>
      <c r="CI17">
        <v>1</v>
      </c>
      <c r="CJ17">
        <v>0.89653735160192005</v>
      </c>
      <c r="CK17">
        <v>0</v>
      </c>
      <c r="CL17">
        <v>9.6568564844210725E-2</v>
      </c>
      <c r="CM17">
        <v>6.8940835538691472E-3</v>
      </c>
      <c r="CN17">
        <v>0</v>
      </c>
      <c r="CR17">
        <v>20414.914841178288</v>
      </c>
      <c r="CS17">
        <v>17816.630209897441</v>
      </c>
      <c r="CT17">
        <v>15222.733086834944</v>
      </c>
      <c r="CU17">
        <v>9.8992219556265688</v>
      </c>
      <c r="CV17">
        <v>2276.9197233090331</v>
      </c>
      <c r="CW17">
        <v>307.07817779783795</v>
      </c>
      <c r="CX17">
        <v>2598.2846312808447</v>
      </c>
      <c r="CZ17">
        <v>11141.70910949163</v>
      </c>
      <c r="DA17">
        <v>9423.6255021156285</v>
      </c>
      <c r="DB17">
        <v>33.238569757379231</v>
      </c>
      <c r="DC17">
        <v>1464.235458481583</v>
      </c>
      <c r="DD17">
        <v>220.60957913703993</v>
      </c>
      <c r="DF17">
        <v>3453.2990021683222</v>
      </c>
      <c r="DG17">
        <v>3453.2990021683222</v>
      </c>
      <c r="DH17">
        <v>3096.0115416935405</v>
      </c>
      <c r="DI17">
        <v>0</v>
      </c>
      <c r="DJ17">
        <v>333.4801286173398</v>
      </c>
      <c r="DK17">
        <v>23.807331857441365</v>
      </c>
      <c r="DL17">
        <v>0</v>
      </c>
      <c r="DN17">
        <v>0.62535445694451364</v>
      </c>
      <c r="DO17">
        <v>0.61904951288053844</v>
      </c>
      <c r="DP17">
        <v>3.3576951710317937</v>
      </c>
      <c r="DQ17">
        <v>0.6430773309625597</v>
      </c>
      <c r="DR17">
        <v>0.71841503267704088</v>
      </c>
      <c r="DV17">
        <v>164.23905745115275</v>
      </c>
      <c r="DW17">
        <v>143.33572172081611</v>
      </c>
      <c r="DX17">
        <v>122.46768372353134</v>
      </c>
      <c r="DY17">
        <v>7.9639758291444623E-2</v>
      </c>
      <c r="DZ17">
        <v>18.317938240619736</v>
      </c>
      <c r="EA17">
        <v>2.4704599983735962</v>
      </c>
      <c r="EB17">
        <v>20.903335730336643</v>
      </c>
      <c r="ED17">
        <v>89.635632417470873</v>
      </c>
      <c r="EE17">
        <v>75.813559952659929</v>
      </c>
      <c r="EF17">
        <v>0.26740603183732287</v>
      </c>
      <c r="EG17">
        <v>11.779850832514748</v>
      </c>
      <c r="EH17">
        <v>1.7748156004588893</v>
      </c>
      <c r="EJ17">
        <v>27.781971055256012</v>
      </c>
      <c r="EK17">
        <v>27.781971055256012</v>
      </c>
      <c r="EL17">
        <v>24.907574752160421</v>
      </c>
      <c r="EM17">
        <v>0</v>
      </c>
      <c r="EN17">
        <v>2.682865073349475</v>
      </c>
      <c r="EO17">
        <v>0.19153122974610912</v>
      </c>
      <c r="EP17">
        <v>0</v>
      </c>
      <c r="ET17">
        <v>8957.8395919280138</v>
      </c>
      <c r="EU17">
        <v>7817.7409374757135</v>
      </c>
      <c r="EV17">
        <v>6679.5674732646676</v>
      </c>
      <c r="EW17">
        <v>4.3436694717202471</v>
      </c>
      <c r="EX17">
        <v>999.08727534629395</v>
      </c>
      <c r="EY17">
        <v>134.74251939303301</v>
      </c>
      <c r="EZ17">
        <v>1140.0986544522989</v>
      </c>
      <c r="FB17">
        <v>4888.8591384880183</v>
      </c>
      <c r="FC17">
        <v>4134.9829905771812</v>
      </c>
      <c r="FD17">
        <v>14.584718009753294</v>
      </c>
      <c r="FE17">
        <v>642.49037842835071</v>
      </c>
      <c r="FF17">
        <v>96.801051472732624</v>
      </c>
      <c r="FH17">
        <v>1515.2695352905755</v>
      </c>
      <c r="FI17">
        <v>1515.2695352905755</v>
      </c>
      <c r="FJ17">
        <v>1358.4957361324846</v>
      </c>
      <c r="FK17">
        <v>0</v>
      </c>
      <c r="FL17">
        <v>146.327404375165</v>
      </c>
      <c r="FM17">
        <v>10.446394782925704</v>
      </c>
      <c r="FN17">
        <v>0</v>
      </c>
    </row>
    <row r="18" spans="1:170" x14ac:dyDescent="0.25">
      <c r="A18">
        <v>2013</v>
      </c>
      <c r="C18">
        <v>209435.33308946065</v>
      </c>
      <c r="D18">
        <v>11137974</v>
      </c>
      <c r="F18">
        <v>4878657</v>
      </c>
      <c r="G18">
        <v>606246.01713393454</v>
      </c>
      <c r="H18">
        <v>129133</v>
      </c>
      <c r="I18">
        <v>15910.778489462878</v>
      </c>
      <c r="K18">
        <v>3021.71</v>
      </c>
      <c r="L18">
        <v>2633.7271428571426</v>
      </c>
      <c r="M18">
        <v>1.1473132318186776</v>
      </c>
      <c r="Q18">
        <v>2.2830000141432367</v>
      </c>
      <c r="R18">
        <v>54.43054698582835</v>
      </c>
      <c r="S18">
        <v>124.26493953847022</v>
      </c>
      <c r="T18">
        <v>53.969485106998619</v>
      </c>
      <c r="U18">
        <v>123.21233526258105</v>
      </c>
      <c r="V18">
        <v>18803.718978825109</v>
      </c>
      <c r="W18">
        <v>42928.890694603171</v>
      </c>
      <c r="X18">
        <v>1.2744933614322969</v>
      </c>
      <c r="AB18">
        <v>9153.0963886500431</v>
      </c>
      <c r="AC18">
        <v>117.1720550300946</v>
      </c>
      <c r="AD18">
        <v>2907.9701633705936</v>
      </c>
      <c r="AE18">
        <v>132.94161650902839</v>
      </c>
      <c r="AF18">
        <v>2775.0285468615652</v>
      </c>
      <c r="AG18">
        <v>3738.5591573516758</v>
      </c>
      <c r="AH18">
        <v>700.97437661220977</v>
      </c>
      <c r="AI18">
        <v>652.81599312123819</v>
      </c>
      <c r="AJ18">
        <v>0</v>
      </c>
      <c r="AK18">
        <v>2.7346517626827165</v>
      </c>
      <c r="AL18">
        <v>17.454858125537399</v>
      </c>
      <c r="AM18">
        <v>0</v>
      </c>
      <c r="AN18">
        <v>27.968873602751454</v>
      </c>
      <c r="AO18">
        <v>13.027515047291487</v>
      </c>
      <c r="AP18">
        <v>1703.361994840928</v>
      </c>
      <c r="AR18">
        <v>9153.0963886500467</v>
      </c>
      <c r="AS18">
        <v>8077.4399180685568</v>
      </c>
      <c r="AT18">
        <v>7003.1587499930311</v>
      </c>
      <c r="AU18">
        <v>4.4243190025909884</v>
      </c>
      <c r="AV18">
        <v>940.81752468614172</v>
      </c>
      <c r="AW18">
        <v>129.03932438679308</v>
      </c>
      <c r="AX18">
        <v>1075.6564705814894</v>
      </c>
      <c r="AZ18">
        <v>1</v>
      </c>
      <c r="BA18">
        <v>0.88248168434942764</v>
      </c>
      <c r="BB18">
        <v>0.76511362413674955</v>
      </c>
      <c r="BC18">
        <v>4.8336855799718212E-4</v>
      </c>
      <c r="BD18">
        <v>0.10278680402107064</v>
      </c>
      <c r="BE18">
        <v>1.4097887633610353E-2</v>
      </c>
      <c r="BF18">
        <v>0.11751831565057229</v>
      </c>
      <c r="BJ18">
        <v>18213.55608432</v>
      </c>
      <c r="BK18">
        <v>481.74775176000009</v>
      </c>
      <c r="BL18">
        <v>8950.7000242800004</v>
      </c>
      <c r="BM18">
        <v>351.21457476000012</v>
      </c>
      <c r="BN18">
        <v>8599.4854495199997</v>
      </c>
      <c r="BO18">
        <v>8781.1083082799996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18213.556084320007</v>
      </c>
      <c r="CA18">
        <v>18213.556084320007</v>
      </c>
      <c r="CB18">
        <v>16508.93610794274</v>
      </c>
      <c r="CC18">
        <v>0</v>
      </c>
      <c r="CD18">
        <v>1589.9199865611906</v>
      </c>
      <c r="CE18">
        <v>114.69998981607708</v>
      </c>
      <c r="CF18">
        <v>0</v>
      </c>
      <c r="CH18">
        <v>1</v>
      </c>
      <c r="CI18">
        <v>1</v>
      </c>
      <c r="CJ18">
        <v>0.90640927183655429</v>
      </c>
      <c r="CK18">
        <v>0</v>
      </c>
      <c r="CL18">
        <v>8.7293221554353553E-2</v>
      </c>
      <c r="CM18">
        <v>6.2975066090922207E-3</v>
      </c>
      <c r="CN18">
        <v>0</v>
      </c>
      <c r="CR18">
        <v>21819.634173913037</v>
      </c>
      <c r="CS18">
        <v>19255.427517683111</v>
      </c>
      <c r="CT18">
        <v>16694.499380140674</v>
      </c>
      <c r="CU18">
        <v>10.546925106670381</v>
      </c>
      <c r="CV18">
        <v>2242.7704616454548</v>
      </c>
      <c r="CW18">
        <v>307.61075079031042</v>
      </c>
      <c r="CX18">
        <v>2564.206656229926</v>
      </c>
      <c r="CZ18">
        <v>12328.494720923469</v>
      </c>
      <c r="DA18">
        <v>10605.283643075139</v>
      </c>
      <c r="DB18">
        <v>37.171053471899086</v>
      </c>
      <c r="DC18">
        <v>1464.1921026900245</v>
      </c>
      <c r="DD18">
        <v>221.84792168640544</v>
      </c>
      <c r="DF18">
        <v>3733.3135090907199</v>
      </c>
      <c r="DG18">
        <v>3733.3135090907199</v>
      </c>
      <c r="DH18">
        <v>3383.909979312491</v>
      </c>
      <c r="DI18">
        <v>0</v>
      </c>
      <c r="DJ18">
        <v>325.8929632809174</v>
      </c>
      <c r="DK18">
        <v>23.510566497312084</v>
      </c>
      <c r="DL18">
        <v>0</v>
      </c>
      <c r="DN18">
        <v>0.64026076334070836</v>
      </c>
      <c r="DO18">
        <v>0.63525616441610089</v>
      </c>
      <c r="DP18">
        <v>3.5243498077359376</v>
      </c>
      <c r="DQ18">
        <v>0.65284973550783698</v>
      </c>
      <c r="DR18">
        <v>0.72119690588328267</v>
      </c>
      <c r="DV18">
        <v>175.58962531952196</v>
      </c>
      <c r="DW18">
        <v>154.95462830625667</v>
      </c>
      <c r="DX18">
        <v>134.34601458903342</v>
      </c>
      <c r="DY18">
        <v>8.487450398996281E-2</v>
      </c>
      <c r="DZ18">
        <v>18.048296405850927</v>
      </c>
      <c r="EA18">
        <v>2.4754428073823642</v>
      </c>
      <c r="EB18">
        <v>20.634997013265295</v>
      </c>
      <c r="ED18">
        <v>99.211368602539622</v>
      </c>
      <c r="EE18">
        <v>85.344133932418899</v>
      </c>
      <c r="EF18">
        <v>0.29912744181870854</v>
      </c>
      <c r="EG18">
        <v>11.782825534926822</v>
      </c>
      <c r="EH18">
        <v>1.7852816933751878</v>
      </c>
      <c r="EJ18">
        <v>30.043176482091734</v>
      </c>
      <c r="EK18">
        <v>30.043176482091734</v>
      </c>
      <c r="EL18">
        <v>27.231413718789867</v>
      </c>
      <c r="EM18">
        <v>0</v>
      </c>
      <c r="EN18">
        <v>2.6225656608477785</v>
      </c>
      <c r="EO18">
        <v>0.18919710245409671</v>
      </c>
      <c r="EP18">
        <v>0</v>
      </c>
      <c r="ET18">
        <v>9557.4393511782346</v>
      </c>
      <c r="EU18">
        <v>8434.2651766952695</v>
      </c>
      <c r="EV18">
        <v>7312.5270594471631</v>
      </c>
      <c r="EW18">
        <v>4.6197656773245468</v>
      </c>
      <c r="EX18">
        <v>982.37864553282554</v>
      </c>
      <c r="EY18">
        <v>134.73970603795658</v>
      </c>
      <c r="EZ18">
        <v>1123.1741744829644</v>
      </c>
      <c r="FB18">
        <v>5400.129060248868</v>
      </c>
      <c r="FC18">
        <v>4645.3278919733539</v>
      </c>
      <c r="FD18">
        <v>16.281670276663849</v>
      </c>
      <c r="FE18">
        <v>641.34563890465233</v>
      </c>
      <c r="FF18">
        <v>97.173859094197354</v>
      </c>
      <c r="FH18">
        <v>1635.2665291120277</v>
      </c>
      <c r="FI18">
        <v>1635.2665291120277</v>
      </c>
      <c r="FJ18">
        <v>1482.2207439111223</v>
      </c>
      <c r="FK18">
        <v>0</v>
      </c>
      <c r="FL18">
        <v>142.74768342619498</v>
      </c>
      <c r="FM18">
        <v>10.29810177471029</v>
      </c>
      <c r="FN18">
        <v>0</v>
      </c>
    </row>
    <row r="19" spans="1:170" x14ac:dyDescent="0.25">
      <c r="A19">
        <v>2014</v>
      </c>
      <c r="C19">
        <v>210592.64339529391</v>
      </c>
      <c r="D19">
        <v>11180840</v>
      </c>
      <c r="F19">
        <v>4897433</v>
      </c>
      <c r="G19">
        <v>608402.20156189962</v>
      </c>
      <c r="H19">
        <v>129655</v>
      </c>
      <c r="I19">
        <v>15969.156403866646</v>
      </c>
      <c r="K19">
        <v>2323.21</v>
      </c>
      <c r="L19">
        <v>2633.7271428571426</v>
      </c>
      <c r="M19">
        <v>0.88209972938947467</v>
      </c>
      <c r="Q19">
        <v>2.2830000941309456</v>
      </c>
      <c r="R19">
        <v>54.414713166622512</v>
      </c>
      <c r="S19">
        <v>124.22879528150762</v>
      </c>
      <c r="T19">
        <v>53.949419442774989</v>
      </c>
      <c r="U19">
        <v>123.16652966616518</v>
      </c>
      <c r="V19">
        <v>18835.136125308469</v>
      </c>
      <c r="W19">
        <v>43000.617547048409</v>
      </c>
      <c r="X19">
        <v>1.2740826771889413</v>
      </c>
      <c r="AB19">
        <v>7482.2525365434221</v>
      </c>
      <c r="AC19">
        <v>76.258555460017178</v>
      </c>
      <c r="AD19">
        <v>2385.1629406706797</v>
      </c>
      <c r="AE19">
        <v>115.3625967325881</v>
      </c>
      <c r="AF19">
        <v>2269.8003439380918</v>
      </c>
      <c r="AG19">
        <v>2878.2357695614792</v>
      </c>
      <c r="AH19">
        <v>530.07033533963886</v>
      </c>
      <c r="AI19">
        <v>473.75924333619946</v>
      </c>
      <c r="AJ19">
        <v>0</v>
      </c>
      <c r="AK19">
        <v>2.1671539122957864</v>
      </c>
      <c r="AL19">
        <v>20.710318142734309</v>
      </c>
      <c r="AM19">
        <v>0</v>
      </c>
      <c r="AN19">
        <v>33.43361994840923</v>
      </c>
      <c r="AO19">
        <v>13.095270851246775</v>
      </c>
      <c r="AP19">
        <v>1632.8632846087703</v>
      </c>
      <c r="AR19">
        <v>7482.2525365434212</v>
      </c>
      <c r="AS19">
        <v>6415.3684513362768</v>
      </c>
      <c r="AT19">
        <v>5318.7295819247875</v>
      </c>
      <c r="AU19">
        <v>3.6760899383575456</v>
      </c>
      <c r="AV19">
        <v>961.98749531816452</v>
      </c>
      <c r="AW19">
        <v>130.97528415496822</v>
      </c>
      <c r="AX19">
        <v>1066.8840852071432</v>
      </c>
      <c r="AZ19">
        <v>1</v>
      </c>
      <c r="BA19">
        <v>0.85741137712253535</v>
      </c>
      <c r="BB19">
        <v>0.71084603947114078</v>
      </c>
      <c r="BC19">
        <v>4.9130792103092933E-4</v>
      </c>
      <c r="BD19">
        <v>0.12856923641908699</v>
      </c>
      <c r="BE19">
        <v>1.7504793311276679E-2</v>
      </c>
      <c r="BF19">
        <v>0.14258862287746468</v>
      </c>
      <c r="BJ19">
        <v>14411.121682319999</v>
      </c>
      <c r="BK19">
        <v>313.61621543999996</v>
      </c>
      <c r="BL19">
        <v>7337.120258160001</v>
      </c>
      <c r="BM19">
        <v>304.77307571999995</v>
      </c>
      <c r="BN19">
        <v>7032.3471824400012</v>
      </c>
      <c r="BO19">
        <v>6760.3852087200012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14411.121682319999</v>
      </c>
      <c r="CA19">
        <v>14411.121682319999</v>
      </c>
      <c r="CB19">
        <v>12676.394995372408</v>
      </c>
      <c r="CC19">
        <v>0</v>
      </c>
      <c r="CD19">
        <v>1618.5951072723628</v>
      </c>
      <c r="CE19">
        <v>116.13157967522901</v>
      </c>
      <c r="CF19">
        <v>0</v>
      </c>
      <c r="CH19">
        <v>1</v>
      </c>
      <c r="CI19">
        <v>1</v>
      </c>
      <c r="CJ19">
        <v>0.87962583862741184</v>
      </c>
      <c r="CK19">
        <v>0</v>
      </c>
      <c r="CL19">
        <v>0.11231569221000363</v>
      </c>
      <c r="CM19">
        <v>8.0584691625845296E-3</v>
      </c>
      <c r="CN19">
        <v>0</v>
      </c>
      <c r="CR19">
        <v>17768.205711032693</v>
      </c>
      <c r="CS19">
        <v>15234.661727693039</v>
      </c>
      <c r="CT19">
        <v>12630.458658196096</v>
      </c>
      <c r="CU19">
        <v>8.7296602083373589</v>
      </c>
      <c r="CV19">
        <v>2284.4446408047338</v>
      </c>
      <c r="CW19">
        <v>311.02876848387319</v>
      </c>
      <c r="CX19">
        <v>2533.5439833396549</v>
      </c>
      <c r="CZ19">
        <v>9851.8645639693386</v>
      </c>
      <c r="DA19">
        <v>8091.4538577353196</v>
      </c>
      <c r="DB19">
        <v>32.108500531248168</v>
      </c>
      <c r="DC19">
        <v>1503.4050593644697</v>
      </c>
      <c r="DD19">
        <v>224.89714633830263</v>
      </c>
      <c r="DF19">
        <v>2942.5867964543872</v>
      </c>
      <c r="DG19">
        <v>2942.5867964543872</v>
      </c>
      <c r="DH19">
        <v>2588.3753785651397</v>
      </c>
      <c r="DI19">
        <v>0</v>
      </c>
      <c r="DJ19">
        <v>330.49867293179159</v>
      </c>
      <c r="DK19">
        <v>23.712744957456081</v>
      </c>
      <c r="DL19">
        <v>0</v>
      </c>
      <c r="DN19">
        <v>0.64667432333341279</v>
      </c>
      <c r="DO19">
        <v>0.6406302476184943</v>
      </c>
      <c r="DP19">
        <v>3.678092819762055</v>
      </c>
      <c r="DQ19">
        <v>0.65810527097512417</v>
      </c>
      <c r="DR19">
        <v>0.72307506291001999</v>
      </c>
      <c r="DV19">
        <v>143.02807711182581</v>
      </c>
      <c r="DW19">
        <v>122.63390056363876</v>
      </c>
      <c r="DX19">
        <v>101.67094214811432</v>
      </c>
      <c r="DY19">
        <v>7.0270827214862594E-2</v>
      </c>
      <c r="DZ19">
        <v>18.389010660757737</v>
      </c>
      <c r="EA19">
        <v>2.5036769275518536</v>
      </c>
      <c r="EB19">
        <v>20.394176548187069</v>
      </c>
      <c r="ED19">
        <v>79.304194664728129</v>
      </c>
      <c r="EE19">
        <v>65.133480843952071</v>
      </c>
      <c r="EF19">
        <v>0.25846262501772616</v>
      </c>
      <c r="EG19">
        <v>12.101904843862416</v>
      </c>
      <c r="EH19">
        <v>1.8103463518959224</v>
      </c>
      <c r="EJ19">
        <v>23.686833554059373</v>
      </c>
      <c r="EK19">
        <v>23.686833554059373</v>
      </c>
      <c r="EL19">
        <v>20.835550829417393</v>
      </c>
      <c r="EM19">
        <v>0</v>
      </c>
      <c r="EN19">
        <v>2.6604031068873191</v>
      </c>
      <c r="EO19">
        <v>0.19087961775465995</v>
      </c>
      <c r="EP19">
        <v>0</v>
      </c>
      <c r="ET19">
        <v>7782.8317908135677</v>
      </c>
      <c r="EU19">
        <v>6673.0885236745107</v>
      </c>
      <c r="EV19">
        <v>5532.3951543699113</v>
      </c>
      <c r="EW19">
        <v>3.8237669068780393</v>
      </c>
      <c r="EX19">
        <v>1000.6327405230958</v>
      </c>
      <c r="EY19">
        <v>136.23686187462485</v>
      </c>
      <c r="EZ19">
        <v>1109.7432671390593</v>
      </c>
      <c r="FB19">
        <v>4315.3150055911765</v>
      </c>
      <c r="FC19">
        <v>3544.2196776673545</v>
      </c>
      <c r="FD19">
        <v>14.06416960463188</v>
      </c>
      <c r="FE19">
        <v>658.52168084853304</v>
      </c>
      <c r="FF19">
        <v>98.509477470658084</v>
      </c>
      <c r="FH19">
        <v>1288.9122536696707</v>
      </c>
      <c r="FI19">
        <v>1288.9122536696707</v>
      </c>
      <c r="FJ19">
        <v>1133.7605220513317</v>
      </c>
      <c r="FK19">
        <v>0</v>
      </c>
      <c r="FL19">
        <v>144.76507196886485</v>
      </c>
      <c r="FM19">
        <v>10.386659649474367</v>
      </c>
      <c r="FN19">
        <v>0</v>
      </c>
    </row>
    <row r="20" spans="1:170" x14ac:dyDescent="0.25">
      <c r="A20">
        <v>2015</v>
      </c>
      <c r="C20">
        <v>213930.1</v>
      </c>
      <c r="D20">
        <v>11237274</v>
      </c>
      <c r="F20">
        <v>4932956</v>
      </c>
      <c r="G20">
        <v>612615.21783448022</v>
      </c>
      <c r="H20">
        <v>146828</v>
      </c>
      <c r="I20">
        <v>18079.058045844413</v>
      </c>
      <c r="K20">
        <v>2632.63</v>
      </c>
      <c r="L20">
        <v>2633.7271428571426</v>
      </c>
      <c r="M20">
        <v>0.99958342576978121</v>
      </c>
      <c r="Q20">
        <v>2.2780000470306243</v>
      </c>
      <c r="R20">
        <v>54.516354930428875</v>
      </c>
      <c r="S20">
        <v>124.18825909545517</v>
      </c>
      <c r="T20">
        <v>54.052176632537467</v>
      </c>
      <c r="U20">
        <v>123.13086091102797</v>
      </c>
      <c r="V20">
        <v>19037.544158841371</v>
      </c>
      <c r="W20">
        <v>43367.526489188225</v>
      </c>
      <c r="X20">
        <v>1.2677797318104027</v>
      </c>
      <c r="AB20">
        <v>8252.5482373172836</v>
      </c>
      <c r="AC20">
        <v>75.706534823731715</v>
      </c>
      <c r="AD20">
        <v>2789.791745485813</v>
      </c>
      <c r="AE20">
        <v>118.65864144454</v>
      </c>
      <c r="AF20">
        <v>2671.1331040412729</v>
      </c>
      <c r="AG20">
        <v>3167.399914015477</v>
      </c>
      <c r="AH20">
        <v>627.03422184006877</v>
      </c>
      <c r="AI20">
        <v>560.54978503869302</v>
      </c>
      <c r="AJ20">
        <v>0</v>
      </c>
      <c r="AK20">
        <v>2.2181427343078246</v>
      </c>
      <c r="AL20">
        <v>22.635425623387789</v>
      </c>
      <c r="AM20">
        <v>0</v>
      </c>
      <c r="AN20">
        <v>41.630868443680193</v>
      </c>
      <c r="AO20">
        <v>12.406620808254512</v>
      </c>
      <c r="AP20">
        <v>1621.8400687876183</v>
      </c>
      <c r="AR20">
        <v>8252.5482373172872</v>
      </c>
      <c r="AS20">
        <v>7192.1386533819523</v>
      </c>
      <c r="AT20">
        <v>6097.6647559391804</v>
      </c>
      <c r="AU20">
        <v>5.616801753751961</v>
      </c>
      <c r="AV20">
        <v>951.82909254782282</v>
      </c>
      <c r="AW20">
        <v>137.02800314119671</v>
      </c>
      <c r="AX20">
        <v>1060.4095839353347</v>
      </c>
      <c r="AZ20">
        <v>1</v>
      </c>
      <c r="BA20">
        <v>0.87150519409989546</v>
      </c>
      <c r="BB20">
        <v>0.73888265546465803</v>
      </c>
      <c r="BC20">
        <v>6.8061422874855608E-4</v>
      </c>
      <c r="BD20">
        <v>0.11533759817891602</v>
      </c>
      <c r="BE20">
        <v>1.6604326227572755E-2</v>
      </c>
      <c r="BF20">
        <v>0.12849480590010456</v>
      </c>
      <c r="BJ20">
        <v>16341.5397192</v>
      </c>
      <c r="BK20">
        <v>311.38195703999997</v>
      </c>
      <c r="BL20">
        <v>8590.5853146000009</v>
      </c>
      <c r="BM20">
        <v>313.4808000000001</v>
      </c>
      <c r="BN20">
        <v>8277.1045146000015</v>
      </c>
      <c r="BO20">
        <v>7439.57244756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16341.539719200007</v>
      </c>
      <c r="CA20">
        <v>16341.539719200007</v>
      </c>
      <c r="CB20">
        <v>14628.547779949204</v>
      </c>
      <c r="CC20">
        <v>0</v>
      </c>
      <c r="CD20">
        <v>1595.7184905406821</v>
      </c>
      <c r="CE20">
        <v>117.2734487101222</v>
      </c>
      <c r="CF20">
        <v>0</v>
      </c>
      <c r="CH20">
        <v>1</v>
      </c>
      <c r="CI20">
        <v>1</v>
      </c>
      <c r="CJ20">
        <v>0.8951756096007174</v>
      </c>
      <c r="CK20">
        <v>0</v>
      </c>
      <c r="CL20">
        <v>9.7647988987588474E-2</v>
      </c>
      <c r="CM20">
        <v>7.1764014116941039E-3</v>
      </c>
      <c r="CN20">
        <v>0</v>
      </c>
      <c r="CR20">
        <v>19456.313009886981</v>
      </c>
      <c r="CS20">
        <v>16956.277846149875</v>
      </c>
      <c r="CT20">
        <v>14375.932222296866</v>
      </c>
      <c r="CU20">
        <v>13.242243473514726</v>
      </c>
      <c r="CV20">
        <v>2244.0444119775607</v>
      </c>
      <c r="CW20">
        <v>323.05896840193145</v>
      </c>
      <c r="CX20">
        <v>2500.0351637371068</v>
      </c>
      <c r="CZ20">
        <v>11071.308624081612</v>
      </c>
      <c r="DA20">
        <v>9292.4370858252623</v>
      </c>
      <c r="DB20">
        <v>50.332211850869619</v>
      </c>
      <c r="DC20">
        <v>1493.4460987092641</v>
      </c>
      <c r="DD20">
        <v>235.09322769621656</v>
      </c>
      <c r="DF20">
        <v>3312.7276463037597</v>
      </c>
      <c r="DG20">
        <v>3312.7276463037597</v>
      </c>
      <c r="DH20">
        <v>2965.4729902211175</v>
      </c>
      <c r="DI20">
        <v>0</v>
      </c>
      <c r="DJ20">
        <v>323.48119272514941</v>
      </c>
      <c r="DK20">
        <v>23.773463357492385</v>
      </c>
      <c r="DL20">
        <v>0</v>
      </c>
      <c r="DN20">
        <v>0.65293272052601359</v>
      </c>
      <c r="DO20">
        <v>0.64638848751754863</v>
      </c>
      <c r="DP20">
        <v>3.8008825280653569</v>
      </c>
      <c r="DQ20">
        <v>0.66551539298331752</v>
      </c>
      <c r="DR20">
        <v>0.72770995604655997</v>
      </c>
      <c r="DV20">
        <v>156.66789398289433</v>
      </c>
      <c r="DW20">
        <v>136.53688335478415</v>
      </c>
      <c r="DX20">
        <v>115.75918953213647</v>
      </c>
      <c r="DY20">
        <v>0.10663039783282816</v>
      </c>
      <c r="DZ20">
        <v>18.069698603736079</v>
      </c>
      <c r="EA20">
        <v>2.6013648210787603</v>
      </c>
      <c r="EB20">
        <v>20.131010628110165</v>
      </c>
      <c r="ED20">
        <v>89.149398700982204</v>
      </c>
      <c r="EE20">
        <v>74.825407437934942</v>
      </c>
      <c r="EF20">
        <v>0.40528961608345465</v>
      </c>
      <c r="EG20">
        <v>12.02566256735552</v>
      </c>
      <c r="EH20">
        <v>1.8930390796082921</v>
      </c>
      <c r="EJ20">
        <v>26.675046984574351</v>
      </c>
      <c r="EK20">
        <v>26.675046984574351</v>
      </c>
      <c r="EL20">
        <v>23.878851445544122</v>
      </c>
      <c r="EM20">
        <v>0</v>
      </c>
      <c r="EN20">
        <v>2.6047646941931215</v>
      </c>
      <c r="EO20">
        <v>0.19143084483710593</v>
      </c>
      <c r="EP20">
        <v>0</v>
      </c>
      <c r="ET20">
        <v>8540.9625145742666</v>
      </c>
      <c r="EU20">
        <v>7443.4931940639772</v>
      </c>
      <c r="EV20">
        <v>6310.7690629927383</v>
      </c>
      <c r="EW20">
        <v>5.8131006146272934</v>
      </c>
      <c r="EX20">
        <v>985.09410256715103</v>
      </c>
      <c r="EY20">
        <v>141.81692788946128</v>
      </c>
      <c r="EZ20">
        <v>1097.4693205102894</v>
      </c>
      <c r="FB20">
        <v>4860.1002614170602</v>
      </c>
      <c r="FC20">
        <v>4079.2084697004134</v>
      </c>
      <c r="FD20">
        <v>22.094912560022863</v>
      </c>
      <c r="FE20">
        <v>655.59528879552602</v>
      </c>
      <c r="FF20">
        <v>103.20159036109804</v>
      </c>
      <c r="FH20">
        <v>1454.2263291969216</v>
      </c>
      <c r="FI20">
        <v>1454.2263291969216</v>
      </c>
      <c r="FJ20">
        <v>1301.7879407362675</v>
      </c>
      <c r="FK20">
        <v>0</v>
      </c>
      <c r="FL20">
        <v>142.00227657888223</v>
      </c>
      <c r="FM20">
        <v>10.436111881771522</v>
      </c>
      <c r="FN20">
        <v>0</v>
      </c>
    </row>
    <row r="21" spans="1:170" x14ac:dyDescent="0.25">
      <c r="A21">
        <v>2016</v>
      </c>
      <c r="C21">
        <v>217288.10220344161</v>
      </c>
      <c r="D21">
        <v>11311117</v>
      </c>
      <c r="F21">
        <v>4950161</v>
      </c>
      <c r="G21">
        <v>614555.1149621756</v>
      </c>
      <c r="H21">
        <v>129318</v>
      </c>
      <c r="I21">
        <v>15906.597108162809</v>
      </c>
      <c r="K21">
        <v>2695.22</v>
      </c>
      <c r="L21">
        <v>2633.7271428571426</v>
      </c>
      <c r="M21">
        <v>1.0233482262236733</v>
      </c>
      <c r="Q21">
        <v>2.2849998212179363</v>
      </c>
      <c r="R21">
        <v>54.331956336600143</v>
      </c>
      <c r="S21">
        <v>124.14851051555205</v>
      </c>
      <c r="T21">
        <v>53.830960804949257</v>
      </c>
      <c r="U21">
        <v>123.0037358152988</v>
      </c>
      <c r="V21">
        <v>19210.13655887757</v>
      </c>
      <c r="W21">
        <v>43895.158602607386</v>
      </c>
      <c r="X21">
        <v>1.2611778671733023</v>
      </c>
      <c r="AB21">
        <v>8286.5793637145307</v>
      </c>
      <c r="AC21">
        <v>73.260791057609623</v>
      </c>
      <c r="AD21">
        <v>2566.8888220120375</v>
      </c>
      <c r="AE21">
        <v>129.64557179707651</v>
      </c>
      <c r="AF21">
        <v>2437.2432502149609</v>
      </c>
      <c r="AG21">
        <v>3353.1250214961301</v>
      </c>
      <c r="AH21">
        <v>708.82441960447113</v>
      </c>
      <c r="AI21">
        <v>631.21719690455711</v>
      </c>
      <c r="AJ21">
        <v>0</v>
      </c>
      <c r="AK21">
        <v>2.2847807394668957</v>
      </c>
      <c r="AL21">
        <v>21.59647463456578</v>
      </c>
      <c r="AM21">
        <v>0</v>
      </c>
      <c r="AN21">
        <v>53.725967325881363</v>
      </c>
      <c r="AO21">
        <v>12.00679277730009</v>
      </c>
      <c r="AP21">
        <v>1626.1994840928633</v>
      </c>
      <c r="AR21">
        <v>8286.5793637145289</v>
      </c>
      <c r="AS21">
        <v>7241.9276010318108</v>
      </c>
      <c r="AT21">
        <v>6129.9019917870091</v>
      </c>
      <c r="AU21">
        <v>5.1590713671539117</v>
      </c>
      <c r="AV21">
        <v>967.08087015710385</v>
      </c>
      <c r="AW21">
        <v>139.78566772054376</v>
      </c>
      <c r="AX21">
        <v>1044.6517626827174</v>
      </c>
      <c r="AZ21">
        <v>1</v>
      </c>
      <c r="BA21">
        <v>0.8739345009767161</v>
      </c>
      <c r="BB21">
        <v>0.73973852451456268</v>
      </c>
      <c r="BC21">
        <v>6.2258154308454173E-4</v>
      </c>
      <c r="BD21">
        <v>0.11670447210000554</v>
      </c>
      <c r="BE21">
        <v>1.6868922819063385E-2</v>
      </c>
      <c r="BF21">
        <v>0.12606549902328376</v>
      </c>
      <c r="BJ21">
        <v>16073.818051919998</v>
      </c>
      <c r="BK21">
        <v>301.25517575999999</v>
      </c>
      <c r="BL21">
        <v>7896.7602619199979</v>
      </c>
      <c r="BM21">
        <v>342.50685048000003</v>
      </c>
      <c r="BN21">
        <v>7554.2534114399987</v>
      </c>
      <c r="BO21">
        <v>7875.8026142400004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16073.818051919992</v>
      </c>
      <c r="CA21">
        <v>16073.818051919992</v>
      </c>
      <c r="CB21">
        <v>14334.037042597984</v>
      </c>
      <c r="CC21">
        <v>0</v>
      </c>
      <c r="CD21">
        <v>1616.4120293220078</v>
      </c>
      <c r="CE21">
        <v>123.36897999999984</v>
      </c>
      <c r="CF21">
        <v>0</v>
      </c>
      <c r="CH21">
        <v>1</v>
      </c>
      <c r="CI21">
        <v>1</v>
      </c>
      <c r="CJ21">
        <v>0.89176305195801364</v>
      </c>
      <c r="CK21">
        <v>0</v>
      </c>
      <c r="CL21">
        <v>0.10056179708522518</v>
      </c>
      <c r="CM21">
        <v>7.6751509567612409E-3</v>
      </c>
      <c r="CN21">
        <v>0</v>
      </c>
      <c r="CR21">
        <v>19468.643141101868</v>
      </c>
      <c r="CS21">
        <v>17014.31892821263</v>
      </c>
      <c r="CT21">
        <v>14401.70535149926</v>
      </c>
      <c r="CU21">
        <v>12.120817888549482</v>
      </c>
      <c r="CV21">
        <v>2272.0777202856875</v>
      </c>
      <c r="CW21">
        <v>328.41503853913514</v>
      </c>
      <c r="CX21">
        <v>2454.324212889238</v>
      </c>
      <c r="CZ21">
        <v>11344.777013954214</v>
      </c>
      <c r="DA21">
        <v>9521.8842297878</v>
      </c>
      <c r="DB21">
        <v>47.607988941210131</v>
      </c>
      <c r="DC21">
        <v>1535.8050315299793</v>
      </c>
      <c r="DD21">
        <v>239.47976369522365</v>
      </c>
      <c r="DF21">
        <v>3247.1303563500242</v>
      </c>
      <c r="DG21">
        <v>3247.1303563500242</v>
      </c>
      <c r="DH21">
        <v>2895.6708766842103</v>
      </c>
      <c r="DI21">
        <v>0</v>
      </c>
      <c r="DJ21">
        <v>326.5372640045461</v>
      </c>
      <c r="DK21">
        <v>24.922215661268357</v>
      </c>
      <c r="DL21">
        <v>0</v>
      </c>
      <c r="DN21">
        <v>0.66677820380706787</v>
      </c>
      <c r="DO21">
        <v>0.66116366064915666</v>
      </c>
      <c r="DP21">
        <v>3.9277868357534951</v>
      </c>
      <c r="DQ21">
        <v>0.67594740171866552</v>
      </c>
      <c r="DR21">
        <v>0.72919853110406929</v>
      </c>
      <c r="DV21">
        <v>156.81737187384971</v>
      </c>
      <c r="DW21">
        <v>137.048111633053</v>
      </c>
      <c r="DX21">
        <v>116.00385128821308</v>
      </c>
      <c r="DY21">
        <v>9.7631601363683804E-2</v>
      </c>
      <c r="DZ21">
        <v>18.30128860064789</v>
      </c>
      <c r="EA21">
        <v>2.6453401428283323</v>
      </c>
      <c r="EB21">
        <v>19.769260240796733</v>
      </c>
      <c r="ED21">
        <v>91.380693709837601</v>
      </c>
      <c r="EE21">
        <v>76.697530967115355</v>
      </c>
      <c r="EF21">
        <v>0.38347611858981018</v>
      </c>
      <c r="EG21">
        <v>12.370708477711371</v>
      </c>
      <c r="EH21">
        <v>1.9289781464210487</v>
      </c>
      <c r="EJ21">
        <v>26.155209940623951</v>
      </c>
      <c r="EK21">
        <v>26.155209940623951</v>
      </c>
      <c r="EL21">
        <v>23.324249841253391</v>
      </c>
      <c r="EM21">
        <v>0</v>
      </c>
      <c r="EN21">
        <v>2.630214914770491</v>
      </c>
      <c r="EO21">
        <v>0.20074518460007104</v>
      </c>
      <c r="EP21">
        <v>0</v>
      </c>
      <c r="ET21">
        <v>8520.1946014703899</v>
      </c>
      <c r="EU21">
        <v>7446.0920172605356</v>
      </c>
      <c r="EV21">
        <v>6302.71618306865</v>
      </c>
      <c r="EW21">
        <v>5.3045159023640185</v>
      </c>
      <c r="EX21">
        <v>994.34481315391918</v>
      </c>
      <c r="EY21">
        <v>143.72650513560453</v>
      </c>
      <c r="EZ21">
        <v>1074.1025842098531</v>
      </c>
      <c r="FB21">
        <v>4964.8918606511279</v>
      </c>
      <c r="FC21">
        <v>4167.1269036303493</v>
      </c>
      <c r="FD21">
        <v>20.835007731350466</v>
      </c>
      <c r="FE21">
        <v>672.12479286382359</v>
      </c>
      <c r="FF21">
        <v>104.8051564256043</v>
      </c>
      <c r="FH21">
        <v>1421.0637244685906</v>
      </c>
      <c r="FI21">
        <v>1421.0637244685906</v>
      </c>
      <c r="FJ21">
        <v>1267.2521239589323</v>
      </c>
      <c r="FK21">
        <v>0</v>
      </c>
      <c r="FL21">
        <v>142.90472190518477</v>
      </c>
      <c r="FM21">
        <v>10.906878604473794</v>
      </c>
      <c r="FN21">
        <v>0</v>
      </c>
    </row>
    <row r="22" spans="1:170" x14ac:dyDescent="0.25">
      <c r="A22">
        <v>2017</v>
      </c>
      <c r="C22">
        <v>221400.83311587269</v>
      </c>
      <c r="D22">
        <v>11351727</v>
      </c>
      <c r="F22">
        <v>4965760</v>
      </c>
      <c r="G22">
        <v>616283.20787902991</v>
      </c>
      <c r="H22">
        <v>128103</v>
      </c>
      <c r="I22">
        <v>15743.502500065088</v>
      </c>
      <c r="K22">
        <v>2584.09</v>
      </c>
      <c r="L22">
        <v>2633.7271428571426</v>
      </c>
      <c r="M22">
        <v>0.98115327056875956</v>
      </c>
      <c r="Q22">
        <v>2.2859999275035441</v>
      </c>
      <c r="R22">
        <v>54.289819326964952</v>
      </c>
      <c r="S22">
        <v>124.1065230456224</v>
      </c>
      <c r="T22">
        <v>53.760815101911909</v>
      </c>
      <c r="U22">
        <v>122.89721942550206</v>
      </c>
      <c r="V22">
        <v>19503.713674216502</v>
      </c>
      <c r="W22">
        <v>44585.488045308812</v>
      </c>
      <c r="X22">
        <v>1.2588741315799119</v>
      </c>
      <c r="AB22">
        <v>8148.8490111779874</v>
      </c>
      <c r="AC22">
        <v>70.273430782459144</v>
      </c>
      <c r="AD22">
        <v>2563.0887360275146</v>
      </c>
      <c r="AE22">
        <v>133.93043852106621</v>
      </c>
      <c r="AF22">
        <v>2429.1582975064484</v>
      </c>
      <c r="AG22">
        <v>3279.6029234737739</v>
      </c>
      <c r="AH22">
        <v>684.27317282889089</v>
      </c>
      <c r="AI22">
        <v>596.11994840928639</v>
      </c>
      <c r="AJ22">
        <v>0</v>
      </c>
      <c r="AK22">
        <v>2.4528804815133274</v>
      </c>
      <c r="AL22">
        <v>22.468271711092001</v>
      </c>
      <c r="AM22">
        <v>0</v>
      </c>
      <c r="AN22">
        <v>63.23207222699925</v>
      </c>
      <c r="AO22">
        <v>11.97093723129837</v>
      </c>
      <c r="AP22">
        <v>1602.8718830610492</v>
      </c>
      <c r="AR22">
        <v>8148.8490111779902</v>
      </c>
      <c r="AS22">
        <v>7125.6073946689621</v>
      </c>
      <c r="AT22">
        <v>6036.9279508657955</v>
      </c>
      <c r="AU22">
        <v>5.1590713671539161</v>
      </c>
      <c r="AV22">
        <v>945.80252537197794</v>
      </c>
      <c r="AW22">
        <v>137.71784706403454</v>
      </c>
      <c r="AX22">
        <v>1023.2416165090284</v>
      </c>
      <c r="AZ22">
        <v>1</v>
      </c>
      <c r="BA22">
        <v>0.87443114787064768</v>
      </c>
      <c r="BB22">
        <v>0.7408319803919281</v>
      </c>
      <c r="BC22">
        <v>6.331043022244101E-4</v>
      </c>
      <c r="BD22">
        <v>0.11606578107835791</v>
      </c>
      <c r="BE22">
        <v>1.6900282098137216E-2</v>
      </c>
      <c r="BF22">
        <v>0.1255688521293524</v>
      </c>
      <c r="BJ22">
        <v>15874.18215732</v>
      </c>
      <c r="BK22">
        <v>289.02432239999996</v>
      </c>
      <c r="BL22">
        <v>7882.043542200001</v>
      </c>
      <c r="BM22">
        <v>353.82691476000008</v>
      </c>
      <c r="BN22">
        <v>7528.2166274399997</v>
      </c>
      <c r="BO22">
        <v>7703.114292719999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15874.182157320009</v>
      </c>
      <c r="CA22">
        <v>15874.182157320009</v>
      </c>
      <c r="CB22">
        <v>14201.713305032201</v>
      </c>
      <c r="CC22">
        <v>0</v>
      </c>
      <c r="CD22">
        <v>1557.5745612878061</v>
      </c>
      <c r="CE22">
        <v>114.89429099999975</v>
      </c>
      <c r="CF22">
        <v>0</v>
      </c>
      <c r="CH22">
        <v>1</v>
      </c>
      <c r="CI22">
        <v>1</v>
      </c>
      <c r="CJ22">
        <v>0.89464220356595903</v>
      </c>
      <c r="CK22">
        <v>0</v>
      </c>
      <c r="CL22">
        <v>9.8119987905617351E-2</v>
      </c>
      <c r="CM22">
        <v>7.2378085284235541E-3</v>
      </c>
      <c r="CN22">
        <v>0</v>
      </c>
      <c r="CR22">
        <v>19084.916306869447</v>
      </c>
      <c r="CS22">
        <v>16688.445273231093</v>
      </c>
      <c r="CT22">
        <v>14138.716343232294</v>
      </c>
      <c r="CU22">
        <v>12.082742621471848</v>
      </c>
      <c r="CV22">
        <v>2215.1057179718923</v>
      </c>
      <c r="CW22">
        <v>322.5404694054327</v>
      </c>
      <c r="CX22">
        <v>2396.4710336383559</v>
      </c>
      <c r="CZ22">
        <v>11347.80925979054</v>
      </c>
      <c r="DA22">
        <v>9534.3115723774154</v>
      </c>
      <c r="DB22">
        <v>48.938689592465757</v>
      </c>
      <c r="DC22">
        <v>1526.4697931315209</v>
      </c>
      <c r="DD22">
        <v>238.08920468913783</v>
      </c>
      <c r="DF22">
        <v>3196.7276222209707</v>
      </c>
      <c r="DG22">
        <v>3196.7276222209707</v>
      </c>
      <c r="DH22">
        <v>2859.9274441439379</v>
      </c>
      <c r="DI22">
        <v>0</v>
      </c>
      <c r="DJ22">
        <v>313.66287562987452</v>
      </c>
      <c r="DK22">
        <v>23.137302447158088</v>
      </c>
      <c r="DL22">
        <v>0</v>
      </c>
      <c r="DN22">
        <v>0.67998001455491253</v>
      </c>
      <c r="DO22">
        <v>0.67434067852568202</v>
      </c>
      <c r="DP22">
        <v>4.0502964538447097</v>
      </c>
      <c r="DQ22">
        <v>0.68911825776384472</v>
      </c>
      <c r="DR22">
        <v>0.73816846961259985</v>
      </c>
      <c r="DV22">
        <v>153.7785108994932</v>
      </c>
      <c r="DW22">
        <v>134.46871980368277</v>
      </c>
      <c r="DX22">
        <v>113.92403877139324</v>
      </c>
      <c r="DY22">
        <v>9.7357836840132495E-2</v>
      </c>
      <c r="DZ22">
        <v>17.848422980616455</v>
      </c>
      <c r="EA22">
        <v>2.5989002148329035</v>
      </c>
      <c r="EB22">
        <v>19.309791095810468</v>
      </c>
      <c r="ED22">
        <v>91.436042049288645</v>
      </c>
      <c r="EE22">
        <v>76.823613605487424</v>
      </c>
      <c r="EF22">
        <v>0.3943281013075805</v>
      </c>
      <c r="EG22">
        <v>12.29967414823458</v>
      </c>
      <c r="EH22">
        <v>1.9184261942590612</v>
      </c>
      <c r="EJ22">
        <v>25.757933940715041</v>
      </c>
      <c r="EK22">
        <v>25.757933940715041</v>
      </c>
      <c r="EL22">
        <v>23.044134780027711</v>
      </c>
      <c r="EM22">
        <v>0</v>
      </c>
      <c r="EN22">
        <v>2.5273681667366503</v>
      </c>
      <c r="EO22">
        <v>0.18643099395067783</v>
      </c>
      <c r="EP22">
        <v>0</v>
      </c>
      <c r="ET22">
        <v>8348.607573103196</v>
      </c>
      <c r="EU22">
        <v>7300.2825032702094</v>
      </c>
      <c r="EV22">
        <v>6184.9154818970892</v>
      </c>
      <c r="EW22">
        <v>5.2855393721149255</v>
      </c>
      <c r="EX22">
        <v>968.9876588889166</v>
      </c>
      <c r="EY22">
        <v>141.09382311208873</v>
      </c>
      <c r="EZ22">
        <v>1048.3250698329869</v>
      </c>
      <c r="FB22">
        <v>4964.0462028286511</v>
      </c>
      <c r="FC22">
        <v>4170.7401026864791</v>
      </c>
      <c r="FD22">
        <v>21.408001375533676</v>
      </c>
      <c r="FE22">
        <v>667.74708728819689</v>
      </c>
      <c r="FF22">
        <v>104.15101147844142</v>
      </c>
      <c r="FH22">
        <v>1398.3935798773182</v>
      </c>
      <c r="FI22">
        <v>1398.3935798773182</v>
      </c>
      <c r="FJ22">
        <v>1251.0619137539338</v>
      </c>
      <c r="FK22">
        <v>0</v>
      </c>
      <c r="FL22">
        <v>137.2103611448554</v>
      </c>
      <c r="FM22">
        <v>10.121304978528796</v>
      </c>
      <c r="FN22">
        <v>0</v>
      </c>
    </row>
    <row r="23" spans="1:170" x14ac:dyDescent="0.25">
      <c r="A23">
        <v>2018</v>
      </c>
      <c r="C23">
        <v>225705.90687714377</v>
      </c>
      <c r="D23">
        <v>11398589</v>
      </c>
      <c r="F23">
        <v>4999381</v>
      </c>
      <c r="G23">
        <v>620212.17155045248</v>
      </c>
      <c r="H23">
        <v>146479</v>
      </c>
      <c r="I23">
        <v>17988.473508779582</v>
      </c>
      <c r="K23">
        <v>2511.15</v>
      </c>
      <c r="L23">
        <v>2633.7271428571426</v>
      </c>
      <c r="M23">
        <v>0.95345867806026119</v>
      </c>
      <c r="Q23">
        <v>2.2800000640079241</v>
      </c>
      <c r="R23">
        <v>54.411311044766371</v>
      </c>
      <c r="S23">
        <v>124.0577926648224</v>
      </c>
      <c r="T23">
        <v>53.862199646417999</v>
      </c>
      <c r="U23">
        <v>122.80581864144062</v>
      </c>
      <c r="V23">
        <v>19801.214595696343</v>
      </c>
      <c r="W23">
        <v>45146.770545622305</v>
      </c>
      <c r="X23">
        <v>1.2570828166652381</v>
      </c>
      <c r="AB23">
        <v>8054.8770421324161</v>
      </c>
      <c r="AC23">
        <v>57.479191745485814</v>
      </c>
      <c r="AD23">
        <v>2504.171195184867</v>
      </c>
      <c r="AE23">
        <v>133.38108340498707</v>
      </c>
      <c r="AF23">
        <v>2370.7901117798797</v>
      </c>
      <c r="AG23">
        <v>3274.616852966466</v>
      </c>
      <c r="AH23">
        <v>682.64677558039546</v>
      </c>
      <c r="AI23">
        <v>579.29681857265689</v>
      </c>
      <c r="AJ23">
        <v>0</v>
      </c>
      <c r="AK23">
        <v>2.4710232158211518</v>
      </c>
      <c r="AL23">
        <v>24.469733447979369</v>
      </c>
      <c r="AM23">
        <v>0</v>
      </c>
      <c r="AN23">
        <v>76.409200343938068</v>
      </c>
      <c r="AO23">
        <v>12.71616509028375</v>
      </c>
      <c r="AP23">
        <v>1599.6560619088557</v>
      </c>
      <c r="AR23">
        <v>8054.877042132417</v>
      </c>
      <c r="AS23">
        <v>7037.4651762682724</v>
      </c>
      <c r="AT23">
        <v>5957.2729255867544</v>
      </c>
      <c r="AU23">
        <v>5.1590713671539161</v>
      </c>
      <c r="AV23">
        <v>939.40643933162164</v>
      </c>
      <c r="AW23">
        <v>135.62673998274263</v>
      </c>
      <c r="AX23">
        <v>1017.4118658641444</v>
      </c>
      <c r="AZ23">
        <v>1</v>
      </c>
      <c r="BA23">
        <v>0.87368995696118046</v>
      </c>
      <c r="BB23">
        <v>0.7395858303517503</v>
      </c>
      <c r="BC23">
        <v>6.4049039360483196E-4</v>
      </c>
      <c r="BD23">
        <v>0.11662579508264309</v>
      </c>
      <c r="BE23">
        <v>1.6837841133182256E-2</v>
      </c>
      <c r="BF23">
        <v>0.12631004303881946</v>
      </c>
      <c r="BJ23">
        <v>15625.619303760002</v>
      </c>
      <c r="BK23">
        <v>236.40200496000003</v>
      </c>
      <c r="BL23">
        <v>7697.8142625600003</v>
      </c>
      <c r="BM23">
        <v>352.37558952000006</v>
      </c>
      <c r="BN23">
        <v>7345.4386730400001</v>
      </c>
      <c r="BO23">
        <v>7691.4030362399999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15625.619303760006</v>
      </c>
      <c r="CA23">
        <v>15625.619303760006</v>
      </c>
      <c r="CB23">
        <v>13988.311019452292</v>
      </c>
      <c r="CC23">
        <v>0</v>
      </c>
      <c r="CD23">
        <v>1530.9745153077142</v>
      </c>
      <c r="CE23">
        <v>106.33376900000007</v>
      </c>
      <c r="CF23">
        <v>0</v>
      </c>
      <c r="CH23">
        <v>1</v>
      </c>
      <c r="CI23">
        <v>1</v>
      </c>
      <c r="CJ23">
        <v>0.89521642294755455</v>
      </c>
      <c r="CK23">
        <v>0</v>
      </c>
      <c r="CL23">
        <v>9.7978485559245293E-2</v>
      </c>
      <c r="CM23">
        <v>6.8050914932000738E-3</v>
      </c>
      <c r="CN23">
        <v>0</v>
      </c>
      <c r="CR23">
        <v>18737.96375991348</v>
      </c>
      <c r="CS23">
        <v>16371.170750938967</v>
      </c>
      <c r="CT23">
        <v>13858.332486476616</v>
      </c>
      <c r="CU23">
        <v>12.00148578394006</v>
      </c>
      <c r="CV23">
        <v>2185.3299217296617</v>
      </c>
      <c r="CW23">
        <v>315.50685694874966</v>
      </c>
      <c r="CX23">
        <v>2366.7930089745109</v>
      </c>
      <c r="CZ23">
        <v>11388.28571548583</v>
      </c>
      <c r="DA23">
        <v>9563.517671460666</v>
      </c>
      <c r="DB23">
        <v>50.261925476357661</v>
      </c>
      <c r="DC23">
        <v>1538.15323095503</v>
      </c>
      <c r="DD23">
        <v>236.35288759377727</v>
      </c>
      <c r="DF23">
        <v>3125.5107989889161</v>
      </c>
      <c r="DG23">
        <v>3125.5107989889161</v>
      </c>
      <c r="DH23">
        <v>2798.0085973548107</v>
      </c>
      <c r="DI23">
        <v>0</v>
      </c>
      <c r="DJ23">
        <v>306.23281468400074</v>
      </c>
      <c r="DK23">
        <v>21.269386950104437</v>
      </c>
      <c r="DL23">
        <v>0</v>
      </c>
      <c r="DN23">
        <v>0.6956305012476065</v>
      </c>
      <c r="DO23">
        <v>0.6900915157572558</v>
      </c>
      <c r="DP23">
        <v>4.1879752541653046</v>
      </c>
      <c r="DQ23">
        <v>0.703854011085704</v>
      </c>
      <c r="DR23">
        <v>0.7491212390105676</v>
      </c>
      <c r="DV23">
        <v>151.04221474050766</v>
      </c>
      <c r="DW23">
        <v>131.96406609595553</v>
      </c>
      <c r="DX23">
        <v>111.70868180702573</v>
      </c>
      <c r="DY23">
        <v>9.6741087570093282E-2</v>
      </c>
      <c r="DZ23">
        <v>17.615418385155017</v>
      </c>
      <c r="EA23">
        <v>2.5432248162046673</v>
      </c>
      <c r="EB23">
        <v>19.078148644552133</v>
      </c>
      <c r="ED23">
        <v>91.798229445001823</v>
      </c>
      <c r="EE23">
        <v>77.089213551455359</v>
      </c>
      <c r="EF23">
        <v>0.40514928080458945</v>
      </c>
      <c r="EG23">
        <v>12.398682887344211</v>
      </c>
      <c r="EH23">
        <v>1.9051837253976636</v>
      </c>
      <c r="EJ23">
        <v>25.193990090033097</v>
      </c>
      <c r="EK23">
        <v>25.193990090033097</v>
      </c>
      <c r="EL23">
        <v>22.554073688175567</v>
      </c>
      <c r="EM23">
        <v>0</v>
      </c>
      <c r="EN23">
        <v>2.4684689942160767</v>
      </c>
      <c r="EO23">
        <v>0.17144740764145117</v>
      </c>
      <c r="EP23">
        <v>0</v>
      </c>
      <c r="ET23">
        <v>8218.4049271361582</v>
      </c>
      <c r="EU23">
        <v>7180.337847079144</v>
      </c>
      <c r="EV23">
        <v>6078.2158322029109</v>
      </c>
      <c r="EW23">
        <v>5.2638094065853274</v>
      </c>
      <c r="EX23">
        <v>958.47800893836597</v>
      </c>
      <c r="EY23">
        <v>138.38019653128094</v>
      </c>
      <c r="EZ23">
        <v>1038.067080057014</v>
      </c>
      <c r="FB23">
        <v>4994.8620156908255</v>
      </c>
      <c r="FC23">
        <v>4194.5251767446562</v>
      </c>
      <c r="FD23">
        <v>22.04470353742191</v>
      </c>
      <c r="FE23">
        <v>674.62859112870808</v>
      </c>
      <c r="FF23">
        <v>103.66354428003903</v>
      </c>
      <c r="FH23">
        <v>1370.8380312475524</v>
      </c>
      <c r="FI23">
        <v>1370.8380312475524</v>
      </c>
      <c r="FJ23">
        <v>1227.1967187739019</v>
      </c>
      <c r="FK23">
        <v>0</v>
      </c>
      <c r="FL23">
        <v>134.31263424865256</v>
      </c>
      <c r="FM23">
        <v>9.3286782249978568</v>
      </c>
      <c r="FN23">
        <v>0</v>
      </c>
    </row>
    <row r="24" spans="1:170" x14ac:dyDescent="0.25">
      <c r="A24">
        <v>2019</v>
      </c>
      <c r="C24">
        <v>229537.21958010591</v>
      </c>
      <c r="D24">
        <v>11455519</v>
      </c>
      <c r="F24">
        <v>5042042</v>
      </c>
      <c r="G24">
        <v>625235.72268553451</v>
      </c>
      <c r="H24">
        <v>156283</v>
      </c>
      <c r="I24">
        <v>19178.237792121548</v>
      </c>
      <c r="K24">
        <v>2532.36</v>
      </c>
      <c r="L24">
        <v>2633.7271428571426</v>
      </c>
      <c r="M24">
        <v>0.96151190409680165</v>
      </c>
      <c r="Q24">
        <v>2.2719999159070867</v>
      </c>
      <c r="R24">
        <v>54.579432209534502</v>
      </c>
      <c r="S24">
        <v>124.00446539031894</v>
      </c>
      <c r="T24">
        <v>54.011799755667468</v>
      </c>
      <c r="U24">
        <v>122.7148045028669</v>
      </c>
      <c r="V24">
        <v>20037.260606010601</v>
      </c>
      <c r="W24">
        <v>45524.654411864467</v>
      </c>
      <c r="X24">
        <v>1.2532677771773628</v>
      </c>
      <c r="AB24">
        <v>7831.8039552880482</v>
      </c>
      <c r="AC24">
        <v>41.663628546861567</v>
      </c>
      <c r="AD24">
        <v>2347.1863284608767</v>
      </c>
      <c r="AE24">
        <v>127.4481513327601</v>
      </c>
      <c r="AF24">
        <v>2219.7381771281166</v>
      </c>
      <c r="AG24">
        <v>3247.0922613929488</v>
      </c>
      <c r="AH24">
        <v>691.49234737747202</v>
      </c>
      <c r="AI24">
        <v>573.61702493551161</v>
      </c>
      <c r="AJ24">
        <v>0</v>
      </c>
      <c r="AK24">
        <v>2.5318142734307822</v>
      </c>
      <c r="AL24">
        <v>24.347979363714529</v>
      </c>
      <c r="AM24">
        <v>0</v>
      </c>
      <c r="AN24">
        <v>90.995528804815166</v>
      </c>
      <c r="AO24">
        <v>12.6993981083405</v>
      </c>
      <c r="AP24">
        <v>1582.6655202063632</v>
      </c>
      <c r="AR24">
        <v>7831.8039552880482</v>
      </c>
      <c r="AS24">
        <v>6834.0395528804811</v>
      </c>
      <c r="AT24">
        <v>5758.4423668895133</v>
      </c>
      <c r="AU24">
        <v>5.1590713671539108</v>
      </c>
      <c r="AV24">
        <v>938.23911583414701</v>
      </c>
      <c r="AW24">
        <v>132.1989987896664</v>
      </c>
      <c r="AX24">
        <v>997.76440240756676</v>
      </c>
      <c r="AZ24">
        <v>1</v>
      </c>
      <c r="BA24">
        <v>0.87260094761004914</v>
      </c>
      <c r="BB24">
        <v>0.73526385488766011</v>
      </c>
      <c r="BC24">
        <v>6.5873346633893936E-4</v>
      </c>
      <c r="BD24">
        <v>0.1197985957246346</v>
      </c>
      <c r="BE24">
        <v>1.6879763531415442E-2</v>
      </c>
      <c r="BF24">
        <v>0.12739905238995092</v>
      </c>
      <c r="BJ24">
        <v>15017.376324959998</v>
      </c>
      <c r="BK24">
        <v>171.36031176</v>
      </c>
      <c r="BL24">
        <v>7219.2625945199998</v>
      </c>
      <c r="BM24">
        <v>336.70154952000007</v>
      </c>
      <c r="BN24">
        <v>6882.5610449999995</v>
      </c>
      <c r="BO24">
        <v>7626.7534186800003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15017.376324959994</v>
      </c>
      <c r="CA24">
        <v>15017.376324959994</v>
      </c>
      <c r="CB24">
        <v>13396.32636202882</v>
      </c>
      <c r="CC24">
        <v>0</v>
      </c>
      <c r="CD24">
        <v>1522.6356079311736</v>
      </c>
      <c r="CE24">
        <v>98.414355000000015</v>
      </c>
      <c r="CF24">
        <v>0</v>
      </c>
      <c r="CH24">
        <v>1</v>
      </c>
      <c r="CI24">
        <v>1</v>
      </c>
      <c r="CJ24">
        <v>0.89205504824189108</v>
      </c>
      <c r="CK24">
        <v>0</v>
      </c>
      <c r="CL24">
        <v>0.10139158631860615</v>
      </c>
      <c r="CM24">
        <v>6.5533654395027747E-3</v>
      </c>
      <c r="CN24">
        <v>0</v>
      </c>
      <c r="CR24">
        <v>18064.879269153247</v>
      </c>
      <c r="CS24">
        <v>15763.430768724258</v>
      </c>
      <c r="CT24">
        <v>13282.452769517797</v>
      </c>
      <c r="CU24">
        <v>11.899940539963763</v>
      </c>
      <c r="CV24">
        <v>2164.1471683796226</v>
      </c>
      <c r="CW24">
        <v>304.93089028687587</v>
      </c>
      <c r="CX24">
        <v>2301.4485004289927</v>
      </c>
      <c r="CZ24">
        <v>11239.257296441172</v>
      </c>
      <c r="DA24">
        <v>9400.3742983668199</v>
      </c>
      <c r="DB24">
        <v>51.620023268670693</v>
      </c>
      <c r="DC24">
        <v>1555.2937913419553</v>
      </c>
      <c r="DD24">
        <v>231.96918346372601</v>
      </c>
      <c r="DF24">
        <v>2978.4314222213925</v>
      </c>
      <c r="DG24">
        <v>2978.4314222213925</v>
      </c>
      <c r="DH24">
        <v>2656.9247860348678</v>
      </c>
      <c r="DI24">
        <v>0</v>
      </c>
      <c r="DJ24">
        <v>301.98788664020918</v>
      </c>
      <c r="DK24">
        <v>19.518749546314769</v>
      </c>
      <c r="DL24">
        <v>0</v>
      </c>
      <c r="DN24">
        <v>0.71299563282509792</v>
      </c>
      <c r="DO24">
        <v>0.70772879538784839</v>
      </c>
      <c r="DP24">
        <v>4.3378387560269163</v>
      </c>
      <c r="DQ24">
        <v>0.71866359832934168</v>
      </c>
      <c r="DR24">
        <v>0.76072707243759963</v>
      </c>
      <c r="DV24">
        <v>145.67926414820525</v>
      </c>
      <c r="DW24">
        <v>127.11986394285856</v>
      </c>
      <c r="DX24">
        <v>107.11269733480708</v>
      </c>
      <c r="DY24">
        <v>9.596380664605321E-2</v>
      </c>
      <c r="DZ24">
        <v>17.452171271153095</v>
      </c>
      <c r="EA24">
        <v>2.4590315302523118</v>
      </c>
      <c r="EB24">
        <v>18.559400205346694</v>
      </c>
      <c r="ED24">
        <v>90.635907836578795</v>
      </c>
      <c r="EE24">
        <v>75.806740255506227</v>
      </c>
      <c r="EF24">
        <v>0.41627551964512305</v>
      </c>
      <c r="EG24">
        <v>12.542240204386845</v>
      </c>
      <c r="EH24">
        <v>1.8706518570405923</v>
      </c>
      <c r="EJ24">
        <v>24.018743299657977</v>
      </c>
      <c r="EK24">
        <v>24.018743299657977</v>
      </c>
      <c r="EL24">
        <v>21.426041212885991</v>
      </c>
      <c r="EM24">
        <v>0</v>
      </c>
      <c r="EN24">
        <v>2.4352984845317147</v>
      </c>
      <c r="EO24">
        <v>0.15740360224026742</v>
      </c>
      <c r="EP24">
        <v>0</v>
      </c>
      <c r="ET24">
        <v>7951.0915219118388</v>
      </c>
      <c r="EU24">
        <v>6938.1299965544995</v>
      </c>
      <c r="EV24">
        <v>5846.1502029654912</v>
      </c>
      <c r="EW24">
        <v>5.237650079407139</v>
      </c>
      <c r="EX24">
        <v>952.52959880308606</v>
      </c>
      <c r="EY24">
        <v>134.21254470651397</v>
      </c>
      <c r="EZ24">
        <v>1012.9615253573407</v>
      </c>
      <c r="FB24">
        <v>4946.8563875161699</v>
      </c>
      <c r="FC24">
        <v>4137.488840801193</v>
      </c>
      <c r="FD24">
        <v>22.720081504959744</v>
      </c>
      <c r="FE24">
        <v>684.54834899103002</v>
      </c>
      <c r="FF24">
        <v>102.09911621898684</v>
      </c>
      <c r="FH24">
        <v>1310.9293716818936</v>
      </c>
      <c r="FI24">
        <v>1310.9293716818936</v>
      </c>
      <c r="FJ24">
        <v>1169.4211638974034</v>
      </c>
      <c r="FK24">
        <v>0</v>
      </c>
      <c r="FL24">
        <v>132.91720854648085</v>
      </c>
      <c r="FM24">
        <v>8.5909992380092088</v>
      </c>
      <c r="FN24">
        <v>0</v>
      </c>
    </row>
    <row r="25" spans="1:170" x14ac:dyDescent="0.25">
      <c r="A25">
        <v>2020</v>
      </c>
      <c r="C25">
        <v>210728.04920979007</v>
      </c>
      <c r="D25">
        <v>11522440</v>
      </c>
      <c r="F25">
        <v>5073730</v>
      </c>
      <c r="G25">
        <v>628893.36199999985</v>
      </c>
      <c r="H25">
        <v>146280</v>
      </c>
      <c r="I25">
        <v>17933.165650944862</v>
      </c>
      <c r="K25">
        <v>2339.71</v>
      </c>
      <c r="L25">
        <v>2633.7271428571426</v>
      </c>
      <c r="M25">
        <v>0.8883646152736292</v>
      </c>
      <c r="Q25">
        <v>2.2709998364122645</v>
      </c>
      <c r="R25">
        <v>54.579877352366331</v>
      </c>
      <c r="S25">
        <v>123.95089253862541</v>
      </c>
      <c r="T25">
        <v>53.98273767364271</v>
      </c>
      <c r="U25">
        <v>122.59478842592878</v>
      </c>
      <c r="V25">
        <v>18288.49177863283</v>
      </c>
      <c r="W25">
        <v>41533.161837502208</v>
      </c>
      <c r="X25">
        <v>1.2342619978300482</v>
      </c>
      <c r="AB25">
        <v>7816.0536543422177</v>
      </c>
      <c r="AC25">
        <v>32.974462596732586</v>
      </c>
      <c r="AD25">
        <v>2534.619346517627</v>
      </c>
      <c r="AE25">
        <v>144.1549441100602</v>
      </c>
      <c r="AF25">
        <v>2390.4644024075669</v>
      </c>
      <c r="AG25">
        <v>3071.101977644023</v>
      </c>
      <c r="AH25">
        <v>659.52811693895092</v>
      </c>
      <c r="AI25">
        <v>526.91676698194317</v>
      </c>
      <c r="AJ25">
        <v>0</v>
      </c>
      <c r="AK25">
        <v>1.9840928632846091</v>
      </c>
      <c r="AL25">
        <v>25.222098022355979</v>
      </c>
      <c r="AM25">
        <v>0</v>
      </c>
      <c r="AN25">
        <v>105.40515907136708</v>
      </c>
      <c r="AO25">
        <v>13.475666380051592</v>
      </c>
      <c r="AP25">
        <v>1609.7592433361999</v>
      </c>
      <c r="AR25">
        <v>7816.0536543422177</v>
      </c>
      <c r="AS25">
        <v>6765.1594153052438</v>
      </c>
      <c r="AT25">
        <v>5766.3796245529411</v>
      </c>
      <c r="AU25">
        <v>7.8503869303525331</v>
      </c>
      <c r="AV25">
        <v>851.36683501019263</v>
      </c>
      <c r="AW25">
        <v>139.5625688117583</v>
      </c>
      <c r="AX25">
        <v>1050.894239036973</v>
      </c>
      <c r="AZ25">
        <v>1</v>
      </c>
      <c r="BA25">
        <v>0.86554669587597477</v>
      </c>
      <c r="BB25">
        <v>0.73776100824863489</v>
      </c>
      <c r="BC25">
        <v>1.0043926612493561E-3</v>
      </c>
      <c r="BD25">
        <v>0.1089254082253152</v>
      </c>
      <c r="BE25">
        <v>1.7855886740775401E-2</v>
      </c>
      <c r="BF25">
        <v>0.13445330412402526</v>
      </c>
      <c r="BJ25">
        <v>15139.984929120001</v>
      </c>
      <c r="BK25">
        <v>135.61477776000001</v>
      </c>
      <c r="BL25">
        <v>7790.9817960000019</v>
      </c>
      <c r="BM25">
        <v>380.83873752000005</v>
      </c>
      <c r="BN25">
        <v>7410.1430584800019</v>
      </c>
      <c r="BO25">
        <v>7213.3883553599981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15139.984929119995</v>
      </c>
      <c r="CA25">
        <v>15139.984929119995</v>
      </c>
      <c r="CB25">
        <v>13668.340904446251</v>
      </c>
      <c r="CC25">
        <v>0</v>
      </c>
      <c r="CD25">
        <v>1368.0503366737453</v>
      </c>
      <c r="CE25">
        <v>103.59368799999991</v>
      </c>
      <c r="CF25">
        <v>0</v>
      </c>
      <c r="CH25">
        <v>1</v>
      </c>
      <c r="CI25">
        <v>1</v>
      </c>
      <c r="CJ25">
        <v>0.90279752380445188</v>
      </c>
      <c r="CK25">
        <v>0</v>
      </c>
      <c r="CL25">
        <v>9.0360085764845111E-2</v>
      </c>
      <c r="CM25">
        <v>6.8423904307031071E-3</v>
      </c>
      <c r="CN25">
        <v>0</v>
      </c>
      <c r="CR25">
        <v>17915.952169311331</v>
      </c>
      <c r="CS25">
        <v>15507.093203619424</v>
      </c>
      <c r="CT25">
        <v>13217.690936165443</v>
      </c>
      <c r="CU25">
        <v>17.994650878150779</v>
      </c>
      <c r="CV25">
        <v>1951.5024037874584</v>
      </c>
      <c r="CW25">
        <v>319.90521278837247</v>
      </c>
      <c r="CX25">
        <v>2408.8589656919062</v>
      </c>
      <c r="CZ25">
        <v>11284.315529226797</v>
      </c>
      <c r="DA25">
        <v>9526.9950571401914</v>
      </c>
      <c r="DB25">
        <v>80.423699973489462</v>
      </c>
      <c r="DC25">
        <v>1430.8920851719165</v>
      </c>
      <c r="DD25">
        <v>246.00468694119968</v>
      </c>
      <c r="DF25">
        <v>2983.9949956186074</v>
      </c>
      <c r="DG25">
        <v>2983.9949956186074</v>
      </c>
      <c r="DH25">
        <v>2693.9432930893549</v>
      </c>
      <c r="DI25">
        <v>0</v>
      </c>
      <c r="DJ25">
        <v>269.63404372596597</v>
      </c>
      <c r="DK25">
        <v>20.41765880328672</v>
      </c>
      <c r="DL25">
        <v>0</v>
      </c>
      <c r="DN25">
        <v>0.72768734804489243</v>
      </c>
      <c r="DO25">
        <v>0.7207760495498502</v>
      </c>
      <c r="DP25">
        <v>4.4693114925136133</v>
      </c>
      <c r="DQ25">
        <v>0.73322588913795539</v>
      </c>
      <c r="DR25">
        <v>0.76899242996687167</v>
      </c>
      <c r="DV25">
        <v>144.54072739918664</v>
      </c>
      <c r="DW25">
        <v>125.10674901987596</v>
      </c>
      <c r="DX25">
        <v>106.63651277901501</v>
      </c>
      <c r="DY25">
        <v>0.14517564585138676</v>
      </c>
      <c r="DZ25">
        <v>15.744157737140409</v>
      </c>
      <c r="EA25">
        <v>2.5809028578691682</v>
      </c>
      <c r="EB25">
        <v>19.433978379310663</v>
      </c>
      <c r="ED25">
        <v>91.038598416791501</v>
      </c>
      <c r="EE25">
        <v>76.86104441863057</v>
      </c>
      <c r="EF25">
        <v>0.64883518243668914</v>
      </c>
      <c r="EG25">
        <v>11.544024055542994</v>
      </c>
      <c r="EH25">
        <v>1.984694760181255</v>
      </c>
      <c r="EJ25">
        <v>24.074009750988591</v>
      </c>
      <c r="EK25">
        <v>24.074009750988591</v>
      </c>
      <c r="EL25">
        <v>21.733956391236731</v>
      </c>
      <c r="EM25">
        <v>0</v>
      </c>
      <c r="EN25">
        <v>2.1753295858030466</v>
      </c>
      <c r="EO25">
        <v>0.16472377394881765</v>
      </c>
      <c r="EP25">
        <v>0</v>
      </c>
      <c r="ET25">
        <v>7889.0151738694221</v>
      </c>
      <c r="EU25">
        <v>6828.311017458107</v>
      </c>
      <c r="EV25">
        <v>5820.2077887626847</v>
      </c>
      <c r="EW25">
        <v>7.9236689451192595</v>
      </c>
      <c r="EX25">
        <v>859.31419830943298</v>
      </c>
      <c r="EY25">
        <v>140.86536144087097</v>
      </c>
      <c r="EZ25">
        <v>1060.7041564113154</v>
      </c>
      <c r="FB25">
        <v>4968.8755359198121</v>
      </c>
      <c r="FC25">
        <v>4195.0663775436369</v>
      </c>
      <c r="FD25">
        <v>35.413344679294724</v>
      </c>
      <c r="FE25">
        <v>630.07141710430335</v>
      </c>
      <c r="FF25">
        <v>108.32439659257702</v>
      </c>
      <c r="FH25">
        <v>1313.9564995886287</v>
      </c>
      <c r="FI25">
        <v>1313.9564995886287</v>
      </c>
      <c r="FJ25">
        <v>1186.2366742153793</v>
      </c>
      <c r="FK25">
        <v>0</v>
      </c>
      <c r="FL25">
        <v>118.72922199410417</v>
      </c>
      <c r="FM25">
        <v>8.9906033791453837</v>
      </c>
      <c r="FN25">
        <v>0</v>
      </c>
    </row>
    <row r="26" spans="1:170" x14ac:dyDescent="0.25">
      <c r="A26">
        <v>2021</v>
      </c>
      <c r="C26">
        <v>223992.9140192153</v>
      </c>
      <c r="D26">
        <v>11554767</v>
      </c>
      <c r="F26">
        <v>5126339</v>
      </c>
      <c r="G26">
        <v>635111.96091485326</v>
      </c>
      <c r="H26">
        <v>167921</v>
      </c>
      <c r="I26">
        <v>20583.82068349453</v>
      </c>
      <c r="K26">
        <v>2770.92</v>
      </c>
      <c r="L26">
        <v>2633.7271428571426</v>
      </c>
      <c r="M26">
        <v>1.0520907632800669</v>
      </c>
      <c r="Q26">
        <v>2.2539997842514903</v>
      </c>
      <c r="R26">
        <v>54.965362859748986</v>
      </c>
      <c r="S26">
        <v>123.89191602717909</v>
      </c>
      <c r="T26">
        <v>54.383494171766898</v>
      </c>
      <c r="U26">
        <v>122.58038413000477</v>
      </c>
      <c r="V26">
        <v>19385.32503677619</v>
      </c>
      <c r="W26">
        <v>43694.51845053854</v>
      </c>
      <c r="X26">
        <v>1.2438196478448049</v>
      </c>
      <c r="AB26">
        <v>8472.3056749785028</v>
      </c>
      <c r="AC26">
        <v>41.753740326741188</v>
      </c>
      <c r="AD26">
        <v>2476.6436801375744</v>
      </c>
      <c r="AE26">
        <v>156.58211521926049</v>
      </c>
      <c r="AF26">
        <v>2320.0615649183137</v>
      </c>
      <c r="AG26">
        <v>3599.3834909716252</v>
      </c>
      <c r="AH26">
        <v>833.63095442820293</v>
      </c>
      <c r="AI26">
        <v>653.56715391229591</v>
      </c>
      <c r="AJ26">
        <v>0</v>
      </c>
      <c r="AK26">
        <v>1.3043852106620806</v>
      </c>
      <c r="AL26">
        <v>24.398108340498709</v>
      </c>
      <c r="AM26">
        <v>0</v>
      </c>
      <c r="AN26">
        <v>154.36130696474646</v>
      </c>
      <c r="AO26">
        <v>14.69621668099742</v>
      </c>
      <c r="AP26">
        <v>1660.5588993981082</v>
      </c>
      <c r="AR26">
        <v>8472.305674978501</v>
      </c>
      <c r="AS26">
        <v>7416.5103181427312</v>
      </c>
      <c r="AT26">
        <v>6376.6644968690252</v>
      </c>
      <c r="AU26">
        <v>7.8503869303525295</v>
      </c>
      <c r="AV26">
        <v>892.22723060481883</v>
      </c>
      <c r="AW26">
        <v>139.76820373853491</v>
      </c>
      <c r="AX26">
        <v>1055.7953568357696</v>
      </c>
      <c r="AZ26">
        <v>1</v>
      </c>
      <c r="BA26">
        <v>0.87538275915210662</v>
      </c>
      <c r="BB26">
        <v>0.75264806789271166</v>
      </c>
      <c r="BC26">
        <v>9.2659392041735439E-4</v>
      </c>
      <c r="BD26">
        <v>0.10531102923255693</v>
      </c>
      <c r="BE26">
        <v>1.6497068106420699E-2</v>
      </c>
      <c r="BF26">
        <v>0.12461724084789336</v>
      </c>
      <c r="BJ26">
        <v>16231.607511959999</v>
      </c>
      <c r="BK26">
        <v>171.71632632000004</v>
      </c>
      <c r="BL26">
        <v>7605.6779588399977</v>
      </c>
      <c r="BM26">
        <v>413.66971799999993</v>
      </c>
      <c r="BN26">
        <v>7192.0082408399976</v>
      </c>
      <c r="BO26">
        <v>8454.2132268000005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16231.607511959995</v>
      </c>
      <c r="CA26">
        <v>16231.607511959995</v>
      </c>
      <c r="CB26">
        <v>14661.91388866564</v>
      </c>
      <c r="CC26">
        <v>0</v>
      </c>
      <c r="CD26">
        <v>1466.0999352943545</v>
      </c>
      <c r="CE26">
        <v>103.5936880000002</v>
      </c>
      <c r="CF26">
        <v>0</v>
      </c>
      <c r="CH26">
        <v>1</v>
      </c>
      <c r="CI26">
        <v>1</v>
      </c>
      <c r="CJ26">
        <v>0.9032940131075895</v>
      </c>
      <c r="CK26">
        <v>0</v>
      </c>
      <c r="CL26">
        <v>9.0323767021478471E-2</v>
      </c>
      <c r="CM26">
        <v>6.3822198709319999E-3</v>
      </c>
      <c r="CN26">
        <v>0</v>
      </c>
      <c r="CR26">
        <v>19220.91281907029</v>
      </c>
      <c r="CS26">
        <v>16825.655696979848</v>
      </c>
      <c r="CT26">
        <v>14466.582896407506</v>
      </c>
      <c r="CU26">
        <v>17.809980963022522</v>
      </c>
      <c r="CV26">
        <v>2024.1741117655397</v>
      </c>
      <c r="CW26">
        <v>317.08870784377723</v>
      </c>
      <c r="CX26">
        <v>2395.2571220904433</v>
      </c>
      <c r="CZ26">
        <v>12583.281251002159</v>
      </c>
      <c r="DA26">
        <v>10745.713596493881</v>
      </c>
      <c r="DB26">
        <v>81.239395077967842</v>
      </c>
      <c r="DC26">
        <v>1509.9699931204568</v>
      </c>
      <c r="DD26">
        <v>246.35826630985511</v>
      </c>
      <c r="DF26">
        <v>3166.3156712733971</v>
      </c>
      <c r="DG26">
        <v>3166.3156712733971</v>
      </c>
      <c r="DH26">
        <v>2860.1139894699986</v>
      </c>
      <c r="DI26">
        <v>0</v>
      </c>
      <c r="DJ26">
        <v>285.99355900855454</v>
      </c>
      <c r="DK26">
        <v>20.208122794844467</v>
      </c>
      <c r="DL26">
        <v>0</v>
      </c>
      <c r="DN26">
        <v>0.7478627565914604</v>
      </c>
      <c r="DO26">
        <v>0.74279556364083521</v>
      </c>
      <c r="DP26">
        <v>4.5614532237085976</v>
      </c>
      <c r="DQ26">
        <v>0.74596843440677152</v>
      </c>
      <c r="DR26">
        <v>0.77693799941696629</v>
      </c>
      <c r="DV26">
        <v>155.14259069860262</v>
      </c>
      <c r="DW26">
        <v>135.80914910774871</v>
      </c>
      <c r="DX26">
        <v>116.767771137173</v>
      </c>
      <c r="DY26">
        <v>0.14375418133912315</v>
      </c>
      <c r="DZ26">
        <v>16.338225904275152</v>
      </c>
      <c r="EA26">
        <v>2.5593978849613976</v>
      </c>
      <c r="EB26">
        <v>19.333441590853901</v>
      </c>
      <c r="ED26">
        <v>101.56660462206165</v>
      </c>
      <c r="EE26">
        <v>86.734582376920486</v>
      </c>
      <c r="EF26">
        <v>0.65572797389093374</v>
      </c>
      <c r="EG26">
        <v>12.187800798796294</v>
      </c>
      <c r="EH26">
        <v>1.9884934724539225</v>
      </c>
      <c r="EJ26">
        <v>25.557080500545158</v>
      </c>
      <c r="EK26">
        <v>25.557080500545158</v>
      </c>
      <c r="EL26">
        <v>23.08555780865116</v>
      </c>
      <c r="EM26">
        <v>0</v>
      </c>
      <c r="EN26">
        <v>2.3084117848804113</v>
      </c>
      <c r="EO26">
        <v>0.16311090701358805</v>
      </c>
      <c r="EP26">
        <v>0</v>
      </c>
      <c r="ET26">
        <v>8527.4687927502109</v>
      </c>
      <c r="EU26">
        <v>7464.7991603811633</v>
      </c>
      <c r="EV26">
        <v>6418.1829108788397</v>
      </c>
      <c r="EW26">
        <v>7.9015007399110608</v>
      </c>
      <c r="EX26">
        <v>898.03651531303444</v>
      </c>
      <c r="EY26">
        <v>140.6782334493773</v>
      </c>
      <c r="EZ26">
        <v>1062.6696323690471</v>
      </c>
      <c r="FB26">
        <v>5582.6452774842764</v>
      </c>
      <c r="FC26">
        <v>4767.3977928362247</v>
      </c>
      <c r="FD26">
        <v>36.042326022203177</v>
      </c>
      <c r="FE26">
        <v>669.90689336817684</v>
      </c>
      <c r="FF26">
        <v>109.29826525767211</v>
      </c>
      <c r="FH26">
        <v>1404.75420334828</v>
      </c>
      <c r="FI26">
        <v>1404.75420334828</v>
      </c>
      <c r="FJ26">
        <v>1268.9060617722228</v>
      </c>
      <c r="FK26">
        <v>0</v>
      </c>
      <c r="FL26">
        <v>126.88269138567264</v>
      </c>
      <c r="FM26">
        <v>8.965450190384642</v>
      </c>
      <c r="FN26">
        <v>0</v>
      </c>
    </row>
    <row r="27" spans="1:170" x14ac:dyDescent="0.25">
      <c r="A27">
        <v>2022</v>
      </c>
      <c r="H27" s="1">
        <f>AVERAGE(H24:H26)</f>
        <v>156828</v>
      </c>
    </row>
    <row r="28" spans="1:170" x14ac:dyDescent="0.25">
      <c r="A28">
        <v>2023</v>
      </c>
      <c r="H28" s="1">
        <f>AVERAGE(H25:H27)</f>
        <v>157009.66666666666</v>
      </c>
    </row>
    <row r="29" spans="1:170" x14ac:dyDescent="0.25">
      <c r="A29">
        <v>2024</v>
      </c>
      <c r="H29" s="1">
        <f>AVERAGE(H26:H28)</f>
        <v>160586.22222222222</v>
      </c>
    </row>
    <row r="108" spans="1:170" x14ac:dyDescent="0.25">
      <c r="A108" t="s">
        <v>68</v>
      </c>
      <c r="C108" t="s">
        <v>657</v>
      </c>
      <c r="D108" t="s">
        <v>658</v>
      </c>
      <c r="F108" t="s">
        <v>659</v>
      </c>
      <c r="G108" t="s">
        <v>660</v>
      </c>
      <c r="H108" t="s">
        <v>661</v>
      </c>
      <c r="I108" t="s">
        <v>662</v>
      </c>
      <c r="K108" t="s">
        <v>663</v>
      </c>
      <c r="L108" t="s">
        <v>664</v>
      </c>
      <c r="M108" t="s">
        <v>665</v>
      </c>
      <c r="AB108" t="s">
        <v>666</v>
      </c>
      <c r="AC108" t="s">
        <v>667</v>
      </c>
      <c r="AE108" t="s">
        <v>668</v>
      </c>
      <c r="AF108" t="s">
        <v>669</v>
      </c>
      <c r="AG108" t="s">
        <v>670</v>
      </c>
      <c r="AI108" t="s">
        <v>671</v>
      </c>
      <c r="AJ108" t="s">
        <v>672</v>
      </c>
      <c r="AK108" t="s">
        <v>673</v>
      </c>
      <c r="AL108" t="s">
        <v>674</v>
      </c>
      <c r="AM108" t="s">
        <v>675</v>
      </c>
      <c r="AN108" t="s">
        <v>676</v>
      </c>
      <c r="AO108" t="s">
        <v>677</v>
      </c>
      <c r="AP108" t="s">
        <v>678</v>
      </c>
      <c r="AR108" t="s">
        <v>679</v>
      </c>
      <c r="AS108" t="s">
        <v>680</v>
      </c>
      <c r="AT108" t="s">
        <v>681</v>
      </c>
      <c r="AU108" t="s">
        <v>682</v>
      </c>
      <c r="AV108" t="s">
        <v>683</v>
      </c>
      <c r="AW108" t="s">
        <v>684</v>
      </c>
      <c r="AX108" t="s">
        <v>685</v>
      </c>
      <c r="BJ108" t="s">
        <v>686</v>
      </c>
      <c r="BK108" t="s">
        <v>687</v>
      </c>
      <c r="BM108" t="s">
        <v>688</v>
      </c>
      <c r="BN108" t="s">
        <v>689</v>
      </c>
      <c r="BO108" t="s">
        <v>690</v>
      </c>
      <c r="BQ108" t="s">
        <v>691</v>
      </c>
      <c r="BR108" t="s">
        <v>692</v>
      </c>
      <c r="BS108" t="s">
        <v>693</v>
      </c>
      <c r="BT108" t="s">
        <v>694</v>
      </c>
      <c r="BU108" t="s">
        <v>695</v>
      </c>
      <c r="BV108" t="s">
        <v>696</v>
      </c>
      <c r="BW108" t="s">
        <v>697</v>
      </c>
      <c r="BX108" t="s">
        <v>698</v>
      </c>
      <c r="BZ108" t="s">
        <v>699</v>
      </c>
      <c r="CA108" t="s">
        <v>700</v>
      </c>
      <c r="CB108" t="s">
        <v>701</v>
      </c>
      <c r="CC108" t="s">
        <v>702</v>
      </c>
      <c r="CD108" t="s">
        <v>703</v>
      </c>
      <c r="CE108" t="s">
        <v>704</v>
      </c>
      <c r="CF108" t="s">
        <v>705</v>
      </c>
      <c r="CR108" t="s">
        <v>706</v>
      </c>
      <c r="CS108" t="s">
        <v>707</v>
      </c>
      <c r="CT108" t="s">
        <v>708</v>
      </c>
      <c r="CU108" t="s">
        <v>709</v>
      </c>
      <c r="CV108" t="s">
        <v>710</v>
      </c>
      <c r="CW108" t="s">
        <v>711</v>
      </c>
      <c r="CX108" t="s">
        <v>712</v>
      </c>
      <c r="CZ108" t="s">
        <v>713</v>
      </c>
      <c r="DA108" t="s">
        <v>714</v>
      </c>
      <c r="DB108" t="s">
        <v>715</v>
      </c>
      <c r="DC108" t="s">
        <v>716</v>
      </c>
      <c r="DD108" t="s">
        <v>717</v>
      </c>
      <c r="DF108" t="s">
        <v>718</v>
      </c>
      <c r="DG108" t="s">
        <v>719</v>
      </c>
      <c r="DH108" t="s">
        <v>720</v>
      </c>
      <c r="DI108" t="s">
        <v>721</v>
      </c>
      <c r="DJ108" t="s">
        <v>722</v>
      </c>
      <c r="DK108" t="s">
        <v>723</v>
      </c>
      <c r="DL108" t="s">
        <v>724</v>
      </c>
      <c r="DN108" t="s">
        <v>725</v>
      </c>
      <c r="DO108" t="s">
        <v>726</v>
      </c>
      <c r="DP108" t="s">
        <v>727</v>
      </c>
      <c r="DQ108" t="s">
        <v>728</v>
      </c>
      <c r="DR108" t="s">
        <v>729</v>
      </c>
      <c r="DV108" t="s">
        <v>730</v>
      </c>
      <c r="DW108" t="s">
        <v>731</v>
      </c>
      <c r="DX108" t="s">
        <v>732</v>
      </c>
      <c r="DY108" t="s">
        <v>733</v>
      </c>
      <c r="DZ108" t="s">
        <v>734</v>
      </c>
      <c r="EA108" t="s">
        <v>735</v>
      </c>
      <c r="EB108" t="s">
        <v>736</v>
      </c>
      <c r="ED108" t="s">
        <v>737</v>
      </c>
      <c r="EE108" t="s">
        <v>738</v>
      </c>
      <c r="EF108" t="s">
        <v>739</v>
      </c>
      <c r="EG108" t="s">
        <v>740</v>
      </c>
      <c r="EH108" t="s">
        <v>741</v>
      </c>
      <c r="EJ108" t="s">
        <v>742</v>
      </c>
      <c r="EK108" t="s">
        <v>743</v>
      </c>
      <c r="EL108" t="s">
        <v>744</v>
      </c>
      <c r="EM108" t="s">
        <v>745</v>
      </c>
      <c r="EN108" t="s">
        <v>746</v>
      </c>
      <c r="EO108" t="s">
        <v>747</v>
      </c>
      <c r="EP108" t="s">
        <v>748</v>
      </c>
      <c r="ET108" t="s">
        <v>749</v>
      </c>
      <c r="EU108" t="s">
        <v>750</v>
      </c>
      <c r="EV108" t="s">
        <v>751</v>
      </c>
      <c r="EW108" t="s">
        <v>752</v>
      </c>
      <c r="EX108" t="s">
        <v>753</v>
      </c>
      <c r="EY108" t="s">
        <v>754</v>
      </c>
      <c r="EZ108" t="s">
        <v>755</v>
      </c>
      <c r="FB108" t="s">
        <v>756</v>
      </c>
      <c r="FC108" t="s">
        <v>757</v>
      </c>
      <c r="FD108" t="s">
        <v>758</v>
      </c>
      <c r="FE108" t="s">
        <v>759</v>
      </c>
      <c r="FF108" t="s">
        <v>760</v>
      </c>
      <c r="FH108" t="s">
        <v>761</v>
      </c>
      <c r="FI108" t="s">
        <v>762</v>
      </c>
      <c r="FJ108" t="s">
        <v>763</v>
      </c>
      <c r="FK108" t="s">
        <v>764</v>
      </c>
      <c r="FL108" t="s">
        <v>765</v>
      </c>
      <c r="FM108" t="s">
        <v>766</v>
      </c>
      <c r="FN108" t="s">
        <v>767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2223-E147-F34A-A2E0-BF16DCF1366A}">
  <dimension ref="A1:FN108"/>
  <sheetViews>
    <sheetView workbookViewId="0">
      <selection activeCell="H29" sqref="H29"/>
    </sheetView>
  </sheetViews>
  <sheetFormatPr defaultColWidth="11" defaultRowHeight="15.75" x14ac:dyDescent="0.25"/>
  <cols>
    <col min="1" max="1" width="31" bestFit="1" customWidth="1"/>
    <col min="2" max="2" width="4" customWidth="1"/>
    <col min="3" max="3" width="10.5" customWidth="1"/>
    <col min="4" max="4" width="10.875" customWidth="1"/>
    <col min="5" max="5" width="6" customWidth="1"/>
    <col min="6" max="6" width="10.875" customWidth="1"/>
    <col min="7" max="7" width="9.625" customWidth="1"/>
    <col min="8" max="8" width="38.375" bestFit="1" customWidth="1"/>
    <col min="9" max="9" width="61.875" bestFit="1" customWidth="1"/>
    <col min="10" max="10" width="12.125" bestFit="1" customWidth="1"/>
    <col min="11" max="11" width="26.375" bestFit="1" customWidth="1"/>
    <col min="12" max="12" width="45.125" bestFit="1" customWidth="1"/>
    <col min="13" max="13" width="27.625" bestFit="1" customWidth="1"/>
    <col min="14" max="14" width="12.125" bestFit="1" customWidth="1"/>
    <col min="15" max="15" width="12" bestFit="1" customWidth="1"/>
    <col min="16" max="16" width="12.1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75" bestFit="1" customWidth="1"/>
    <col min="23" max="23" width="62.5" bestFit="1" customWidth="1"/>
    <col min="24" max="24" width="58.875" bestFit="1" customWidth="1"/>
    <col min="25" max="25" width="12.125" bestFit="1" customWidth="1"/>
    <col min="26" max="26" width="20.5" bestFit="1" customWidth="1"/>
    <col min="27" max="27" width="12.125" bestFit="1" customWidth="1"/>
    <col min="28" max="28" width="48.625" bestFit="1" customWidth="1"/>
    <col min="29" max="29" width="23" bestFit="1" customWidth="1"/>
    <col min="30" max="30" width="12.125" bestFit="1" customWidth="1"/>
    <col min="31" max="31" width="28.5" bestFit="1" customWidth="1"/>
    <col min="32" max="32" width="40.875" bestFit="1" customWidth="1"/>
    <col min="33" max="33" width="20.625" bestFit="1" customWidth="1"/>
    <col min="34" max="34" width="30.375" bestFit="1" customWidth="1"/>
    <col min="35" max="35" width="31.125" bestFit="1" customWidth="1"/>
    <col min="36" max="36" width="23.5" bestFit="1" customWidth="1"/>
    <col min="37" max="37" width="23.125" bestFit="1" customWidth="1"/>
    <col min="38" max="38" width="22.375" bestFit="1" customWidth="1"/>
    <col min="39" max="39" width="21.5" bestFit="1" customWidth="1"/>
    <col min="40" max="40" width="24.875" bestFit="1" customWidth="1"/>
    <col min="41" max="41" width="28.375" bestFit="1" customWidth="1"/>
    <col min="42" max="42" width="21.625" bestFit="1" customWidth="1"/>
    <col min="43" max="43" width="12.125" bestFit="1" customWidth="1"/>
    <col min="44" max="44" width="36.5" bestFit="1" customWidth="1"/>
    <col min="45" max="45" width="25.375" bestFit="1" customWidth="1"/>
    <col min="46" max="47" width="28.375" bestFit="1" customWidth="1"/>
    <col min="48" max="48" width="29" bestFit="1" customWidth="1"/>
    <col min="49" max="49" width="28.625" bestFit="1" customWidth="1"/>
    <col min="50" max="50" width="44.875" bestFit="1" customWidth="1"/>
    <col min="51" max="51" width="12.125" bestFit="1" customWidth="1"/>
    <col min="52" max="52" width="44" bestFit="1" customWidth="1"/>
    <col min="53" max="53" width="16.5" bestFit="1" customWidth="1"/>
    <col min="54" max="54" width="17" bestFit="1" customWidth="1"/>
    <col min="55" max="55" width="12.125" bestFit="1" customWidth="1"/>
    <col min="56" max="56" width="17" bestFit="1" customWidth="1"/>
    <col min="57" max="57" width="12.375" bestFit="1" customWidth="1"/>
    <col min="58" max="58" width="46.625" bestFit="1" customWidth="1"/>
    <col min="59" max="59" width="12.125" bestFit="1" customWidth="1"/>
    <col min="60" max="60" width="12.375" bestFit="1" customWidth="1"/>
    <col min="61" max="61" width="12.125" bestFit="1" customWidth="1"/>
    <col min="62" max="62" width="44.625" bestFit="1" customWidth="1"/>
    <col min="63" max="63" width="24.375" bestFit="1" customWidth="1"/>
    <col min="64" max="64" width="12.125" bestFit="1" customWidth="1"/>
    <col min="65" max="65" width="30.5" bestFit="1" customWidth="1"/>
    <col min="66" max="66" width="43.625" bestFit="1" customWidth="1"/>
    <col min="67" max="67" width="22.125" bestFit="1" customWidth="1"/>
    <col min="68" max="68" width="33.125" bestFit="1" customWidth="1"/>
    <col min="69" max="69" width="32.625" bestFit="1" customWidth="1"/>
    <col min="70" max="70" width="24.875" bestFit="1" customWidth="1"/>
    <col min="71" max="71" width="24.5" bestFit="1" customWidth="1"/>
    <col min="72" max="72" width="23.625" bestFit="1" customWidth="1"/>
    <col min="73" max="73" width="22.875" bestFit="1" customWidth="1"/>
    <col min="74" max="74" width="26.125" bestFit="1" customWidth="1"/>
    <col min="75" max="75" width="29.625" bestFit="1" customWidth="1"/>
    <col min="76" max="76" width="23" bestFit="1" customWidth="1"/>
    <col min="77" max="77" width="12.125" bestFit="1" customWidth="1"/>
    <col min="78" max="78" width="32.375" bestFit="1" customWidth="1"/>
    <col min="79" max="79" width="26.875" bestFit="1" customWidth="1"/>
    <col min="80" max="81" width="29.625" bestFit="1" customWidth="1"/>
    <col min="82" max="82" width="30.375" bestFit="1" customWidth="1"/>
    <col min="83" max="83" width="30" bestFit="1" customWidth="1"/>
    <col min="84" max="84" width="47.625" bestFit="1" customWidth="1"/>
    <col min="85" max="85" width="12.125" bestFit="1" customWidth="1"/>
    <col min="86" max="86" width="34.875" bestFit="1" customWidth="1"/>
    <col min="87" max="87" width="17.5" bestFit="1" customWidth="1"/>
    <col min="88" max="88" width="18" bestFit="1" customWidth="1"/>
    <col min="89" max="89" width="12.875" bestFit="1" customWidth="1"/>
    <col min="90" max="90" width="18" bestFit="1" customWidth="1"/>
    <col min="91" max="91" width="13.375" bestFit="1" customWidth="1"/>
    <col min="92" max="92" width="47.625" bestFit="1" customWidth="1"/>
    <col min="93" max="93" width="12.125" bestFit="1" customWidth="1"/>
    <col min="94" max="94" width="30" bestFit="1" customWidth="1"/>
    <col min="95" max="95" width="12.125" bestFit="1" customWidth="1"/>
    <col min="96" max="96" width="48.375" bestFit="1" customWidth="1"/>
    <col min="97" max="97" width="38.5" bestFit="1" customWidth="1"/>
    <col min="98" max="99" width="41.375" bestFit="1" customWidth="1"/>
    <col min="100" max="100" width="42.125" bestFit="1" customWidth="1"/>
    <col min="101" max="101" width="41.625" bestFit="1" customWidth="1"/>
    <col min="102" max="102" width="47.625" bestFit="1" customWidth="1"/>
    <col min="103" max="103" width="13.125" bestFit="1" customWidth="1"/>
    <col min="104" max="104" width="56.375" bestFit="1" customWidth="1"/>
    <col min="105" max="106" width="40.875" bestFit="1" customWidth="1"/>
    <col min="107" max="107" width="41.5" bestFit="1" customWidth="1"/>
    <col min="108" max="108" width="41.125" bestFit="1" customWidth="1"/>
    <col min="109" max="109" width="13.125" bestFit="1" customWidth="1"/>
    <col min="110" max="110" width="42.5" bestFit="1" customWidth="1"/>
    <col min="111" max="111" width="40" bestFit="1" customWidth="1"/>
    <col min="112" max="113" width="43" bestFit="1" customWidth="1"/>
    <col min="114" max="114" width="43.625" bestFit="1" customWidth="1"/>
    <col min="115" max="115" width="43.375" bestFit="1" customWidth="1"/>
    <col min="116" max="116" width="47.625" bestFit="1" customWidth="1"/>
    <col min="117" max="117" width="13.125" bestFit="1" customWidth="1"/>
    <col min="118" max="118" width="66.875" bestFit="1" customWidth="1"/>
    <col min="119" max="120" width="27.375" bestFit="1" customWidth="1"/>
    <col min="121" max="121" width="28" bestFit="1" customWidth="1"/>
    <col min="122" max="122" width="27.625" bestFit="1" customWidth="1"/>
    <col min="123" max="125" width="13.125" bestFit="1" customWidth="1"/>
    <col min="126" max="126" width="45.375" bestFit="1" customWidth="1"/>
    <col min="127" max="127" width="33.375" bestFit="1" customWidth="1"/>
    <col min="128" max="129" width="36.125" bestFit="1" customWidth="1"/>
    <col min="130" max="130" width="37" bestFit="1" customWidth="1"/>
    <col min="131" max="131" width="36.5" bestFit="1" customWidth="1"/>
    <col min="132" max="132" width="47.625" bestFit="1" customWidth="1"/>
    <col min="133" max="133" width="13.125" bestFit="1" customWidth="1"/>
    <col min="134" max="134" width="53.125" bestFit="1" customWidth="1"/>
    <col min="135" max="136" width="35.625" bestFit="1" customWidth="1"/>
    <col min="137" max="137" width="36.375" bestFit="1" customWidth="1"/>
    <col min="138" max="138" width="36" bestFit="1" customWidth="1"/>
    <col min="139" max="139" width="13.125" bestFit="1" customWidth="1"/>
    <col min="140" max="140" width="39.5" bestFit="1" customWidth="1"/>
    <col min="141" max="141" width="34.875" bestFit="1" customWidth="1"/>
    <col min="142" max="143" width="37.875" bestFit="1" customWidth="1"/>
    <col min="144" max="144" width="38.5" bestFit="1" customWidth="1"/>
    <col min="145" max="145" width="38.125" bestFit="1" customWidth="1"/>
    <col min="146" max="146" width="47.625" bestFit="1" customWidth="1"/>
    <col min="147" max="149" width="13.125" bestFit="1" customWidth="1"/>
    <col min="150" max="150" width="41.5" bestFit="1" customWidth="1"/>
    <col min="151" max="151" width="35.125" bestFit="1" customWidth="1"/>
    <col min="152" max="153" width="38.125" bestFit="1" customWidth="1"/>
    <col min="154" max="154" width="38.875" bestFit="1" customWidth="1"/>
    <col min="155" max="155" width="38.5" bestFit="1" customWidth="1"/>
    <col min="156" max="156" width="47.625" bestFit="1" customWidth="1"/>
    <col min="157" max="157" width="13.125" bestFit="1" customWidth="1"/>
    <col min="158" max="158" width="49.375" bestFit="1" customWidth="1"/>
    <col min="159" max="160" width="37.625" bestFit="1" customWidth="1"/>
    <col min="161" max="161" width="38.375" bestFit="1" customWidth="1"/>
    <col min="162" max="162" width="38" bestFit="1" customWidth="1"/>
    <col min="163" max="163" width="13.125" bestFit="1" customWidth="1"/>
    <col min="164" max="164" width="35.625" bestFit="1" customWidth="1"/>
    <col min="165" max="165" width="36.625" bestFit="1" customWidth="1"/>
    <col min="166" max="167" width="39.625" bestFit="1" customWidth="1"/>
    <col min="168" max="168" width="40.375" bestFit="1" customWidth="1"/>
    <col min="169" max="169" width="40" bestFit="1" customWidth="1"/>
    <col min="170" max="170" width="47.625" bestFit="1" customWidth="1"/>
  </cols>
  <sheetData>
    <row r="1" spans="1:170" x14ac:dyDescent="0.25">
      <c r="A1" t="s">
        <v>483</v>
      </c>
      <c r="B1" t="s">
        <v>117</v>
      </c>
      <c r="C1" t="s">
        <v>210</v>
      </c>
      <c r="D1" t="s">
        <v>211</v>
      </c>
      <c r="E1" t="s">
        <v>120</v>
      </c>
      <c r="F1" t="s">
        <v>212</v>
      </c>
      <c r="G1" t="s">
        <v>213</v>
      </c>
      <c r="H1" t="s">
        <v>214</v>
      </c>
      <c r="I1" t="s">
        <v>215</v>
      </c>
      <c r="J1" t="s">
        <v>125</v>
      </c>
      <c r="K1" t="s">
        <v>216</v>
      </c>
      <c r="L1" t="s">
        <v>217</v>
      </c>
      <c r="M1" t="s">
        <v>218</v>
      </c>
      <c r="N1" t="s">
        <v>129</v>
      </c>
      <c r="O1" t="s">
        <v>219</v>
      </c>
      <c r="P1" t="s">
        <v>131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140</v>
      </c>
      <c r="Z1" t="s">
        <v>228</v>
      </c>
      <c r="AA1" t="s">
        <v>142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  <c r="AY1" t="s">
        <v>252</v>
      </c>
      <c r="AZ1" t="s">
        <v>253</v>
      </c>
      <c r="BA1" t="s">
        <v>254</v>
      </c>
      <c r="BB1" t="s">
        <v>255</v>
      </c>
      <c r="BC1" t="s">
        <v>256</v>
      </c>
      <c r="BD1" t="s">
        <v>257</v>
      </c>
      <c r="BE1" t="s">
        <v>258</v>
      </c>
      <c r="BF1" t="s">
        <v>259</v>
      </c>
      <c r="BG1" t="s">
        <v>260</v>
      </c>
      <c r="BH1" t="s">
        <v>261</v>
      </c>
      <c r="BI1" t="s">
        <v>262</v>
      </c>
      <c r="BJ1" t="s">
        <v>263</v>
      </c>
      <c r="BK1" t="s">
        <v>264</v>
      </c>
      <c r="BL1" t="s">
        <v>265</v>
      </c>
      <c r="BM1" t="s">
        <v>266</v>
      </c>
      <c r="BN1" t="s">
        <v>267</v>
      </c>
      <c r="BO1" t="s">
        <v>268</v>
      </c>
      <c r="BP1" t="s">
        <v>269</v>
      </c>
      <c r="BQ1" t="s">
        <v>270</v>
      </c>
      <c r="BR1" t="s">
        <v>271</v>
      </c>
      <c r="BS1" t="s">
        <v>272</v>
      </c>
      <c r="BT1" t="s">
        <v>273</v>
      </c>
      <c r="BU1" t="s">
        <v>274</v>
      </c>
      <c r="BV1" t="s">
        <v>275</v>
      </c>
      <c r="BW1" t="s">
        <v>276</v>
      </c>
      <c r="BX1" t="s">
        <v>277</v>
      </c>
      <c r="BY1" t="s">
        <v>278</v>
      </c>
      <c r="BZ1" t="s">
        <v>279</v>
      </c>
      <c r="CA1" t="s">
        <v>280</v>
      </c>
      <c r="CB1" t="s">
        <v>281</v>
      </c>
      <c r="CC1" t="s">
        <v>282</v>
      </c>
      <c r="CD1" t="s">
        <v>283</v>
      </c>
      <c r="CE1" t="s">
        <v>284</v>
      </c>
      <c r="CF1" t="s">
        <v>285</v>
      </c>
      <c r="CG1" t="s">
        <v>286</v>
      </c>
      <c r="CH1" t="s">
        <v>287</v>
      </c>
      <c r="CI1" t="s">
        <v>288</v>
      </c>
      <c r="CJ1" t="s">
        <v>289</v>
      </c>
      <c r="CK1" t="s">
        <v>290</v>
      </c>
      <c r="CL1" t="s">
        <v>291</v>
      </c>
      <c r="CM1" t="s">
        <v>292</v>
      </c>
      <c r="CN1" t="s">
        <v>293</v>
      </c>
      <c r="CO1" t="s">
        <v>294</v>
      </c>
      <c r="CP1" t="s">
        <v>295</v>
      </c>
      <c r="CQ1" t="s">
        <v>296</v>
      </c>
      <c r="CR1" t="s">
        <v>297</v>
      </c>
      <c r="CS1" t="s">
        <v>298</v>
      </c>
      <c r="CT1" t="s">
        <v>299</v>
      </c>
      <c r="CU1" t="s">
        <v>300</v>
      </c>
      <c r="CV1" t="s">
        <v>301</v>
      </c>
      <c r="CW1" t="s">
        <v>302</v>
      </c>
      <c r="CX1" t="s">
        <v>303</v>
      </c>
      <c r="CY1" t="s">
        <v>304</v>
      </c>
      <c r="CZ1" t="s">
        <v>305</v>
      </c>
      <c r="DA1" t="s">
        <v>306</v>
      </c>
      <c r="DB1" t="s">
        <v>307</v>
      </c>
      <c r="DC1" t="s">
        <v>308</v>
      </c>
      <c r="DD1" t="s">
        <v>309</v>
      </c>
      <c r="DE1" t="s">
        <v>310</v>
      </c>
      <c r="DF1" t="s">
        <v>311</v>
      </c>
      <c r="DG1" t="s">
        <v>312</v>
      </c>
      <c r="DH1" t="s">
        <v>313</v>
      </c>
      <c r="DI1" t="s">
        <v>314</v>
      </c>
      <c r="DJ1" t="s">
        <v>315</v>
      </c>
      <c r="DK1" t="s">
        <v>316</v>
      </c>
      <c r="DL1" t="s">
        <v>317</v>
      </c>
      <c r="DM1" t="s">
        <v>318</v>
      </c>
      <c r="DN1" t="s">
        <v>319</v>
      </c>
      <c r="DO1" t="s">
        <v>320</v>
      </c>
      <c r="DP1" t="s">
        <v>321</v>
      </c>
      <c r="DQ1" t="s">
        <v>322</v>
      </c>
      <c r="DR1" t="s">
        <v>323</v>
      </c>
      <c r="DS1" t="s">
        <v>324</v>
      </c>
      <c r="DT1" t="s">
        <v>325</v>
      </c>
      <c r="DU1" t="s">
        <v>326</v>
      </c>
      <c r="DV1" t="s">
        <v>327</v>
      </c>
      <c r="DW1" t="s">
        <v>328</v>
      </c>
      <c r="DX1" t="s">
        <v>329</v>
      </c>
      <c r="DY1" t="s">
        <v>330</v>
      </c>
      <c r="DZ1" t="s">
        <v>331</v>
      </c>
      <c r="EA1" t="s">
        <v>332</v>
      </c>
      <c r="EB1" t="s">
        <v>333</v>
      </c>
      <c r="EC1" t="s">
        <v>334</v>
      </c>
      <c r="ED1" t="s">
        <v>335</v>
      </c>
      <c r="EE1" t="s">
        <v>336</v>
      </c>
      <c r="EF1" t="s">
        <v>337</v>
      </c>
      <c r="EG1" t="s">
        <v>338</v>
      </c>
      <c r="EH1" t="s">
        <v>339</v>
      </c>
      <c r="EI1" t="s">
        <v>340</v>
      </c>
      <c r="EJ1" t="s">
        <v>341</v>
      </c>
      <c r="EK1" t="s">
        <v>342</v>
      </c>
      <c r="EL1" t="s">
        <v>343</v>
      </c>
      <c r="EM1" t="s">
        <v>344</v>
      </c>
      <c r="EN1" t="s">
        <v>345</v>
      </c>
      <c r="EO1" t="s">
        <v>346</v>
      </c>
      <c r="EP1" t="s">
        <v>347</v>
      </c>
      <c r="EQ1" t="s">
        <v>348</v>
      </c>
      <c r="ER1" t="s">
        <v>349</v>
      </c>
      <c r="ES1" t="s">
        <v>350</v>
      </c>
      <c r="ET1" t="s">
        <v>351</v>
      </c>
      <c r="EU1" t="s">
        <v>352</v>
      </c>
      <c r="EV1" t="s">
        <v>353</v>
      </c>
      <c r="EW1" t="s">
        <v>354</v>
      </c>
      <c r="EX1" t="s">
        <v>355</v>
      </c>
      <c r="EY1" t="s">
        <v>356</v>
      </c>
      <c r="EZ1" t="s">
        <v>357</v>
      </c>
      <c r="FA1" t="s">
        <v>358</v>
      </c>
      <c r="FB1" t="s">
        <v>359</v>
      </c>
      <c r="FC1" t="s">
        <v>360</v>
      </c>
      <c r="FD1" t="s">
        <v>361</v>
      </c>
      <c r="FE1" t="s">
        <v>362</v>
      </c>
      <c r="FF1" t="s">
        <v>363</v>
      </c>
      <c r="FG1" t="s">
        <v>364</v>
      </c>
      <c r="FH1" t="s">
        <v>365</v>
      </c>
      <c r="FI1" t="s">
        <v>366</v>
      </c>
      <c r="FJ1" t="s">
        <v>367</v>
      </c>
      <c r="FK1" t="s">
        <v>368</v>
      </c>
      <c r="FL1" t="s">
        <v>369</v>
      </c>
      <c r="FM1" t="s">
        <v>370</v>
      </c>
      <c r="FN1" t="s">
        <v>371</v>
      </c>
    </row>
    <row r="2" spans="1:170" x14ac:dyDescent="0.25">
      <c r="A2">
        <v>1997</v>
      </c>
      <c r="H2" s="1">
        <f>AVERAGE(H3:H5)</f>
        <v>1046790.0864197531</v>
      </c>
    </row>
    <row r="3" spans="1:170" x14ac:dyDescent="0.25">
      <c r="A3">
        <v>1998</v>
      </c>
      <c r="H3" s="1">
        <f>AVERAGE(H4:H6)</f>
        <v>1042319.8148148148</v>
      </c>
    </row>
    <row r="4" spans="1:170" x14ac:dyDescent="0.25">
      <c r="A4">
        <v>1999</v>
      </c>
      <c r="H4" s="1">
        <f>AVERAGE(H5:H7)</f>
        <v>1050201.1111111112</v>
      </c>
    </row>
    <row r="5" spans="1:170" x14ac:dyDescent="0.25">
      <c r="A5">
        <v>2000</v>
      </c>
      <c r="C5">
        <v>1445882.3959183176</v>
      </c>
      <c r="D5">
        <v>82163475</v>
      </c>
      <c r="F5">
        <v>38136234</v>
      </c>
      <c r="G5">
        <v>3179728</v>
      </c>
      <c r="H5" s="1">
        <f>AVERAGE(H6:H8)</f>
        <v>1047849.3333333334</v>
      </c>
      <c r="I5">
        <v>0</v>
      </c>
      <c r="K5">
        <v>2842.27</v>
      </c>
      <c r="L5">
        <v>3016.9585714285708</v>
      </c>
      <c r="M5">
        <v>0.94209778911685438</v>
      </c>
      <c r="Q5">
        <v>2.1544726991133945</v>
      </c>
      <c r="R5">
        <v>38.700018469277254</v>
      </c>
      <c r="S5">
        <v>83.378133247241976</v>
      </c>
      <c r="V5">
        <v>17597.629553987554</v>
      </c>
      <c r="W5">
        <v>37913.612443177204</v>
      </c>
      <c r="X5">
        <v>1.1591474057807478</v>
      </c>
      <c r="AB5">
        <v>65318.005588993983</v>
      </c>
      <c r="AC5">
        <v>918.35425623387778</v>
      </c>
      <c r="AD5">
        <v>19683.010920034394</v>
      </c>
      <c r="AE5">
        <v>886.8467755803955</v>
      </c>
      <c r="AF5">
        <v>18796.164144454</v>
      </c>
      <c r="AG5">
        <v>23441.036113499569</v>
      </c>
      <c r="AH5">
        <v>4124.4625967325883</v>
      </c>
      <c r="AI5">
        <v>4027.6344797936367</v>
      </c>
      <c r="AJ5">
        <v>0</v>
      </c>
      <c r="AK5">
        <v>0</v>
      </c>
      <c r="AL5">
        <v>96.82811693895097</v>
      </c>
      <c r="AM5">
        <v>0</v>
      </c>
      <c r="AN5">
        <v>56.922206854124205</v>
      </c>
      <c r="AO5">
        <v>5930.1614789337918</v>
      </c>
      <c r="AP5">
        <v>11220.98022355976</v>
      </c>
      <c r="AR5">
        <v>65318.005588993976</v>
      </c>
      <c r="AS5">
        <v>58816.42249800291</v>
      </c>
      <c r="AT5">
        <v>48318.079675055516</v>
      </c>
      <c r="AU5">
        <v>49.648768232435984</v>
      </c>
      <c r="AV5">
        <v>7770.4711380199251</v>
      </c>
      <c r="AW5">
        <v>2678.2229166950319</v>
      </c>
      <c r="AX5">
        <v>6501.5830909910674</v>
      </c>
      <c r="AZ5">
        <v>1</v>
      </c>
      <c r="BA5">
        <v>0.90046262079859685</v>
      </c>
      <c r="BB5">
        <v>0.73973599223300646</v>
      </c>
      <c r="BC5">
        <v>7.6010845378294515E-4</v>
      </c>
      <c r="BD5">
        <v>0.11896369259825108</v>
      </c>
      <c r="BE5">
        <v>4.1002827513556384E-2</v>
      </c>
      <c r="BF5">
        <v>9.9537379201403209E-2</v>
      </c>
      <c r="BJ5">
        <v>119513.73851802001</v>
      </c>
      <c r="BK5">
        <v>3827.5567486199998</v>
      </c>
      <c r="BL5">
        <v>60633.020849399996</v>
      </c>
      <c r="BM5">
        <v>2342.9346004800004</v>
      </c>
      <c r="BN5">
        <v>58290.086248919994</v>
      </c>
      <c r="BO5">
        <v>55053.160920000009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119513.73851802001</v>
      </c>
      <c r="CA5">
        <v>119513.73851802001</v>
      </c>
      <c r="CB5">
        <v>104219.07407222519</v>
      </c>
      <c r="CC5">
        <v>0</v>
      </c>
      <c r="CD5">
        <v>15118.286123352347</v>
      </c>
      <c r="CE5">
        <v>176.37832244245703</v>
      </c>
      <c r="CF5">
        <v>0</v>
      </c>
      <c r="CH5">
        <v>1</v>
      </c>
      <c r="CI5">
        <v>1</v>
      </c>
      <c r="CJ5">
        <v>0.87202588894423461</v>
      </c>
      <c r="CK5">
        <v>0</v>
      </c>
      <c r="CL5">
        <v>0.12649831149807811</v>
      </c>
      <c r="CM5">
        <v>1.4757995576873627E-3</v>
      </c>
      <c r="CN5">
        <v>0</v>
      </c>
      <c r="CR5">
        <v>19919.334588727343</v>
      </c>
      <c r="CS5">
        <v>17936.616228329567</v>
      </c>
      <c r="CT5">
        <v>14735.048736613468</v>
      </c>
      <c r="CU5">
        <v>15.140854614622684</v>
      </c>
      <c r="CV5">
        <v>2369.67759677507</v>
      </c>
      <c r="CW5">
        <v>816.74904032640507</v>
      </c>
      <c r="CX5">
        <v>1982.7183603977812</v>
      </c>
      <c r="CZ5">
        <v>11022.078055706515</v>
      </c>
      <c r="DA5">
        <v>8811.6861658370326</v>
      </c>
      <c r="DB5">
        <v>29.140158662445565</v>
      </c>
      <c r="DC5">
        <v>1562.9778718586704</v>
      </c>
      <c r="DD5">
        <v>618.27385934836718</v>
      </c>
      <c r="DF5">
        <v>3133.863152770145</v>
      </c>
      <c r="DG5">
        <v>3133.863152770145</v>
      </c>
      <c r="DH5">
        <v>2732.8098016239669</v>
      </c>
      <c r="DI5">
        <v>0</v>
      </c>
      <c r="DJ5">
        <v>396.42839729146687</v>
      </c>
      <c r="DK5">
        <v>4.6249538547109035</v>
      </c>
      <c r="DL5">
        <v>0</v>
      </c>
      <c r="DN5">
        <v>0.61450152667580371</v>
      </c>
      <c r="DO5">
        <v>0.59800862035439772</v>
      </c>
      <c r="DP5">
        <v>1.924604614742333</v>
      </c>
      <c r="DQ5">
        <v>0.65957405935125968</v>
      </c>
      <c r="DR5">
        <v>0.75699367715360955</v>
      </c>
      <c r="DV5">
        <v>238.90358074652923</v>
      </c>
      <c r="DW5">
        <v>215.12374443718892</v>
      </c>
      <c r="DX5">
        <v>176.72557735155198</v>
      </c>
      <c r="DY5">
        <v>0.18159263136445333</v>
      </c>
      <c r="DZ5">
        <v>28.420852140551556</v>
      </c>
      <c r="EA5">
        <v>9.7957223137209297</v>
      </c>
      <c r="EB5">
        <v>23.779836309340332</v>
      </c>
      <c r="ED5">
        <v>132.19386938086802</v>
      </c>
      <c r="EE5">
        <v>105.68341869333599</v>
      </c>
      <c r="EF5">
        <v>0.34949401632723021</v>
      </c>
      <c r="EG5">
        <v>18.745656816565528</v>
      </c>
      <c r="EH5">
        <v>7.4152998546392705</v>
      </c>
      <c r="EJ5">
        <v>37.586151556994807</v>
      </c>
      <c r="EK5">
        <v>37.586151556994807</v>
      </c>
      <c r="EL5">
        <v>32.776097223481123</v>
      </c>
      <c r="EM5">
        <v>0</v>
      </c>
      <c r="EN5">
        <v>4.754584707670702</v>
      </c>
      <c r="EO5">
        <v>5.5469625842983115E-2</v>
      </c>
      <c r="EP5">
        <v>0</v>
      </c>
      <c r="ET5">
        <v>9245.5729872671509</v>
      </c>
      <c r="EU5">
        <v>8325.2928828992899</v>
      </c>
      <c r="EV5">
        <v>6839.2831074987471</v>
      </c>
      <c r="EW5">
        <v>7.0276381876889999</v>
      </c>
      <c r="EX5">
        <v>1099.8875027519432</v>
      </c>
      <c r="EY5">
        <v>379.09463446091127</v>
      </c>
      <c r="EZ5">
        <v>920.28010436786076</v>
      </c>
      <c r="FB5">
        <v>5115.9051865648171</v>
      </c>
      <c r="FC5">
        <v>4089.9502553284642</v>
      </c>
      <c r="FD5">
        <v>13.525424886765697</v>
      </c>
      <c r="FE5">
        <v>725.45726501981892</v>
      </c>
      <c r="FF5">
        <v>286.97224132976868</v>
      </c>
      <c r="FH5">
        <v>1454.584759444753</v>
      </c>
      <c r="FI5">
        <v>1454.584759444753</v>
      </c>
      <c r="FJ5">
        <v>1268.4355678995464</v>
      </c>
      <c r="FK5">
        <v>0</v>
      </c>
      <c r="FL5">
        <v>184.0025160005994</v>
      </c>
      <c r="FM5">
        <v>2.1466755446073456</v>
      </c>
      <c r="FN5">
        <v>0</v>
      </c>
    </row>
    <row r="6" spans="1:170" x14ac:dyDescent="0.25">
      <c r="A6">
        <v>2001</v>
      </c>
      <c r="C6">
        <v>1463183.75915456</v>
      </c>
      <c r="D6">
        <v>82259540</v>
      </c>
      <c r="F6">
        <v>38317671</v>
      </c>
      <c r="G6">
        <v>3213967</v>
      </c>
      <c r="H6">
        <v>1028909</v>
      </c>
      <c r="I6">
        <v>104899.63333930681</v>
      </c>
      <c r="K6">
        <v>3216.74</v>
      </c>
      <c r="L6">
        <v>3016.9585714285708</v>
      </c>
      <c r="M6">
        <v>1.0662194802618157</v>
      </c>
      <c r="Q6">
        <v>2.1467781797072165</v>
      </c>
      <c r="R6">
        <v>39.071054858804217</v>
      </c>
      <c r="S6">
        <v>83.876888029024514</v>
      </c>
      <c r="T6">
        <v>47.490837862299287</v>
      </c>
      <c r="U6">
        <v>101.95229445879743</v>
      </c>
      <c r="V6">
        <v>17787.405073679722</v>
      </c>
      <c r="W6">
        <v>38185.61308578906</v>
      </c>
      <c r="X6">
        <v>1.1531214804499874</v>
      </c>
      <c r="AB6">
        <v>69841.678159931194</v>
      </c>
      <c r="AC6">
        <v>892.27291487532239</v>
      </c>
      <c r="AD6">
        <v>22446.254858125532</v>
      </c>
      <c r="AE6">
        <v>892.49544282029228</v>
      </c>
      <c r="AF6">
        <v>21553.759415305241</v>
      </c>
      <c r="AG6">
        <v>24728.95528804815</v>
      </c>
      <c r="AH6">
        <v>4226.425881341358</v>
      </c>
      <c r="AI6">
        <v>4100.9840068787616</v>
      </c>
      <c r="AJ6">
        <v>0</v>
      </c>
      <c r="AK6">
        <v>0</v>
      </c>
      <c r="AL6">
        <v>125.4418744625967</v>
      </c>
      <c r="AM6">
        <v>0</v>
      </c>
      <c r="AN6">
        <v>89.4838240023862</v>
      </c>
      <c r="AO6">
        <v>6025.8431642304377</v>
      </c>
      <c r="AP6">
        <v>11521.926053310401</v>
      </c>
      <c r="AR6">
        <v>69841.678159931209</v>
      </c>
      <c r="AS6">
        <v>63233.494571944546</v>
      </c>
      <c r="AT6">
        <v>52261.959857466827</v>
      </c>
      <c r="AU6">
        <v>49.530481916708439</v>
      </c>
      <c r="AV6">
        <v>8135.3571890077619</v>
      </c>
      <c r="AW6">
        <v>2786.6470435532447</v>
      </c>
      <c r="AX6">
        <v>6608.1835879866667</v>
      </c>
      <c r="AZ6">
        <v>1</v>
      </c>
      <c r="BA6">
        <v>0.90538337906408106</v>
      </c>
      <c r="BB6">
        <v>0.74829186861449126</v>
      </c>
      <c r="BC6">
        <v>7.0918229947579522E-4</v>
      </c>
      <c r="BD6">
        <v>0.11648284238500857</v>
      </c>
      <c r="BE6">
        <v>3.9899485765105352E-2</v>
      </c>
      <c r="BF6">
        <v>9.4616620935919035E-2</v>
      </c>
      <c r="BJ6">
        <v>130994.82615635998</v>
      </c>
      <c r="BK6">
        <v>3712.54248684</v>
      </c>
      <c r="BL6">
        <v>69203.159309519979</v>
      </c>
      <c r="BM6">
        <v>2357.85764952</v>
      </c>
      <c r="BN6">
        <v>66845.301659999983</v>
      </c>
      <c r="BO6">
        <v>58079.124360000009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130994.82615636</v>
      </c>
      <c r="CA6">
        <v>130994.82615636</v>
      </c>
      <c r="CB6">
        <v>114668.67396544076</v>
      </c>
      <c r="CC6">
        <v>0</v>
      </c>
      <c r="CD6">
        <v>16144.957993483436</v>
      </c>
      <c r="CE6">
        <v>181.19419743580775</v>
      </c>
      <c r="CF6">
        <v>0</v>
      </c>
      <c r="CH6">
        <v>1</v>
      </c>
      <c r="CI6">
        <v>1</v>
      </c>
      <c r="CJ6">
        <v>0.87536796169772557</v>
      </c>
      <c r="CK6">
        <v>0</v>
      </c>
      <c r="CL6">
        <v>0.12324882185966833</v>
      </c>
      <c r="CM6">
        <v>1.3832164426061228E-3</v>
      </c>
      <c r="CN6">
        <v>0</v>
      </c>
      <c r="CR6">
        <v>21198.018976675277</v>
      </c>
      <c r="CS6">
        <v>19192.334050566777</v>
      </c>
      <c r="CT6">
        <v>15862.30523098179</v>
      </c>
      <c r="CU6">
        <v>15.033259842210118</v>
      </c>
      <c r="CV6">
        <v>2469.2055033344873</v>
      </c>
      <c r="CW6">
        <v>845.79005640828836</v>
      </c>
      <c r="CX6">
        <v>2005.6849261085033</v>
      </c>
      <c r="CZ6">
        <v>11857.320389099514</v>
      </c>
      <c r="DA6">
        <v>9551.2555029661507</v>
      </c>
      <c r="DB6">
        <v>29.927134923316832</v>
      </c>
      <c r="DC6">
        <v>1633.9317988704979</v>
      </c>
      <c r="DD6">
        <v>642.20595233954782</v>
      </c>
      <c r="DF6">
        <v>3418.6531367305706</v>
      </c>
      <c r="DG6">
        <v>3418.6531367305706</v>
      </c>
      <c r="DH6">
        <v>2992.5794280513751</v>
      </c>
      <c r="DI6">
        <v>0</v>
      </c>
      <c r="DJ6">
        <v>421.34497144890241</v>
      </c>
      <c r="DK6">
        <v>4.7287372302927233</v>
      </c>
      <c r="DL6">
        <v>0</v>
      </c>
      <c r="DN6">
        <v>0.61781544432576974</v>
      </c>
      <c r="DO6">
        <v>0.60213539986047659</v>
      </c>
      <c r="DP6">
        <v>1.9907282410756952</v>
      </c>
      <c r="DQ6">
        <v>0.66172369884320636</v>
      </c>
      <c r="DR6">
        <v>0.75929711808947509</v>
      </c>
      <c r="DV6">
        <v>252.72777131812492</v>
      </c>
      <c r="DW6">
        <v>228.8155235793383</v>
      </c>
      <c r="DX6">
        <v>189.11413625041556</v>
      </c>
      <c r="DY6">
        <v>0.17923006200478078</v>
      </c>
      <c r="DZ6">
        <v>29.438449152763638</v>
      </c>
      <c r="EA6">
        <v>10.083708114154328</v>
      </c>
      <c r="EB6">
        <v>23.912247738786657</v>
      </c>
      <c r="ED6">
        <v>141.36576436880253</v>
      </c>
      <c r="EE6">
        <v>113.87231605041262</v>
      </c>
      <c r="EF6">
        <v>0.35679834608266503</v>
      </c>
      <c r="EG6">
        <v>19.480119461574411</v>
      </c>
      <c r="EH6">
        <v>7.6565305107328356</v>
      </c>
      <c r="EJ6">
        <v>40.757987296185689</v>
      </c>
      <c r="EK6">
        <v>40.757987296185689</v>
      </c>
      <c r="EL6">
        <v>35.678236262363853</v>
      </c>
      <c r="EM6">
        <v>0</v>
      </c>
      <c r="EN6">
        <v>5.0233739156262143</v>
      </c>
      <c r="EO6">
        <v>5.6377118195615521E-2</v>
      </c>
      <c r="EP6">
        <v>0</v>
      </c>
      <c r="ET6">
        <v>9874.3406175137861</v>
      </c>
      <c r="EU6">
        <v>8940.0638743143354</v>
      </c>
      <c r="EV6">
        <v>7388.888792015362</v>
      </c>
      <c r="EW6">
        <v>7.0027075849356706</v>
      </c>
      <c r="EX6">
        <v>1150.1912618057463</v>
      </c>
      <c r="EY6">
        <v>393.98111290829286</v>
      </c>
      <c r="EZ6">
        <v>934.27674319945061</v>
      </c>
      <c r="FB6">
        <v>5523.3095348102743</v>
      </c>
      <c r="FC6">
        <v>4449.111507304764</v>
      </c>
      <c r="FD6">
        <v>13.940487753326416</v>
      </c>
      <c r="FE6">
        <v>761.10881613923345</v>
      </c>
      <c r="FF6">
        <v>299.14872361295085</v>
      </c>
      <c r="FH6">
        <v>1592.4575575837164</v>
      </c>
      <c r="FI6">
        <v>1592.4575575837164</v>
      </c>
      <c r="FJ6">
        <v>1393.986326272196</v>
      </c>
      <c r="FK6">
        <v>0</v>
      </c>
      <c r="FL6">
        <v>196.26851783371797</v>
      </c>
      <c r="FM6">
        <v>2.2027134778021833</v>
      </c>
      <c r="FN6">
        <v>0</v>
      </c>
    </row>
    <row r="7" spans="1:170" x14ac:dyDescent="0.25">
      <c r="A7">
        <v>2002</v>
      </c>
      <c r="C7">
        <v>1442989.2123610326</v>
      </c>
      <c r="D7">
        <v>82440309</v>
      </c>
      <c r="F7">
        <v>38540012</v>
      </c>
      <c r="G7">
        <v>3243361</v>
      </c>
      <c r="H7">
        <v>1073845</v>
      </c>
      <c r="I7">
        <v>100390.81397255974</v>
      </c>
      <c r="K7">
        <v>3052.98</v>
      </c>
      <c r="L7">
        <v>3016.9585714285708</v>
      </c>
      <c r="M7">
        <v>1.0119396497229236</v>
      </c>
      <c r="Q7">
        <v>2.1390836359884893</v>
      </c>
      <c r="R7">
        <v>39.34193162716069</v>
      </c>
      <c r="S7">
        <v>84.155682151837425</v>
      </c>
      <c r="T7">
        <v>43.704344496514302</v>
      </c>
      <c r="U7">
        <v>93.487248134097328</v>
      </c>
      <c r="V7">
        <v>17503.442549700205</v>
      </c>
      <c r="W7">
        <v>37441.327531528346</v>
      </c>
      <c r="X7">
        <v>1.1255185728838162</v>
      </c>
      <c r="AB7">
        <v>67261.9309544282</v>
      </c>
      <c r="AC7">
        <v>730.45356835769553</v>
      </c>
      <c r="AD7">
        <v>19847.542218400689</v>
      </c>
      <c r="AE7">
        <v>798.72691315563179</v>
      </c>
      <c r="AF7">
        <v>19048.815305245054</v>
      </c>
      <c r="AG7">
        <v>24728.073946689601</v>
      </c>
      <c r="AH7">
        <v>4283.2711951848669</v>
      </c>
      <c r="AI7">
        <v>4134.422441960447</v>
      </c>
      <c r="AJ7">
        <v>0</v>
      </c>
      <c r="AK7">
        <v>0</v>
      </c>
      <c r="AL7">
        <v>148.8487532244196</v>
      </c>
      <c r="AM7">
        <v>0</v>
      </c>
      <c r="AN7">
        <v>127.90944444524312</v>
      </c>
      <c r="AO7">
        <v>5935.7026655202053</v>
      </c>
      <c r="AP7">
        <v>11736.88736027515</v>
      </c>
      <c r="AR7">
        <v>67261.930954428215</v>
      </c>
      <c r="AS7">
        <v>60538.0839978859</v>
      </c>
      <c r="AT7">
        <v>49313.347057236781</v>
      </c>
      <c r="AU7">
        <v>49.517263875873219</v>
      </c>
      <c r="AV7">
        <v>8303.237008361195</v>
      </c>
      <c r="AW7">
        <v>2871.9826684120521</v>
      </c>
      <c r="AX7">
        <v>6723.8469565423075</v>
      </c>
      <c r="AZ7">
        <v>1</v>
      </c>
      <c r="BA7">
        <v>0.90003488063555737</v>
      </c>
      <c r="BB7">
        <v>0.73315390083950926</v>
      </c>
      <c r="BC7">
        <v>7.3618558333424157E-4</v>
      </c>
      <c r="BD7">
        <v>0.12344630745119202</v>
      </c>
      <c r="BE7">
        <v>4.2698486761521881E-2</v>
      </c>
      <c r="BF7">
        <v>9.9965119364442523E-2</v>
      </c>
      <c r="BJ7">
        <v>122289.22817534402</v>
      </c>
      <c r="BK7">
        <v>3027.6929063039997</v>
      </c>
      <c r="BL7">
        <v>61184.049269040013</v>
      </c>
      <c r="BM7">
        <v>2110.1333090400003</v>
      </c>
      <c r="BN7">
        <v>59073.915960000013</v>
      </c>
      <c r="BO7">
        <v>58077.485999999997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122289.22817534402</v>
      </c>
      <c r="CA7">
        <v>122289.22817534402</v>
      </c>
      <c r="CB7">
        <v>105901.17471198506</v>
      </c>
      <c r="CC7">
        <v>0</v>
      </c>
      <c r="CD7">
        <v>16191.832692866568</v>
      </c>
      <c r="CE7">
        <v>196.22077049239832</v>
      </c>
      <c r="CF7">
        <v>0</v>
      </c>
      <c r="CH7">
        <v>1</v>
      </c>
      <c r="CI7">
        <v>1</v>
      </c>
      <c r="CJ7">
        <v>0.86598939491333615</v>
      </c>
      <c r="CK7">
        <v>0</v>
      </c>
      <c r="CL7">
        <v>0.13240604208941412</v>
      </c>
      <c r="CM7">
        <v>1.6045629972498299E-3</v>
      </c>
      <c r="CN7">
        <v>0</v>
      </c>
      <c r="CR7">
        <v>20297.249959340959</v>
      </c>
      <c r="CS7">
        <v>18268.232944385516</v>
      </c>
      <c r="CT7">
        <v>14881.007984005397</v>
      </c>
      <c r="CU7">
        <v>14.942542801398339</v>
      </c>
      <c r="CV7">
        <v>2505.620558894499</v>
      </c>
      <c r="CW7">
        <v>866.66185868422053</v>
      </c>
      <c r="CX7">
        <v>2029.0170149554451</v>
      </c>
      <c r="CZ7">
        <v>11487.808233083761</v>
      </c>
      <c r="DA7">
        <v>9122.7062894625233</v>
      </c>
      <c r="DB7">
        <v>30.934661799024394</v>
      </c>
      <c r="DC7">
        <v>1674.171698814642</v>
      </c>
      <c r="DD7">
        <v>659.99558300756803</v>
      </c>
      <c r="DF7">
        <v>3173.0459288737125</v>
      </c>
      <c r="DG7">
        <v>3173.0459288737125</v>
      </c>
      <c r="DH7">
        <v>2747.8241239775707</v>
      </c>
      <c r="DI7">
        <v>0</v>
      </c>
      <c r="DJ7">
        <v>420.13045281009687</v>
      </c>
      <c r="DK7">
        <v>5.0913520860449744</v>
      </c>
      <c r="DL7">
        <v>0</v>
      </c>
      <c r="DN7">
        <v>0.62884069127300979</v>
      </c>
      <c r="DO7">
        <v>0.61304357199914905</v>
      </c>
      <c r="DP7">
        <v>2.0702408023974002</v>
      </c>
      <c r="DQ7">
        <v>0.6681664918782837</v>
      </c>
      <c r="DR7">
        <v>0.76153758976953667</v>
      </c>
      <c r="DV7">
        <v>241.18692214650176</v>
      </c>
      <c r="DW7">
        <v>217.07664268498425</v>
      </c>
      <c r="DX7">
        <v>176.82713280318279</v>
      </c>
      <c r="DY7">
        <v>0.17755833497301274</v>
      </c>
      <c r="DZ7">
        <v>29.773634944503769</v>
      </c>
      <c r="EA7">
        <v>10.298316602324611</v>
      </c>
      <c r="EB7">
        <v>24.110279461517553</v>
      </c>
      <c r="ED7">
        <v>136.50662604524962</v>
      </c>
      <c r="EE7">
        <v>108.40273712003108</v>
      </c>
      <c r="EF7">
        <v>0.36758850986687625</v>
      </c>
      <c r="EG7">
        <v>19.893745211333759</v>
      </c>
      <c r="EH7">
        <v>7.8425552040178896</v>
      </c>
      <c r="EJ7">
        <v>37.704476367368301</v>
      </c>
      <c r="EK7">
        <v>37.704476367368301</v>
      </c>
      <c r="EL7">
        <v>32.651676674901452</v>
      </c>
      <c r="EM7">
        <v>0</v>
      </c>
      <c r="EN7">
        <v>4.9923004848570871</v>
      </c>
      <c r="EO7">
        <v>6.0499207609759853E-2</v>
      </c>
      <c r="EP7">
        <v>0</v>
      </c>
      <c r="ET7">
        <v>9488.7594004530001</v>
      </c>
      <c r="EU7">
        <v>8540.2144343662403</v>
      </c>
      <c r="EV7">
        <v>6956.7209685696798</v>
      </c>
      <c r="EW7">
        <v>6.9854878743407616</v>
      </c>
      <c r="EX7">
        <v>1171.3523102787096</v>
      </c>
      <c r="EY7">
        <v>405.15566764350871</v>
      </c>
      <c r="EZ7">
        <v>948.54496608676016</v>
      </c>
      <c r="FB7">
        <v>5370.4343485266027</v>
      </c>
      <c r="FC7">
        <v>4264.7730719733363</v>
      </c>
      <c r="FD7">
        <v>14.461642022112528</v>
      </c>
      <c r="FE7">
        <v>782.65836391244829</v>
      </c>
      <c r="FF7">
        <v>308.54127061870503</v>
      </c>
      <c r="FH7">
        <v>1483.3669312828997</v>
      </c>
      <c r="FI7">
        <v>1483.3669312828997</v>
      </c>
      <c r="FJ7">
        <v>1284.5800312561305</v>
      </c>
      <c r="FK7">
        <v>0</v>
      </c>
      <c r="FL7">
        <v>196.40674433748865</v>
      </c>
      <c r="FM7">
        <v>2.380155689280572</v>
      </c>
      <c r="FN7">
        <v>0</v>
      </c>
    </row>
    <row r="8" spans="1:170" x14ac:dyDescent="0.25">
      <c r="A8">
        <v>2003</v>
      </c>
      <c r="C8">
        <v>1449078.6083969639</v>
      </c>
      <c r="D8">
        <v>82536680</v>
      </c>
      <c r="F8">
        <v>38724361</v>
      </c>
      <c r="G8">
        <v>3271962</v>
      </c>
      <c r="H8">
        <v>1040794</v>
      </c>
      <c r="I8">
        <v>100009.78532893395</v>
      </c>
      <c r="K8">
        <v>3221.84</v>
      </c>
      <c r="L8">
        <v>3016.9585714285708</v>
      </c>
      <c r="M8">
        <v>1.0679099244224672</v>
      </c>
      <c r="Q8">
        <v>2.1313890757293579</v>
      </c>
      <c r="R8">
        <v>39.642520149829146</v>
      </c>
      <c r="S8">
        <v>84.493634381726793</v>
      </c>
      <c r="T8">
        <v>45.083225432525815</v>
      </c>
      <c r="U8">
        <v>96.089894185529474</v>
      </c>
      <c r="V8">
        <v>17556.783340412578</v>
      </c>
      <c r="W8">
        <v>37420.336216702555</v>
      </c>
      <c r="X8">
        <v>1.1187079500240091</v>
      </c>
      <c r="AB8">
        <v>66596.252966466025</v>
      </c>
      <c r="AC8">
        <v>740.90472914875318</v>
      </c>
      <c r="AD8">
        <v>19188.608168529663</v>
      </c>
      <c r="AE8">
        <v>689.14531384350812</v>
      </c>
      <c r="AF8">
        <v>18499.462854686157</v>
      </c>
      <c r="AG8">
        <v>24788.79036973344</v>
      </c>
      <c r="AH8">
        <v>5038.6691315563203</v>
      </c>
      <c r="AI8">
        <v>4667.622012037833</v>
      </c>
      <c r="AJ8">
        <v>3.367755803955288</v>
      </c>
      <c r="AK8">
        <v>0</v>
      </c>
      <c r="AL8">
        <v>199.89011177987959</v>
      </c>
      <c r="AM8">
        <v>1.5286328460877039</v>
      </c>
      <c r="AN8">
        <v>166.26061908856417</v>
      </c>
      <c r="AO8">
        <v>5045.0940670679274</v>
      </c>
      <c r="AP8">
        <v>11960.447119518492</v>
      </c>
      <c r="AR8">
        <v>66596.25296646604</v>
      </c>
      <c r="AS8">
        <v>59751.240510746029</v>
      </c>
      <c r="AT8">
        <v>48226.128942716874</v>
      </c>
      <c r="AU8">
        <v>93.248133169004575</v>
      </c>
      <c r="AV8">
        <v>8485.9941338600001</v>
      </c>
      <c r="AW8">
        <v>2945.869301000158</v>
      </c>
      <c r="AX8">
        <v>6845.0124557200061</v>
      </c>
      <c r="AZ8">
        <v>1</v>
      </c>
      <c r="BA8">
        <v>0.89721625240436953</v>
      </c>
      <c r="BB8">
        <v>0.72415679253006504</v>
      </c>
      <c r="BC8">
        <v>1.400200897428251E-3</v>
      </c>
      <c r="BD8">
        <v>0.12742449846439632</v>
      </c>
      <c r="BE8">
        <v>4.4234760512479952E-2</v>
      </c>
      <c r="BF8">
        <v>0.10278374759563053</v>
      </c>
      <c r="BJ8">
        <v>120478.656327912</v>
      </c>
      <c r="BK8">
        <v>3064.2450498719991</v>
      </c>
      <c r="BL8">
        <v>59190.629359319995</v>
      </c>
      <c r="BM8">
        <v>1820.6328816</v>
      </c>
      <c r="BN8">
        <v>57369.996477719993</v>
      </c>
      <c r="BO8">
        <v>58223.781918719993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120478.656327912</v>
      </c>
      <c r="CA8">
        <v>120478.656327912</v>
      </c>
      <c r="CB8">
        <v>103645.1088068626</v>
      </c>
      <c r="CC8">
        <v>0</v>
      </c>
      <c r="CD8">
        <v>16623.847805259058</v>
      </c>
      <c r="CE8">
        <v>209.69971579033657</v>
      </c>
      <c r="CF8">
        <v>0</v>
      </c>
      <c r="CH8">
        <v>1</v>
      </c>
      <c r="CI8">
        <v>1</v>
      </c>
      <c r="CJ8">
        <v>0.86027776177024429</v>
      </c>
      <c r="CK8">
        <v>0</v>
      </c>
      <c r="CL8">
        <v>0.13798168332831676</v>
      </c>
      <c r="CM8">
        <v>1.7405549014390376E-3</v>
      </c>
      <c r="CN8">
        <v>0</v>
      </c>
      <c r="CR8">
        <v>20000.70245187519</v>
      </c>
      <c r="CS8">
        <v>17944.955299326346</v>
      </c>
      <c r="CT8">
        <v>14483.644535898144</v>
      </c>
      <c r="CU8">
        <v>28.005001522311066</v>
      </c>
      <c r="CV8">
        <v>2548.5794788658177</v>
      </c>
      <c r="CW8">
        <v>884.7262830400698</v>
      </c>
      <c r="CX8">
        <v>2055.7471525488486</v>
      </c>
      <c r="CZ8">
        <v>11395.754556247331</v>
      </c>
      <c r="DA8">
        <v>8946.6676128583731</v>
      </c>
      <c r="DB8">
        <v>61.246606746471905</v>
      </c>
      <c r="DC8">
        <v>1711.9155139226264</v>
      </c>
      <c r="DD8">
        <v>675.9248227198616</v>
      </c>
      <c r="DF8">
        <v>3111.1851355768531</v>
      </c>
      <c r="DG8">
        <v>3111.1851355768531</v>
      </c>
      <c r="DH8">
        <v>2676.4833848869089</v>
      </c>
      <c r="DI8">
        <v>0</v>
      </c>
      <c r="DJ8">
        <v>429.28656215293154</v>
      </c>
      <c r="DK8">
        <v>5.4151885370125692</v>
      </c>
      <c r="DL8">
        <v>0</v>
      </c>
      <c r="DN8">
        <v>0.63503945070708145</v>
      </c>
      <c r="DO8">
        <v>0.61770831165345097</v>
      </c>
      <c r="DP8">
        <v>2.1869881598712952</v>
      </c>
      <c r="DQ8">
        <v>0.67171360678320768</v>
      </c>
      <c r="DR8">
        <v>0.76399315322392047</v>
      </c>
      <c r="DV8">
        <v>236.71253578128349</v>
      </c>
      <c r="DW8">
        <v>212.38233425081845</v>
      </c>
      <c r="DX8">
        <v>171.41699066303252</v>
      </c>
      <c r="DY8">
        <v>0.33144510503347019</v>
      </c>
      <c r="DZ8">
        <v>30.162976152165516</v>
      </c>
      <c r="EA8">
        <v>10.470922330586918</v>
      </c>
      <c r="EB8">
        <v>24.330201530465111</v>
      </c>
      <c r="ED8">
        <v>134.87116088252753</v>
      </c>
      <c r="EE8">
        <v>105.88569989117718</v>
      </c>
      <c r="EF8">
        <v>0.72486652035549726</v>
      </c>
      <c r="EG8">
        <v>20.260881502486981</v>
      </c>
      <c r="EH8">
        <v>7.9997129685078621</v>
      </c>
      <c r="EJ8">
        <v>36.821532868631117</v>
      </c>
      <c r="EK8">
        <v>36.821532868631117</v>
      </c>
      <c r="EL8">
        <v>31.676745881175453</v>
      </c>
      <c r="EM8">
        <v>0</v>
      </c>
      <c r="EN8">
        <v>5.0806970879426645</v>
      </c>
      <c r="EO8">
        <v>6.4089899512994528E-2</v>
      </c>
      <c r="EP8">
        <v>0</v>
      </c>
      <c r="ET8">
        <v>9383.8814694266839</v>
      </c>
      <c r="EU8">
        <v>8419.370965005819</v>
      </c>
      <c r="EV8">
        <v>6795.4015063823417</v>
      </c>
      <c r="EW8">
        <v>13.13931925485158</v>
      </c>
      <c r="EX8">
        <v>1195.7363898910376</v>
      </c>
      <c r="EY8">
        <v>415.09374947758789</v>
      </c>
      <c r="EZ8">
        <v>964.51050442086705</v>
      </c>
      <c r="FB8">
        <v>5346.6327129164465</v>
      </c>
      <c r="FC8">
        <v>4197.5759915147537</v>
      </c>
      <c r="FD8">
        <v>28.735535639129335</v>
      </c>
      <c r="FE8">
        <v>803.19240321564075</v>
      </c>
      <c r="FF8">
        <v>317.12878254692248</v>
      </c>
      <c r="FH8">
        <v>1459.6983586923052</v>
      </c>
      <c r="FI8">
        <v>1459.6983586923052</v>
      </c>
      <c r="FJ8">
        <v>1255.7460368755153</v>
      </c>
      <c r="FK8">
        <v>0</v>
      </c>
      <c r="FL8">
        <v>201.41163668394535</v>
      </c>
      <c r="FM8">
        <v>2.5406851328444104</v>
      </c>
      <c r="FN8">
        <v>0</v>
      </c>
    </row>
    <row r="9" spans="1:170" x14ac:dyDescent="0.25">
      <c r="A9">
        <v>2004</v>
      </c>
      <c r="C9">
        <v>1458377.7267508612</v>
      </c>
      <c r="D9">
        <v>82531671</v>
      </c>
      <c r="F9">
        <v>38862308</v>
      </c>
      <c r="G9">
        <v>3301277.9999999995</v>
      </c>
      <c r="H9">
        <v>998488</v>
      </c>
      <c r="I9">
        <v>101066.3021627143</v>
      </c>
      <c r="K9">
        <v>3174.13</v>
      </c>
      <c r="L9">
        <v>3016.9585714285708</v>
      </c>
      <c r="M9">
        <v>1.0520959850293887</v>
      </c>
      <c r="Q9">
        <v>2.1236945319871379</v>
      </c>
      <c r="R9">
        <v>40.000135220817228</v>
      </c>
      <c r="S9">
        <v>84.948068447195666</v>
      </c>
      <c r="T9">
        <v>47.661913843547758</v>
      </c>
      <c r="U9">
        <v>101.21934581358444</v>
      </c>
      <c r="V9">
        <v>17670.522225956884</v>
      </c>
      <c r="W9">
        <v>37526.791428621815</v>
      </c>
      <c r="X9">
        <v>1.1082311695053757</v>
      </c>
      <c r="AB9">
        <v>64612.698624247634</v>
      </c>
      <c r="AC9">
        <v>598.97944969905416</v>
      </c>
      <c r="AD9">
        <v>17630.980309544284</v>
      </c>
      <c r="AE9">
        <v>915.5479793637146</v>
      </c>
      <c r="AF9">
        <v>16715.432330180571</v>
      </c>
      <c r="AG9">
        <v>24070.16130696475</v>
      </c>
      <c r="AH9">
        <v>4944.9937231298363</v>
      </c>
      <c r="AI9">
        <v>4560.8101461736896</v>
      </c>
      <c r="AJ9">
        <v>5.3262252794496989</v>
      </c>
      <c r="AK9">
        <v>0</v>
      </c>
      <c r="AL9">
        <v>204.0699054170249</v>
      </c>
      <c r="AM9">
        <v>3.749871023215821</v>
      </c>
      <c r="AN9">
        <v>171.03757523645746</v>
      </c>
      <c r="AO9">
        <v>5466.3944110060183</v>
      </c>
      <c r="AP9">
        <v>12072.22699914015</v>
      </c>
      <c r="AR9">
        <v>64612.698624247627</v>
      </c>
      <c r="AS9">
        <v>57717.018988206328</v>
      </c>
      <c r="AT9">
        <v>46045.281490571855</v>
      </c>
      <c r="AU9">
        <v>51.117423092141927</v>
      </c>
      <c r="AV9">
        <v>8582.2277029989837</v>
      </c>
      <c r="AW9">
        <v>3038.3923715433466</v>
      </c>
      <c r="AX9">
        <v>6895.6796360413027</v>
      </c>
      <c r="AZ9">
        <v>1</v>
      </c>
      <c r="BA9">
        <v>0.89327671211903981</v>
      </c>
      <c r="BB9">
        <v>0.71263517034547974</v>
      </c>
      <c r="BC9">
        <v>7.9113586308185489E-4</v>
      </c>
      <c r="BD9">
        <v>0.13282571206178154</v>
      </c>
      <c r="BE9">
        <v>4.7024693848696633E-2</v>
      </c>
      <c r="BF9">
        <v>0.10672328788096024</v>
      </c>
      <c r="BJ9">
        <v>113278.27440224405</v>
      </c>
      <c r="BK9">
        <v>2488.8352134839997</v>
      </c>
      <c r="BL9">
        <v>54253.56947580001</v>
      </c>
      <c r="BM9">
        <v>2418.7594726800003</v>
      </c>
      <c r="BN9">
        <v>51834.810003120008</v>
      </c>
      <c r="BO9">
        <v>56535.869712960019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113278.27440224402</v>
      </c>
      <c r="CA9">
        <v>113278.27440224402</v>
      </c>
      <c r="CB9">
        <v>96614.43933074252</v>
      </c>
      <c r="CC9">
        <v>0</v>
      </c>
      <c r="CD9">
        <v>16447.257379876806</v>
      </c>
      <c r="CE9">
        <v>216.57769162469589</v>
      </c>
      <c r="CF9">
        <v>0</v>
      </c>
      <c r="CH9">
        <v>1</v>
      </c>
      <c r="CI9">
        <v>1</v>
      </c>
      <c r="CJ9">
        <v>0.85289469530292039</v>
      </c>
      <c r="CK9">
        <v>0</v>
      </c>
      <c r="CL9">
        <v>0.14519339623301139</v>
      </c>
      <c r="CM9">
        <v>1.9119084640682479E-3</v>
      </c>
      <c r="CN9">
        <v>0</v>
      </c>
      <c r="CR9">
        <v>19336.105436661142</v>
      </c>
      <c r="CS9">
        <v>17272.492689647759</v>
      </c>
      <c r="CT9">
        <v>13779.588791673172</v>
      </c>
      <c r="CU9">
        <v>15.297486463274661</v>
      </c>
      <c r="CV9">
        <v>2568.3319731262018</v>
      </c>
      <c r="CW9">
        <v>909.27443838510885</v>
      </c>
      <c r="CX9">
        <v>2063.6127470133879</v>
      </c>
      <c r="CZ9">
        <v>11162.091336378971</v>
      </c>
      <c r="DA9">
        <v>8684.2295691040144</v>
      </c>
      <c r="DB9">
        <v>35.615304743573859</v>
      </c>
      <c r="DC9">
        <v>1744.9797958376432</v>
      </c>
      <c r="DD9">
        <v>697.26666669374106</v>
      </c>
      <c r="DF9">
        <v>2914.8622465305975</v>
      </c>
      <c r="DG9">
        <v>2914.8622465305975</v>
      </c>
      <c r="DH9">
        <v>2486.0705476047001</v>
      </c>
      <c r="DI9">
        <v>0</v>
      </c>
      <c r="DJ9">
        <v>423.21874912516279</v>
      </c>
      <c r="DK9">
        <v>5.5729498007348379</v>
      </c>
      <c r="DL9">
        <v>0</v>
      </c>
      <c r="DN9">
        <v>0.64623511712753279</v>
      </c>
      <c r="DO9">
        <v>0.63022414532077931</v>
      </c>
      <c r="DP9">
        <v>2.3281801771210628</v>
      </c>
      <c r="DQ9">
        <v>0.67942143542823819</v>
      </c>
      <c r="DR9">
        <v>0.76683852229707661</v>
      </c>
      <c r="DV9">
        <v>227.62266158742156</v>
      </c>
      <c r="DW9">
        <v>203.3300227465968</v>
      </c>
      <c r="DX9">
        <v>162.21191421484366</v>
      </c>
      <c r="DY9">
        <v>0.18008045083195376</v>
      </c>
      <c r="DZ9">
        <v>30.2341421067472</v>
      </c>
      <c r="EA9">
        <v>10.703885974173978</v>
      </c>
      <c r="EB9">
        <v>24.292638840824782</v>
      </c>
      <c r="ED9">
        <v>131.3990010651909</v>
      </c>
      <c r="EE9">
        <v>102.22986499689742</v>
      </c>
      <c r="EF9">
        <v>0.41925973591397886</v>
      </c>
      <c r="EG9">
        <v>20.541724229107519</v>
      </c>
      <c r="EH9">
        <v>8.2081521032719778</v>
      </c>
      <c r="EJ9">
        <v>34.313461151179638</v>
      </c>
      <c r="EK9">
        <v>34.313461151179638</v>
      </c>
      <c r="EL9">
        <v>29.265768993323956</v>
      </c>
      <c r="EM9">
        <v>0</v>
      </c>
      <c r="EN9">
        <v>4.9820879610492685</v>
      </c>
      <c r="EO9">
        <v>6.5604196806417367E-2</v>
      </c>
      <c r="EP9">
        <v>0</v>
      </c>
      <c r="ET9">
        <v>9104.9372428191818</v>
      </c>
      <c r="EU9">
        <v>8133.2284043157151</v>
      </c>
      <c r="EV9">
        <v>6488.4985030213502</v>
      </c>
      <c r="EW9">
        <v>7.2032423839038779</v>
      </c>
      <c r="EX9">
        <v>1209.3697725552918</v>
      </c>
      <c r="EY9">
        <v>428.15688635516801</v>
      </c>
      <c r="EZ9">
        <v>971.7088385034682</v>
      </c>
      <c r="FB9">
        <v>5255.9778104879424</v>
      </c>
      <c r="FC9">
        <v>4089.2084234817862</v>
      </c>
      <c r="FD9">
        <v>16.770446129203275</v>
      </c>
      <c r="FE9">
        <v>821.67174683303824</v>
      </c>
      <c r="FF9">
        <v>328.3271940439144</v>
      </c>
      <c r="FH9">
        <v>1372.5430859414444</v>
      </c>
      <c r="FI9">
        <v>1372.5430859414444</v>
      </c>
      <c r="FJ9">
        <v>1170.6347170741583</v>
      </c>
      <c r="FK9">
        <v>0</v>
      </c>
      <c r="FL9">
        <v>199.28419212397631</v>
      </c>
      <c r="FM9">
        <v>2.6241767433098002</v>
      </c>
      <c r="FN9">
        <v>0</v>
      </c>
    </row>
    <row r="10" spans="1:170" x14ac:dyDescent="0.25">
      <c r="A10">
        <v>2005</v>
      </c>
      <c r="C10">
        <v>1469449.7132148333</v>
      </c>
      <c r="D10">
        <v>82500849</v>
      </c>
      <c r="F10">
        <v>38989059</v>
      </c>
      <c r="G10">
        <v>3326848.9999999995</v>
      </c>
      <c r="H10">
        <v>990358</v>
      </c>
      <c r="I10">
        <v>97576.939519250765</v>
      </c>
      <c r="K10">
        <v>3149.06</v>
      </c>
      <c r="L10">
        <v>3016.9585714285708</v>
      </c>
      <c r="M10">
        <v>1.0437862918710472</v>
      </c>
      <c r="Q10">
        <v>2.1160000040011226</v>
      </c>
      <c r="R10">
        <v>40.325027443050914</v>
      </c>
      <c r="S10">
        <v>85.327758230841113</v>
      </c>
      <c r="T10">
        <v>46.562824221246899</v>
      </c>
      <c r="U10">
        <v>98.526936238462014</v>
      </c>
      <c r="V10">
        <v>17811.328380570158</v>
      </c>
      <c r="W10">
        <v>37688.770924551762</v>
      </c>
      <c r="X10">
        <v>1.0959028454002289</v>
      </c>
      <c r="AB10">
        <v>63496.286328460861</v>
      </c>
      <c r="AC10">
        <v>603.70395528804806</v>
      </c>
      <c r="AD10">
        <v>17368.930696474628</v>
      </c>
      <c r="AE10">
        <v>806.47437661220977</v>
      </c>
      <c r="AF10">
        <v>16562.45631986242</v>
      </c>
      <c r="AG10">
        <v>23290.695786758381</v>
      </c>
      <c r="AH10">
        <v>4932.2489251934649</v>
      </c>
      <c r="AI10">
        <v>4489.9207222699915</v>
      </c>
      <c r="AJ10">
        <v>12.10945829750645</v>
      </c>
      <c r="AK10">
        <v>0</v>
      </c>
      <c r="AL10">
        <v>242.0703353396388</v>
      </c>
      <c r="AM10">
        <v>4.0220980223559746</v>
      </c>
      <c r="AN10">
        <v>184.12631126397244</v>
      </c>
      <c r="AO10">
        <v>5335.2202063628538</v>
      </c>
      <c r="AP10">
        <v>12149.613069647459</v>
      </c>
      <c r="AR10">
        <v>63496.286328460854</v>
      </c>
      <c r="AS10">
        <v>56560.000787489917</v>
      </c>
      <c r="AT10">
        <v>44720.255692366751</v>
      </c>
      <c r="AU10">
        <v>55.61873300414566</v>
      </c>
      <c r="AV10">
        <v>8680.1869462015493</v>
      </c>
      <c r="AW10">
        <v>3103.9394159174726</v>
      </c>
      <c r="AX10">
        <v>6936.2855409709391</v>
      </c>
      <c r="AZ10">
        <v>1</v>
      </c>
      <c r="BA10">
        <v>0.89076076819532202</v>
      </c>
      <c r="BB10">
        <v>0.70429718457915313</v>
      </c>
      <c r="BC10">
        <v>8.7593678654582599E-4</v>
      </c>
      <c r="BD10">
        <v>0.13670385227412649</v>
      </c>
      <c r="BE10">
        <v>4.8883794555496678E-2</v>
      </c>
      <c r="BF10">
        <v>0.10923923180467796</v>
      </c>
      <c r="BJ10">
        <v>110701.50414908398</v>
      </c>
      <c r="BK10">
        <v>2505.5293845239994</v>
      </c>
      <c r="BL10">
        <v>53490.909612239986</v>
      </c>
      <c r="BM10">
        <v>2130.60110652</v>
      </c>
      <c r="BN10">
        <v>51360.308505719986</v>
      </c>
      <c r="BO10">
        <v>54705.065152319999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110701.50414908399</v>
      </c>
      <c r="CA10">
        <v>110701.50414908399</v>
      </c>
      <c r="CB10">
        <v>93865.152884389405</v>
      </c>
      <c r="CC10">
        <v>0</v>
      </c>
      <c r="CD10">
        <v>16615.857369062964</v>
      </c>
      <c r="CE10">
        <v>220.49389563161176</v>
      </c>
      <c r="CF10">
        <v>0</v>
      </c>
      <c r="CH10">
        <v>1</v>
      </c>
      <c r="CI10">
        <v>1</v>
      </c>
      <c r="CJ10">
        <v>0.84791217252097384</v>
      </c>
      <c r="CK10">
        <v>0</v>
      </c>
      <c r="CL10">
        <v>0.15009603976731922</v>
      </c>
      <c r="CM10">
        <v>1.9917877117068628E-3</v>
      </c>
      <c r="CN10">
        <v>0</v>
      </c>
      <c r="CR10">
        <v>18940.231668581684</v>
      </c>
      <c r="CS10">
        <v>16871.215310903186</v>
      </c>
      <c r="CT10">
        <v>13339.551839458996</v>
      </c>
      <c r="CU10">
        <v>16.590445664210929</v>
      </c>
      <c r="CV10">
        <v>2589.2026320595223</v>
      </c>
      <c r="CW10">
        <v>925.87039372045899</v>
      </c>
      <c r="CX10">
        <v>2069.0163576784971</v>
      </c>
      <c r="CZ10">
        <v>11047.856953156095</v>
      </c>
      <c r="DA10">
        <v>8520.0065376744187</v>
      </c>
      <c r="DB10">
        <v>41.118764948240923</v>
      </c>
      <c r="DC10">
        <v>1773.8330845950918</v>
      </c>
      <c r="DD10">
        <v>712.89856593834395</v>
      </c>
      <c r="DF10">
        <v>2839.2966382975287</v>
      </c>
      <c r="DG10">
        <v>2839.2966382975287</v>
      </c>
      <c r="DH10">
        <v>2407.4741810103542</v>
      </c>
      <c r="DI10">
        <v>0</v>
      </c>
      <c r="DJ10">
        <v>426.16718113312157</v>
      </c>
      <c r="DK10">
        <v>5.6552761540516219</v>
      </c>
      <c r="DL10">
        <v>0</v>
      </c>
      <c r="DN10">
        <v>0.65483468437607517</v>
      </c>
      <c r="DO10">
        <v>0.63870260711996751</v>
      </c>
      <c r="DP10">
        <v>2.4784605417166534</v>
      </c>
      <c r="DQ10">
        <v>0.68508855298982008</v>
      </c>
      <c r="DR10">
        <v>0.76997663039389053</v>
      </c>
      <c r="DV10">
        <v>221.97034190610989</v>
      </c>
      <c r="DW10">
        <v>197.72247227286471</v>
      </c>
      <c r="DX10">
        <v>156.33308686454521</v>
      </c>
      <c r="DY10">
        <v>0.19443198799771619</v>
      </c>
      <c r="DZ10">
        <v>30.344200829170187</v>
      </c>
      <c r="EA10">
        <v>10.850752591151632</v>
      </c>
      <c r="EB10">
        <v>24.247869633245163</v>
      </c>
      <c r="ED10">
        <v>129.47553272485865</v>
      </c>
      <c r="EE10">
        <v>99.850350159497367</v>
      </c>
      <c r="EF10">
        <v>0.48189201029986561</v>
      </c>
      <c r="EG10">
        <v>20.788464637688705</v>
      </c>
      <c r="EH10">
        <v>8.3548259173727111</v>
      </c>
      <c r="EJ10">
        <v>33.275181455210024</v>
      </c>
      <c r="EK10">
        <v>33.275181455210024</v>
      </c>
      <c r="EL10">
        <v>28.214431398716744</v>
      </c>
      <c r="EM10">
        <v>0</v>
      </c>
      <c r="EN10">
        <v>4.9944729589659662</v>
      </c>
      <c r="EO10">
        <v>6.6277097527303402E-2</v>
      </c>
      <c r="EP10">
        <v>0</v>
      </c>
      <c r="ET10">
        <v>8950.9601289072762</v>
      </c>
      <c r="EU10">
        <v>7973.1641205111428</v>
      </c>
      <c r="EV10">
        <v>6304.1360180696474</v>
      </c>
      <c r="EW10">
        <v>7.8404752518148513</v>
      </c>
      <c r="EX10">
        <v>1223.6307311737362</v>
      </c>
      <c r="EY10">
        <v>437.55689601594526</v>
      </c>
      <c r="EZ10">
        <v>977.79600839613204</v>
      </c>
      <c r="FB10">
        <v>5221.1044103335616</v>
      </c>
      <c r="FC10">
        <v>4026.4681103799744</v>
      </c>
      <c r="FD10">
        <v>19.43230853992905</v>
      </c>
      <c r="FE10">
        <v>838.29540701369035</v>
      </c>
      <c r="FF10">
        <v>336.90858439996759</v>
      </c>
      <c r="FH10">
        <v>1341.8226053538433</v>
      </c>
      <c r="FI10">
        <v>1341.8226053538433</v>
      </c>
      <c r="FJ10">
        <v>1137.7477204433301</v>
      </c>
      <c r="FK10">
        <v>0</v>
      </c>
      <c r="FL10">
        <v>201.40225913387829</v>
      </c>
      <c r="FM10">
        <v>2.6726257766342716</v>
      </c>
      <c r="FN10">
        <v>0</v>
      </c>
    </row>
    <row r="11" spans="1:170" x14ac:dyDescent="0.25">
      <c r="A11">
        <v>2006</v>
      </c>
      <c r="C11">
        <v>1489165.4613340509</v>
      </c>
      <c r="D11">
        <v>82437995</v>
      </c>
      <c r="F11">
        <v>39331104</v>
      </c>
      <c r="G11">
        <v>3353117</v>
      </c>
      <c r="H11">
        <v>1208469</v>
      </c>
      <c r="I11">
        <v>98508.815720608924</v>
      </c>
      <c r="K11">
        <v>3024.04</v>
      </c>
      <c r="L11">
        <v>3016.9585714285708</v>
      </c>
      <c r="M11">
        <v>1.0023472077603226</v>
      </c>
      <c r="Q11">
        <v>2.0960000258319726</v>
      </c>
      <c r="R11">
        <v>40.674412326500665</v>
      </c>
      <c r="S11">
        <v>85.253569287045693</v>
      </c>
      <c r="T11">
        <v>38.890927449114969</v>
      </c>
      <c r="U11">
        <v>81.515384937974346</v>
      </c>
      <c r="V11">
        <v>18064.066955219507</v>
      </c>
      <c r="W11">
        <v>37862.284804770563</v>
      </c>
      <c r="X11">
        <v>1.0855372098984326</v>
      </c>
      <c r="AB11">
        <v>64451.964574376609</v>
      </c>
      <c r="AC11">
        <v>679.55829750644875</v>
      </c>
      <c r="AD11">
        <v>18503.630008598455</v>
      </c>
      <c r="AE11">
        <v>866.28314703353396</v>
      </c>
      <c r="AF11">
        <v>17637.346861564922</v>
      </c>
      <c r="AG11">
        <v>22668.371883061049</v>
      </c>
      <c r="AH11">
        <v>5851.1926053310399</v>
      </c>
      <c r="AI11">
        <v>5311.4789337919174</v>
      </c>
      <c r="AJ11">
        <v>26.965692175408421</v>
      </c>
      <c r="AK11">
        <v>1.7372312983662941</v>
      </c>
      <c r="AL11">
        <v>285.20584694754939</v>
      </c>
      <c r="AM11">
        <v>4.275322441960447</v>
      </c>
      <c r="AN11">
        <v>221.52957867583817</v>
      </c>
      <c r="AO11">
        <v>4803.9313843508171</v>
      </c>
      <c r="AP11">
        <v>12166.80997420464</v>
      </c>
      <c r="AR11">
        <v>64451.964574376616</v>
      </c>
      <c r="AS11">
        <v>57470.247961864399</v>
      </c>
      <c r="AT11">
        <v>45716.904297022025</v>
      </c>
      <c r="AU11">
        <v>88.325817133201767</v>
      </c>
      <c r="AV11">
        <v>8608.2453779869084</v>
      </c>
      <c r="AW11">
        <v>3056.7724697222693</v>
      </c>
      <c r="AX11">
        <v>6981.7166125122139</v>
      </c>
      <c r="AZ11">
        <v>1</v>
      </c>
      <c r="BA11">
        <v>0.89167565863015052</v>
      </c>
      <c r="BB11">
        <v>0.70931746765089509</v>
      </c>
      <c r="BC11">
        <v>1.3704131086846093E-3</v>
      </c>
      <c r="BD11">
        <v>0.1335606359687162</v>
      </c>
      <c r="BE11">
        <v>4.7427141901854659E-2</v>
      </c>
      <c r="BF11">
        <v>0.10832434136984942</v>
      </c>
      <c r="BJ11">
        <v>113036.97935095202</v>
      </c>
      <c r="BK11">
        <v>2809.9480666320005</v>
      </c>
      <c r="BL11">
        <v>56983.677280920012</v>
      </c>
      <c r="BM11">
        <v>2288.6081506800001</v>
      </c>
      <c r="BN11">
        <v>54695.069130240008</v>
      </c>
      <c r="BO11">
        <v>53243.354003400003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113036.97935095202</v>
      </c>
      <c r="CA11">
        <v>113036.97935095202</v>
      </c>
      <c r="CB11">
        <v>96293.791235590004</v>
      </c>
      <c r="CC11">
        <v>0</v>
      </c>
      <c r="CD11">
        <v>16532.383552766511</v>
      </c>
      <c r="CE11">
        <v>210.80456259550991</v>
      </c>
      <c r="CF11">
        <v>0</v>
      </c>
      <c r="CH11">
        <v>1</v>
      </c>
      <c r="CI11">
        <v>1</v>
      </c>
      <c r="CJ11">
        <v>0.85187866650807664</v>
      </c>
      <c r="CK11">
        <v>0</v>
      </c>
      <c r="CL11">
        <v>0.14625641668499939</v>
      </c>
      <c r="CM11">
        <v>1.8649168069239856E-3</v>
      </c>
      <c r="CN11">
        <v>0</v>
      </c>
      <c r="CR11">
        <v>19058.105971294372</v>
      </c>
      <c r="CS11">
        <v>16993.649194197114</v>
      </c>
      <c r="CT11">
        <v>13518.247465780929</v>
      </c>
      <c r="CU11">
        <v>26.11747824976224</v>
      </c>
      <c r="CV11">
        <v>2545.4127538852645</v>
      </c>
      <c r="CW11">
        <v>903.87149628116197</v>
      </c>
      <c r="CX11">
        <v>2064.4567770972571</v>
      </c>
      <c r="CZ11">
        <v>11227.808672486972</v>
      </c>
      <c r="DA11">
        <v>8703.6415046507227</v>
      </c>
      <c r="DB11">
        <v>69.230724171906147</v>
      </c>
      <c r="DC11">
        <v>1755.6922882026092</v>
      </c>
      <c r="DD11">
        <v>699.24415546173316</v>
      </c>
      <c r="DF11">
        <v>2873.984400512938</v>
      </c>
      <c r="DG11">
        <v>2873.984400512938</v>
      </c>
      <c r="DH11">
        <v>2448.2859986739759</v>
      </c>
      <c r="DI11">
        <v>0</v>
      </c>
      <c r="DJ11">
        <v>420.33866002760846</v>
      </c>
      <c r="DK11">
        <v>5.3597418113539339</v>
      </c>
      <c r="DL11">
        <v>0</v>
      </c>
      <c r="DN11">
        <v>0.66070615817590106</v>
      </c>
      <c r="DO11">
        <v>0.64384392478998953</v>
      </c>
      <c r="DP11">
        <v>2.650743058340113</v>
      </c>
      <c r="DQ11">
        <v>0.68974758043572992</v>
      </c>
      <c r="DR11">
        <v>0.77361014075414924</v>
      </c>
      <c r="DV11">
        <v>223.54613572982987</v>
      </c>
      <c r="DW11">
        <v>199.33064781112108</v>
      </c>
      <c r="DX11">
        <v>158.56517889902625</v>
      </c>
      <c r="DY11">
        <v>0.30635055479994783</v>
      </c>
      <c r="DZ11">
        <v>29.856964056425035</v>
      </c>
      <c r="EA11">
        <v>10.602154300869906</v>
      </c>
      <c r="EB11">
        <v>24.215487918708781</v>
      </c>
      <c r="ED11">
        <v>131.69898652199939</v>
      </c>
      <c r="EE11">
        <v>102.09122711737588</v>
      </c>
      <c r="EF11">
        <v>0.8120566065546041</v>
      </c>
      <c r="EG11">
        <v>20.593768717075719</v>
      </c>
      <c r="EH11">
        <v>8.2019340809931762</v>
      </c>
      <c r="EJ11">
        <v>33.711015556854122</v>
      </c>
      <c r="EK11">
        <v>33.711015556854122</v>
      </c>
      <c r="EL11">
        <v>28.717694979205916</v>
      </c>
      <c r="EM11">
        <v>0</v>
      </c>
      <c r="EN11">
        <v>4.9304523381577532</v>
      </c>
      <c r="EO11">
        <v>6.2868239490453198E-2</v>
      </c>
      <c r="EP11">
        <v>0</v>
      </c>
      <c r="ET11">
        <v>9092.6076986709813</v>
      </c>
      <c r="EU11">
        <v>8107.6569583780256</v>
      </c>
      <c r="EV11">
        <v>6449.5454671643356</v>
      </c>
      <c r="EW11">
        <v>12.460628782385314</v>
      </c>
      <c r="EX11">
        <v>1214.4144668485417</v>
      </c>
      <c r="EY11">
        <v>431.23639558276489</v>
      </c>
      <c r="EZ11">
        <v>984.95074029295643</v>
      </c>
      <c r="FB11">
        <v>5356.7788807780562</v>
      </c>
      <c r="FC11">
        <v>4152.500666690572</v>
      </c>
      <c r="FD11">
        <v>33.029925247460888</v>
      </c>
      <c r="FE11">
        <v>837.63944015492848</v>
      </c>
      <c r="FF11">
        <v>333.6088486850947</v>
      </c>
      <c r="FH11">
        <v>1371.1757467045627</v>
      </c>
      <c r="FI11">
        <v>1371.1757467045627</v>
      </c>
      <c r="FJ11">
        <v>1168.0753666508992</v>
      </c>
      <c r="FK11">
        <v>0</v>
      </c>
      <c r="FL11">
        <v>200.54325135838772</v>
      </c>
      <c r="FM11">
        <v>2.5571286952758858</v>
      </c>
      <c r="FN11">
        <v>0</v>
      </c>
    </row>
    <row r="12" spans="1:170" x14ac:dyDescent="0.25">
      <c r="A12">
        <v>2007</v>
      </c>
      <c r="C12">
        <v>1485629.2105147289</v>
      </c>
      <c r="D12">
        <v>82314906</v>
      </c>
      <c r="F12">
        <v>39593509</v>
      </c>
      <c r="G12">
        <v>3375171.0000000005</v>
      </c>
      <c r="H12">
        <v>1136430</v>
      </c>
      <c r="I12">
        <v>94928.572911421303</v>
      </c>
      <c r="K12">
        <v>2820.38</v>
      </c>
      <c r="L12">
        <v>3016.9585714285708</v>
      </c>
      <c r="M12">
        <v>0.93484213761162516</v>
      </c>
      <c r="Q12">
        <v>2.0790000199275087</v>
      </c>
      <c r="R12">
        <v>41.003156827999057</v>
      </c>
      <c r="S12">
        <v>85.245563862500802</v>
      </c>
      <c r="T12">
        <v>40.1790596811231</v>
      </c>
      <c r="U12">
        <v>83.532265877723489</v>
      </c>
      <c r="V12">
        <v>18048.118897380857</v>
      </c>
      <c r="W12">
        <v>37522.03954730885</v>
      </c>
      <c r="X12">
        <v>1.0613990562681686</v>
      </c>
      <c r="AB12">
        <v>55376.466552020625</v>
      </c>
      <c r="AC12">
        <v>717.50730868443679</v>
      </c>
      <c r="AD12">
        <v>11244.632932072227</v>
      </c>
      <c r="AE12">
        <v>560.70025795356833</v>
      </c>
      <c r="AF12">
        <v>10683.93267411866</v>
      </c>
      <c r="AG12">
        <v>21071.646603611349</v>
      </c>
      <c r="AH12">
        <v>6184.0143594153051</v>
      </c>
      <c r="AI12">
        <v>5511.2018916595007</v>
      </c>
      <c r="AJ12">
        <v>71.8926053310404</v>
      </c>
      <c r="AK12">
        <v>2.5871023215821149</v>
      </c>
      <c r="AL12">
        <v>317.02012037833191</v>
      </c>
      <c r="AM12">
        <v>4.0603611349957003</v>
      </c>
      <c r="AN12">
        <v>277.25227858985409</v>
      </c>
      <c r="AO12">
        <v>4389.4859845227857</v>
      </c>
      <c r="AP12">
        <v>12046.43164230438</v>
      </c>
      <c r="AR12">
        <v>55376.466552020633</v>
      </c>
      <c r="AS12">
        <v>48354.971757342755</v>
      </c>
      <c r="AT12">
        <v>36973.729906778666</v>
      </c>
      <c r="AU12">
        <v>70.03440532123193</v>
      </c>
      <c r="AV12">
        <v>8401.2684121283874</v>
      </c>
      <c r="AW12">
        <v>2909.9390331144605</v>
      </c>
      <c r="AX12">
        <v>7021.4947946778857</v>
      </c>
      <c r="AZ12">
        <v>1</v>
      </c>
      <c r="BA12">
        <v>0.87320435499289406</v>
      </c>
      <c r="BB12">
        <v>0.66767947124335858</v>
      </c>
      <c r="BC12">
        <v>1.264696172975241E-3</v>
      </c>
      <c r="BD12">
        <v>0.15171189018057407</v>
      </c>
      <c r="BE12">
        <v>5.2548297395986161E-2</v>
      </c>
      <c r="BF12">
        <v>0.12679564500710597</v>
      </c>
      <c r="BJ12">
        <v>87059.717591592009</v>
      </c>
      <c r="BK12">
        <v>2962.6855907519998</v>
      </c>
      <c r="BL12">
        <v>34604.058030840002</v>
      </c>
      <c r="BM12">
        <v>1481.2976390399999</v>
      </c>
      <c r="BN12">
        <v>33122.760391800002</v>
      </c>
      <c r="BO12">
        <v>49492.973970000006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87059.717591591994</v>
      </c>
      <c r="CA12">
        <v>87059.717591591994</v>
      </c>
      <c r="CB12">
        <v>72035.026237497907</v>
      </c>
      <c r="CC12">
        <v>0</v>
      </c>
      <c r="CD12">
        <v>14806.115228614091</v>
      </c>
      <c r="CE12">
        <v>218.57612547999923</v>
      </c>
      <c r="CF12">
        <v>0</v>
      </c>
      <c r="CH12">
        <v>1</v>
      </c>
      <c r="CI12">
        <v>1</v>
      </c>
      <c r="CJ12">
        <v>0.82742085812204458</v>
      </c>
      <c r="CK12">
        <v>0</v>
      </c>
      <c r="CL12">
        <v>0.17006849594977355</v>
      </c>
      <c r="CM12">
        <v>2.5106459281819308E-3</v>
      </c>
      <c r="CN12">
        <v>0</v>
      </c>
      <c r="CR12">
        <v>16266.00728922511</v>
      </c>
      <c r="CS12">
        <v>14203.548403297524</v>
      </c>
      <c r="CT12">
        <v>10860.479146110436</v>
      </c>
      <c r="CU12">
        <v>20.57155716827037</v>
      </c>
      <c r="CV12">
        <v>2467.746711539337</v>
      </c>
      <c r="CW12">
        <v>854.7509884794797</v>
      </c>
      <c r="CX12">
        <v>2062.4588859275855</v>
      </c>
      <c r="CZ12">
        <v>9710.6272623512305</v>
      </c>
      <c r="DA12">
        <v>7252.5571979916895</v>
      </c>
      <c r="DB12">
        <v>56.466466208295579</v>
      </c>
      <c r="DC12">
        <v>1739.1369038557791</v>
      </c>
      <c r="DD12">
        <v>662.46669429546603</v>
      </c>
      <c r="DF12">
        <v>2198.8381376248312</v>
      </c>
      <c r="DG12">
        <v>2198.8381376248312</v>
      </c>
      <c r="DH12">
        <v>1819.364538705016</v>
      </c>
      <c r="DI12">
        <v>0</v>
      </c>
      <c r="DJ12">
        <v>373.95309490285626</v>
      </c>
      <c r="DK12">
        <v>5.5205040169589221</v>
      </c>
      <c r="DL12">
        <v>0</v>
      </c>
      <c r="DN12">
        <v>0.68367614814455746</v>
      </c>
      <c r="DO12">
        <v>0.6677934831806307</v>
      </c>
      <c r="DP12">
        <v>2.7448805040091773</v>
      </c>
      <c r="DQ12">
        <v>0.70474692387329174</v>
      </c>
      <c r="DR12">
        <v>0.77504057114216496</v>
      </c>
      <c r="DV12">
        <v>190.81353389206055</v>
      </c>
      <c r="DW12">
        <v>166.61920878613145</v>
      </c>
      <c r="DX12">
        <v>127.40227941512764</v>
      </c>
      <c r="DY12">
        <v>0.24132114606517044</v>
      </c>
      <c r="DZ12">
        <v>28.948681898799535</v>
      </c>
      <c r="EA12">
        <v>10.026926326139083</v>
      </c>
      <c r="EB12">
        <v>24.194325105929099</v>
      </c>
      <c r="ED12">
        <v>113.91357886979615</v>
      </c>
      <c r="EE12">
        <v>85.078411935780053</v>
      </c>
      <c r="EF12">
        <v>0.66239770903943729</v>
      </c>
      <c r="EG12">
        <v>20.401494518365418</v>
      </c>
      <c r="EH12">
        <v>7.7712747066112451</v>
      </c>
      <c r="EJ12">
        <v>25.794164974631503</v>
      </c>
      <c r="EK12">
        <v>25.794164974631503</v>
      </c>
      <c r="EL12">
        <v>21.342630117851183</v>
      </c>
      <c r="EM12">
        <v>0</v>
      </c>
      <c r="EN12">
        <v>4.3867748415159085</v>
      </c>
      <c r="EO12">
        <v>6.4760015264411552E-2</v>
      </c>
      <c r="EP12">
        <v>0</v>
      </c>
      <c r="ET12">
        <v>7823.9572550808716</v>
      </c>
      <c r="EU12">
        <v>6831.9135484148665</v>
      </c>
      <c r="EV12">
        <v>5223.8956431030356</v>
      </c>
      <c r="EW12">
        <v>9.8949287980226508</v>
      </c>
      <c r="EX12">
        <v>1186.9873438603347</v>
      </c>
      <c r="EY12">
        <v>411.13563265347318</v>
      </c>
      <c r="EZ12">
        <v>992.04370666600573</v>
      </c>
      <c r="FB12">
        <v>4670.8163392368915</v>
      </c>
      <c r="FC12">
        <v>3488.483467279897</v>
      </c>
      <c r="FD12">
        <v>27.160397146251334</v>
      </c>
      <c r="FE12">
        <v>836.5256792621002</v>
      </c>
      <c r="FF12">
        <v>318.64679554864318</v>
      </c>
      <c r="FH12">
        <v>1057.6421917020959</v>
      </c>
      <c r="FI12">
        <v>1057.6421917020959</v>
      </c>
      <c r="FJ12">
        <v>875.11520984422816</v>
      </c>
      <c r="FK12">
        <v>0</v>
      </c>
      <c r="FL12">
        <v>179.87161679579751</v>
      </c>
      <c r="FM12">
        <v>2.6553650620702798</v>
      </c>
      <c r="FN12">
        <v>0</v>
      </c>
    </row>
    <row r="13" spans="1:170" x14ac:dyDescent="0.25">
      <c r="A13">
        <v>2008</v>
      </c>
      <c r="C13">
        <v>1490593.289865711</v>
      </c>
      <c r="D13">
        <v>82217837</v>
      </c>
      <c r="F13">
        <v>40008680</v>
      </c>
      <c r="G13">
        <v>3393400</v>
      </c>
      <c r="H13">
        <v>1295027</v>
      </c>
      <c r="I13">
        <v>91589.750806384705</v>
      </c>
      <c r="K13">
        <v>2985.84</v>
      </c>
      <c r="L13">
        <v>3016.9585714285708</v>
      </c>
      <c r="M13">
        <v>0.98968544953740101</v>
      </c>
      <c r="Q13">
        <v>2.0549999900021696</v>
      </c>
      <c r="R13">
        <v>41.273282341397525</v>
      </c>
      <c r="S13">
        <v>84.816594798928634</v>
      </c>
      <c r="T13">
        <v>34.415670113772407</v>
      </c>
      <c r="U13">
        <v>70.724201739720257</v>
      </c>
      <c r="V13">
        <v>18129.804240236957</v>
      </c>
      <c r="W13">
        <v>37256.747532428235</v>
      </c>
      <c r="X13">
        <v>1.0603107410685735</v>
      </c>
      <c r="AB13">
        <v>62320.772484952722</v>
      </c>
      <c r="AC13">
        <v>651.70541702493551</v>
      </c>
      <c r="AD13">
        <v>16137.575580395531</v>
      </c>
      <c r="AE13">
        <v>756.49105760963005</v>
      </c>
      <c r="AF13">
        <v>15381.084522785901</v>
      </c>
      <c r="AG13">
        <v>22165.562682717111</v>
      </c>
      <c r="AH13">
        <v>7302.7779019776426</v>
      </c>
      <c r="AI13">
        <v>6517.6984522785888</v>
      </c>
      <c r="AJ13">
        <v>72.250902837489249</v>
      </c>
      <c r="AK13">
        <v>2.906964746345658</v>
      </c>
      <c r="AL13">
        <v>361.8515047291487</v>
      </c>
      <c r="AM13">
        <v>5.7561478933791914</v>
      </c>
      <c r="AN13">
        <v>342.31392949269116</v>
      </c>
      <c r="AO13">
        <v>4410.6239036973338</v>
      </c>
      <c r="AP13">
        <v>11994.84092863285</v>
      </c>
      <c r="AR13">
        <v>62320.772484952693</v>
      </c>
      <c r="AS13">
        <v>55301.191514105063</v>
      </c>
      <c r="AT13">
        <v>43791.612107677269</v>
      </c>
      <c r="AU13">
        <v>78.351100848641579</v>
      </c>
      <c r="AV13">
        <v>8633.56011477024</v>
      </c>
      <c r="AW13">
        <v>2797.668190808919</v>
      </c>
      <c r="AX13">
        <v>7019.5809708476299</v>
      </c>
      <c r="AZ13">
        <v>1</v>
      </c>
      <c r="BA13">
        <v>0.88736370409172149</v>
      </c>
      <c r="BB13">
        <v>0.70268082954605104</v>
      </c>
      <c r="BC13">
        <v>1.2572228764904895E-3</v>
      </c>
      <c r="BD13">
        <v>0.13853422816372835</v>
      </c>
      <c r="BE13">
        <v>4.4891423505451798E-2</v>
      </c>
      <c r="BF13">
        <v>0.11263629590827846</v>
      </c>
      <c r="BJ13">
        <v>104468.19192142802</v>
      </c>
      <c r="BK13">
        <v>2712.2717987880005</v>
      </c>
      <c r="BL13">
        <v>49693.561754400012</v>
      </c>
      <c r="BM13">
        <v>1998.55163556</v>
      </c>
      <c r="BN13">
        <v>47695.010118840015</v>
      </c>
      <c r="BO13">
        <v>52062.358368240006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104468.19192142801</v>
      </c>
      <c r="CA13">
        <v>104468.19192142801</v>
      </c>
      <c r="CB13">
        <v>88383.403513133293</v>
      </c>
      <c r="CC13">
        <v>0</v>
      </c>
      <c r="CD13">
        <v>15890.305346746032</v>
      </c>
      <c r="CE13">
        <v>194.48306154869024</v>
      </c>
      <c r="CF13">
        <v>0</v>
      </c>
      <c r="CH13">
        <v>1</v>
      </c>
      <c r="CI13">
        <v>1</v>
      </c>
      <c r="CJ13">
        <v>0.84603171441511782</v>
      </c>
      <c r="CK13">
        <v>0</v>
      </c>
      <c r="CL13">
        <v>0.15210663700102472</v>
      </c>
      <c r="CM13">
        <v>1.8616485838575982E-3</v>
      </c>
      <c r="CN13">
        <v>0</v>
      </c>
      <c r="CR13">
        <v>18115.833464138275</v>
      </c>
      <c r="CS13">
        <v>16075.333085446506</v>
      </c>
      <c r="CT13">
        <v>12729.648886498797</v>
      </c>
      <c r="CU13">
        <v>22.775640257806593</v>
      </c>
      <c r="CV13">
        <v>2509.6630064970373</v>
      </c>
      <c r="CW13">
        <v>813.24555219286731</v>
      </c>
      <c r="CX13">
        <v>2040.5003786917721</v>
      </c>
      <c r="CZ13">
        <v>10980.905633985283</v>
      </c>
      <c r="DA13">
        <v>8514.6027239188825</v>
      </c>
      <c r="DB13">
        <v>63.73542815814438</v>
      </c>
      <c r="DC13">
        <v>1771.1344989372451</v>
      </c>
      <c r="DD13">
        <v>631.43298297101398</v>
      </c>
      <c r="DF13">
        <v>2611.1381810504122</v>
      </c>
      <c r="DG13">
        <v>2611.1381810504122</v>
      </c>
      <c r="DH13">
        <v>2209.1057118888521</v>
      </c>
      <c r="DI13">
        <v>0</v>
      </c>
      <c r="DJ13">
        <v>397.17144746455102</v>
      </c>
      <c r="DK13">
        <v>4.8610216970090052</v>
      </c>
      <c r="DL13">
        <v>0</v>
      </c>
      <c r="DN13">
        <v>0.68309039542867311</v>
      </c>
      <c r="DO13">
        <v>0.66887962109854915</v>
      </c>
      <c r="DP13">
        <v>2.7984033571261904</v>
      </c>
      <c r="DQ13">
        <v>0.70572602550705688</v>
      </c>
      <c r="DR13">
        <v>0.77643582712305437</v>
      </c>
      <c r="DV13">
        <v>213.58831378558369</v>
      </c>
      <c r="DW13">
        <v>189.53051727148048</v>
      </c>
      <c r="DX13">
        <v>150.08441351219619</v>
      </c>
      <c r="DY13">
        <v>0.2685281142422648</v>
      </c>
      <c r="DZ13">
        <v>29.589292195078059</v>
      </c>
      <c r="EA13">
        <v>9.5882834499639671</v>
      </c>
      <c r="EB13">
        <v>24.057796514103241</v>
      </c>
      <c r="ED13">
        <v>129.46647598877655</v>
      </c>
      <c r="EE13">
        <v>100.38840564283578</v>
      </c>
      <c r="EF13">
        <v>0.75144997637831901</v>
      </c>
      <c r="EG13">
        <v>20.881933578399416</v>
      </c>
      <c r="EH13">
        <v>7.4446867911630656</v>
      </c>
      <c r="EJ13">
        <v>30.785699275484177</v>
      </c>
      <c r="EK13">
        <v>30.785699275484177</v>
      </c>
      <c r="EL13">
        <v>26.045677937506124</v>
      </c>
      <c r="EM13">
        <v>0</v>
      </c>
      <c r="EN13">
        <v>4.6827091845187816</v>
      </c>
      <c r="EO13">
        <v>5.7312153459271008E-2</v>
      </c>
      <c r="EP13">
        <v>0</v>
      </c>
      <c r="ET13">
        <v>8815.4907796954049</v>
      </c>
      <c r="EU13">
        <v>7822.5465516569348</v>
      </c>
      <c r="EV13">
        <v>6194.4763739319314</v>
      </c>
      <c r="EW13">
        <v>11.083036675724044</v>
      </c>
      <c r="EX13">
        <v>1221.2472110495669</v>
      </c>
      <c r="EY13">
        <v>395.73992999971193</v>
      </c>
      <c r="EZ13">
        <v>992.94422803847203</v>
      </c>
      <c r="FB13">
        <v>5343.5064172305383</v>
      </c>
      <c r="FC13">
        <v>4143.3590098995055</v>
      </c>
      <c r="FD13">
        <v>31.014807040498862</v>
      </c>
      <c r="FE13">
        <v>861.86594041558863</v>
      </c>
      <c r="FF13">
        <v>307.26665987494596</v>
      </c>
      <c r="FH13">
        <v>1270.6268582744156</v>
      </c>
      <c r="FI13">
        <v>1270.6268582744156</v>
      </c>
      <c r="FJ13">
        <v>1074.9906192877986</v>
      </c>
      <c r="FK13">
        <v>0</v>
      </c>
      <c r="FL13">
        <v>193.27077829529901</v>
      </c>
      <c r="FM13">
        <v>2.365460691317995</v>
      </c>
      <c r="FN13">
        <v>0</v>
      </c>
    </row>
    <row r="14" spans="1:170" x14ac:dyDescent="0.25">
      <c r="A14">
        <v>2009</v>
      </c>
      <c r="C14">
        <v>1489316.6173963705</v>
      </c>
      <c r="D14">
        <v>82002356</v>
      </c>
      <c r="F14">
        <v>40079353</v>
      </c>
      <c r="G14">
        <v>3409819</v>
      </c>
      <c r="H14">
        <v>959755</v>
      </c>
      <c r="I14">
        <v>90548.997463724605</v>
      </c>
      <c r="K14">
        <v>3081.38</v>
      </c>
      <c r="L14">
        <v>3016.9585714285708</v>
      </c>
      <c r="M14">
        <v>1.0213531034802792</v>
      </c>
      <c r="Q14">
        <v>2.0459999940617806</v>
      </c>
      <c r="R14">
        <v>41.581963815771338</v>
      </c>
      <c r="S14">
        <v>85.076697720145333</v>
      </c>
      <c r="T14">
        <v>46.112390275946765</v>
      </c>
      <c r="U14">
        <v>94.345950230761588</v>
      </c>
      <c r="V14">
        <v>18161.875951422306</v>
      </c>
      <c r="W14">
        <v>37159.19808876083</v>
      </c>
      <c r="X14">
        <v>1.0776548365683163</v>
      </c>
      <c r="AB14">
        <v>59053.862510748069</v>
      </c>
      <c r="AC14">
        <v>634.81289767841781</v>
      </c>
      <c r="AD14">
        <v>14093.465348237316</v>
      </c>
      <c r="AE14">
        <v>734.42029234737765</v>
      </c>
      <c r="AF14">
        <v>13359.045055889939</v>
      </c>
      <c r="AG14">
        <v>21849.45958727429</v>
      </c>
      <c r="AH14">
        <v>6703.6970765262249</v>
      </c>
      <c r="AI14">
        <v>5744.6976784178842</v>
      </c>
      <c r="AJ14">
        <v>109.2242476354256</v>
      </c>
      <c r="AK14">
        <v>4.6427343078245906</v>
      </c>
      <c r="AL14">
        <v>426.10111779879622</v>
      </c>
      <c r="AM14">
        <v>8.1924333619948406</v>
      </c>
      <c r="AN14">
        <v>410.83886500429878</v>
      </c>
      <c r="AO14">
        <v>4214.2208942390371</v>
      </c>
      <c r="AP14">
        <v>11969.04557179708</v>
      </c>
      <c r="AR14">
        <v>59053.862510748069</v>
      </c>
      <c r="AS14">
        <v>52053.344956623674</v>
      </c>
      <c r="AT14">
        <v>40644.978134355602</v>
      </c>
      <c r="AU14">
        <v>81.51658243041274</v>
      </c>
      <c r="AV14">
        <v>8536.8894119454071</v>
      </c>
      <c r="AW14">
        <v>2789.9608278922501</v>
      </c>
      <c r="AX14">
        <v>7000.5175541243971</v>
      </c>
      <c r="AZ14">
        <v>1</v>
      </c>
      <c r="BA14">
        <v>0.88145538231558906</v>
      </c>
      <c r="BB14">
        <v>0.68826959670856469</v>
      </c>
      <c r="BC14">
        <v>1.3803768113487302E-3</v>
      </c>
      <c r="BD14">
        <v>0.14456106762519819</v>
      </c>
      <c r="BE14">
        <v>4.7244341170477454E-2</v>
      </c>
      <c r="BF14">
        <v>0.11854461768441092</v>
      </c>
      <c r="BJ14">
        <v>97310.077157808002</v>
      </c>
      <c r="BK14">
        <v>2625.8613270479991</v>
      </c>
      <c r="BL14">
        <v>43364.318769359998</v>
      </c>
      <c r="BM14">
        <v>1940.2435252800003</v>
      </c>
      <c r="BN14">
        <v>41424.075244079999</v>
      </c>
      <c r="BO14">
        <v>51319.897061400006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97310.077157807988</v>
      </c>
      <c r="CA14">
        <v>97310.077157807988</v>
      </c>
      <c r="CB14">
        <v>81738.51154287174</v>
      </c>
      <c r="CC14">
        <v>0</v>
      </c>
      <c r="CD14">
        <v>15367.744416551492</v>
      </c>
      <c r="CE14">
        <v>203.82119838476439</v>
      </c>
      <c r="CF14">
        <v>0</v>
      </c>
      <c r="CH14">
        <v>1</v>
      </c>
      <c r="CI14">
        <v>1</v>
      </c>
      <c r="CJ14">
        <v>0.83997992736472915</v>
      </c>
      <c r="CK14">
        <v>0</v>
      </c>
      <c r="CL14">
        <v>0.15792551876851957</v>
      </c>
      <c r="CM14">
        <v>2.0945538667514062E-3</v>
      </c>
      <c r="CN14">
        <v>0</v>
      </c>
      <c r="CR14">
        <v>17135.915866705731</v>
      </c>
      <c r="CS14">
        <v>15104.545271614872</v>
      </c>
      <c r="CT14">
        <v>11794.129902809453</v>
      </c>
      <c r="CU14">
        <v>23.654020903623373</v>
      </c>
      <c r="CV14">
        <v>2477.1862924265538</v>
      </c>
      <c r="CW14">
        <v>809.57505547524352</v>
      </c>
      <c r="CX14">
        <v>2031.3705950908625</v>
      </c>
      <c r="CZ14">
        <v>10549.83228312447</v>
      </c>
      <c r="DA14">
        <v>8079.4013695826561</v>
      </c>
      <c r="DB14">
        <v>67.802137182261632</v>
      </c>
      <c r="DC14">
        <v>1773.0840383903512</v>
      </c>
      <c r="DD14">
        <v>629.5447379692007</v>
      </c>
      <c r="DF14">
        <v>2427.9353301388869</v>
      </c>
      <c r="DG14">
        <v>2427.9353301388869</v>
      </c>
      <c r="DH14">
        <v>2039.4169422563216</v>
      </c>
      <c r="DI14">
        <v>0</v>
      </c>
      <c r="DJ14">
        <v>383.43294654860046</v>
      </c>
      <c r="DK14">
        <v>5.0854413339647566</v>
      </c>
      <c r="DL14">
        <v>0</v>
      </c>
      <c r="DN14">
        <v>0.69845414697456532</v>
      </c>
      <c r="DO14">
        <v>0.68503581325300489</v>
      </c>
      <c r="DP14">
        <v>2.8664106393799438</v>
      </c>
      <c r="DQ14">
        <v>0.71576531963347345</v>
      </c>
      <c r="DR14">
        <v>0.7776236850573911</v>
      </c>
      <c r="DV14">
        <v>201.41726613641367</v>
      </c>
      <c r="DW14">
        <v>177.5403333272333</v>
      </c>
      <c r="DX14">
        <v>138.6293805338511</v>
      </c>
      <c r="DY14">
        <v>0.27803172357996131</v>
      </c>
      <c r="DZ14">
        <v>29.117095030828636</v>
      </c>
      <c r="EA14">
        <v>9.515826038973584</v>
      </c>
      <c r="EB14">
        <v>23.87693280918041</v>
      </c>
      <c r="ED14">
        <v>124.00378206765272</v>
      </c>
      <c r="EE14">
        <v>94.966090434766983</v>
      </c>
      <c r="EF14">
        <v>0.79695309055474484</v>
      </c>
      <c r="EG14">
        <v>20.841006831539278</v>
      </c>
      <c r="EH14">
        <v>7.3997317107917171</v>
      </c>
      <c r="EJ14">
        <v>28.53819430233921</v>
      </c>
      <c r="EK14">
        <v>28.53819430233921</v>
      </c>
      <c r="EL14">
        <v>23.971510377199415</v>
      </c>
      <c r="EM14">
        <v>0</v>
      </c>
      <c r="EN14">
        <v>4.5069091399137289</v>
      </c>
      <c r="EO14">
        <v>5.977478522606753E-2</v>
      </c>
      <c r="EP14">
        <v>0</v>
      </c>
      <c r="ET14">
        <v>8375.3254723559385</v>
      </c>
      <c r="EU14">
        <v>7382.4757162529986</v>
      </c>
      <c r="EV14">
        <v>5764.4818851613927</v>
      </c>
      <c r="EW14">
        <v>11.56110506953849</v>
      </c>
      <c r="EX14">
        <v>1210.7459919922919</v>
      </c>
      <c r="EY14">
        <v>395.6867340297743</v>
      </c>
      <c r="EZ14">
        <v>992.84975610294316</v>
      </c>
      <c r="FB14">
        <v>5156.3207789559301</v>
      </c>
      <c r="FC14">
        <v>3948.8765361837486</v>
      </c>
      <c r="FD14">
        <v>33.138874574314535</v>
      </c>
      <c r="FE14">
        <v>866.60999195330965</v>
      </c>
      <c r="FF14">
        <v>307.69537624455688</v>
      </c>
      <c r="FH14">
        <v>1186.6741628473208</v>
      </c>
      <c r="FI14">
        <v>1186.6741628473208</v>
      </c>
      <c r="FJ14">
        <v>996.78247711409324</v>
      </c>
      <c r="FK14">
        <v>0</v>
      </c>
      <c r="FL14">
        <v>187.4061327768618</v>
      </c>
      <c r="FM14">
        <v>2.4855529563658432</v>
      </c>
      <c r="FN14">
        <v>0</v>
      </c>
    </row>
    <row r="15" spans="1:170" x14ac:dyDescent="0.25">
      <c r="A15">
        <v>2010</v>
      </c>
      <c r="C15">
        <v>1499901.2948418595</v>
      </c>
      <c r="D15">
        <v>81802257</v>
      </c>
      <c r="F15">
        <v>40296678</v>
      </c>
      <c r="G15">
        <v>3451184.34</v>
      </c>
      <c r="H15">
        <v>1107977</v>
      </c>
      <c r="I15">
        <v>115626.24113292249</v>
      </c>
      <c r="K15">
        <v>3635.4</v>
      </c>
      <c r="L15">
        <v>3016.9585714285708</v>
      </c>
      <c r="M15">
        <v>1.2049883728693658</v>
      </c>
      <c r="Q15">
        <v>2.0300000163785215</v>
      </c>
      <c r="R15">
        <v>42.189353528472935</v>
      </c>
      <c r="S15">
        <v>85.644388353799286</v>
      </c>
      <c r="T15">
        <v>51.407871295874763</v>
      </c>
      <c r="U15">
        <v>104.35797957261069</v>
      </c>
      <c r="V15">
        <v>18335.695735655063</v>
      </c>
      <c r="W15">
        <v>37221.46264369136</v>
      </c>
      <c r="X15">
        <v>1.0767033156455379</v>
      </c>
      <c r="AB15">
        <v>63362.553052450559</v>
      </c>
      <c r="AC15">
        <v>992.14153052450547</v>
      </c>
      <c r="AD15">
        <v>14337.902063628542</v>
      </c>
      <c r="AE15">
        <v>828.97136715391218</v>
      </c>
      <c r="AF15">
        <v>13508.93069647463</v>
      </c>
      <c r="AG15">
        <v>23906.98495270851</v>
      </c>
      <c r="AH15">
        <v>7906.669991401548</v>
      </c>
      <c r="AI15">
        <v>6818.6204643164237</v>
      </c>
      <c r="AJ15">
        <v>138.36345657781601</v>
      </c>
      <c r="AK15">
        <v>4.0235597592433354</v>
      </c>
      <c r="AL15">
        <v>454.95365434221839</v>
      </c>
      <c r="AM15">
        <v>14.139638865004301</v>
      </c>
      <c r="AN15">
        <v>476.56921754084283</v>
      </c>
      <c r="AO15">
        <v>4511.4168529664657</v>
      </c>
      <c r="AP15">
        <v>12184.00687876182</v>
      </c>
      <c r="AR15">
        <v>63362.553052450538</v>
      </c>
      <c r="AS15">
        <v>56397.007461221154</v>
      </c>
      <c r="AT15">
        <v>44711.104461405914</v>
      </c>
      <c r="AU15">
        <v>96.261667354893348</v>
      </c>
      <c r="AV15">
        <v>8717.6955313640228</v>
      </c>
      <c r="AW15">
        <v>2871.9458010963285</v>
      </c>
      <c r="AX15">
        <v>6965.5455912293819</v>
      </c>
      <c r="AZ15">
        <v>1</v>
      </c>
      <c r="BA15">
        <v>0.89006841966321315</v>
      </c>
      <c r="BB15">
        <v>0.70563925074791034</v>
      </c>
      <c r="BC15">
        <v>1.5192201500341918E-3</v>
      </c>
      <c r="BD15">
        <v>0.13758434771634989</v>
      </c>
      <c r="BE15">
        <v>4.5325601048918855E-2</v>
      </c>
      <c r="BF15">
        <v>0.10993158033678679</v>
      </c>
      <c r="BJ15">
        <v>104316.50332738798</v>
      </c>
      <c r="BK15">
        <v>4084.9711784280007</v>
      </c>
      <c r="BL15">
        <v>44078.930208359983</v>
      </c>
      <c r="BM15">
        <v>2190.03524892</v>
      </c>
      <c r="BN15">
        <v>41888.894959439982</v>
      </c>
      <c r="BO15">
        <v>56152.601940599998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104316.50332738797</v>
      </c>
      <c r="CA15">
        <v>104316.50332738797</v>
      </c>
      <c r="CB15">
        <v>88799.191011486429</v>
      </c>
      <c r="CC15">
        <v>0</v>
      </c>
      <c r="CD15">
        <v>15305.973636368108</v>
      </c>
      <c r="CE15">
        <v>211.33867953342295</v>
      </c>
      <c r="CF15">
        <v>0</v>
      </c>
      <c r="CH15">
        <v>1</v>
      </c>
      <c r="CI15">
        <v>1</v>
      </c>
      <c r="CJ15">
        <v>0.85124777172407851</v>
      </c>
      <c r="CK15">
        <v>0</v>
      </c>
      <c r="CL15">
        <v>0.14672629112511262</v>
      </c>
      <c r="CM15">
        <v>2.0259371508087798E-3</v>
      </c>
      <c r="CN15">
        <v>0</v>
      </c>
      <c r="CR15">
        <v>18287.028325262934</v>
      </c>
      <c r="CS15">
        <v>16276.706401803198</v>
      </c>
      <c r="CT15">
        <v>12904.04496584435</v>
      </c>
      <c r="CU15">
        <v>27.782021915985471</v>
      </c>
      <c r="CV15">
        <v>2516.0088638017155</v>
      </c>
      <c r="CW15">
        <v>828.87055024114636</v>
      </c>
      <c r="CX15">
        <v>2010.3219234597384</v>
      </c>
      <c r="CZ15">
        <v>11583.977834300918</v>
      </c>
      <c r="DA15">
        <v>9032.1494468623187</v>
      </c>
      <c r="DB15">
        <v>81.813553099221039</v>
      </c>
      <c r="DC15">
        <v>1824.1980937286985</v>
      </c>
      <c r="DD15">
        <v>645.81674061068031</v>
      </c>
      <c r="DF15">
        <v>2588.7122339808748</v>
      </c>
      <c r="DG15">
        <v>2588.7122339808748</v>
      </c>
      <c r="DH15">
        <v>2203.6355208110813</v>
      </c>
      <c r="DI15">
        <v>0</v>
      </c>
      <c r="DJ15">
        <v>379.83214488221859</v>
      </c>
      <c r="DK15">
        <v>5.2445682875750448</v>
      </c>
      <c r="DL15">
        <v>0</v>
      </c>
      <c r="DN15">
        <v>0.71169053175386876</v>
      </c>
      <c r="DO15">
        <v>0.69994714609019637</v>
      </c>
      <c r="DP15">
        <v>2.9448379727951481</v>
      </c>
      <c r="DQ15">
        <v>0.72503643368422643</v>
      </c>
      <c r="DR15">
        <v>0.77915271621460114</v>
      </c>
      <c r="DV15">
        <v>213.522785050653</v>
      </c>
      <c r="DW15">
        <v>190.04988785212271</v>
      </c>
      <c r="DX15">
        <v>150.67005806074988</v>
      </c>
      <c r="DY15">
        <v>0.32438811754037161</v>
      </c>
      <c r="DZ15">
        <v>29.377393103772484</v>
      </c>
      <c r="EA15">
        <v>9.6780485700599534</v>
      </c>
      <c r="EB15">
        <v>23.472897198530323</v>
      </c>
      <c r="ED15">
        <v>135.25670574524034</v>
      </c>
      <c r="EE15">
        <v>105.46107714086608</v>
      </c>
      <c r="EF15">
        <v>0.95527044645642212</v>
      </c>
      <c r="EG15">
        <v>21.299680326898788</v>
      </c>
      <c r="EH15">
        <v>7.5406778310190496</v>
      </c>
      <c r="EJ15">
        <v>30.22629133956605</v>
      </c>
      <c r="EK15">
        <v>30.22629133956605</v>
      </c>
      <c r="EL15">
        <v>25.730063150288416</v>
      </c>
      <c r="EM15">
        <v>0</v>
      </c>
      <c r="EN15">
        <v>4.4349916227216388</v>
      </c>
      <c r="EO15">
        <v>6.123656655599654E-2</v>
      </c>
      <c r="EP15">
        <v>0</v>
      </c>
      <c r="ET15">
        <v>9008.3882648861345</v>
      </c>
      <c r="EU15">
        <v>8018.0819066398381</v>
      </c>
      <c r="EV15">
        <v>6356.6723456805203</v>
      </c>
      <c r="EW15">
        <v>13.685724971346568</v>
      </c>
      <c r="EX15">
        <v>1239.4132233999801</v>
      </c>
      <c r="EY15">
        <v>408.31061258799139</v>
      </c>
      <c r="EZ15">
        <v>990.3063582462978</v>
      </c>
      <c r="FB15">
        <v>5706.3929757825808</v>
      </c>
      <c r="FC15">
        <v>4449.3346669895545</v>
      </c>
      <c r="FD15">
        <v>40.302242580852166</v>
      </c>
      <c r="FE15">
        <v>898.61974335499292</v>
      </c>
      <c r="FF15">
        <v>318.13632285718114</v>
      </c>
      <c r="FH15">
        <v>1275.2276911795718</v>
      </c>
      <c r="FI15">
        <v>1275.2276911795718</v>
      </c>
      <c r="FJ15">
        <v>1085.5347305574519</v>
      </c>
      <c r="FK15">
        <v>0</v>
      </c>
      <c r="FL15">
        <v>187.10942946681908</v>
      </c>
      <c r="FM15">
        <v>2.5835311553008</v>
      </c>
      <c r="FN15">
        <v>0</v>
      </c>
    </row>
    <row r="16" spans="1:170" x14ac:dyDescent="0.25">
      <c r="A16">
        <v>2011</v>
      </c>
      <c r="C16">
        <v>1527632.0180195211</v>
      </c>
      <c r="D16">
        <v>80222065</v>
      </c>
      <c r="F16">
        <v>39733564</v>
      </c>
      <c r="G16">
        <v>3433477.44</v>
      </c>
      <c r="H16">
        <v>895482</v>
      </c>
      <c r="I16">
        <v>103908.11164189412</v>
      </c>
      <c r="K16">
        <v>2873.02</v>
      </c>
      <c r="L16">
        <v>3016.9585714285708</v>
      </c>
      <c r="M16">
        <v>0.95229017302666708</v>
      </c>
      <c r="Q16">
        <v>2.0189999819799702</v>
      </c>
      <c r="R16">
        <v>42.799664157236542</v>
      </c>
      <c r="S16">
        <v>86.412521162209359</v>
      </c>
      <c r="T16">
        <v>57.471995504769481</v>
      </c>
      <c r="U16">
        <v>116.03595788848251</v>
      </c>
      <c r="V16">
        <v>19042.54169996149</v>
      </c>
      <c r="W16">
        <v>38446.891349075086</v>
      </c>
      <c r="X16">
        <v>1.1107174373096798</v>
      </c>
      <c r="AB16">
        <v>55472.622871883053</v>
      </c>
      <c r="AC16">
        <v>865.78306104901117</v>
      </c>
      <c r="AD16">
        <v>12366.641530524501</v>
      </c>
      <c r="AE16">
        <v>789.39183147033532</v>
      </c>
      <c r="AF16">
        <v>11577.249699054166</v>
      </c>
      <c r="AG16">
        <v>19757.917540842649</v>
      </c>
      <c r="AH16">
        <v>7359.0601891659508</v>
      </c>
      <c r="AI16">
        <v>6106.8357695614786</v>
      </c>
      <c r="AJ16">
        <v>166.06956147893379</v>
      </c>
      <c r="AK16">
        <v>1.436285468615649</v>
      </c>
      <c r="AL16">
        <v>521.23336199484095</v>
      </c>
      <c r="AM16">
        <v>15.859329320722273</v>
      </c>
      <c r="AN16">
        <v>547.62588134135888</v>
      </c>
      <c r="AO16">
        <v>3925.3606190885639</v>
      </c>
      <c r="AP16">
        <v>11745.485812553739</v>
      </c>
      <c r="AR16">
        <v>55472.622871883053</v>
      </c>
      <c r="AS16">
        <v>48700.126454638208</v>
      </c>
      <c r="AT16">
        <v>37456.947862552734</v>
      </c>
      <c r="AU16">
        <v>102.93508168529664</v>
      </c>
      <c r="AV16">
        <v>8549.6306507671943</v>
      </c>
      <c r="AW16">
        <v>2590.6128596329877</v>
      </c>
      <c r="AX16">
        <v>6772.4964172448426</v>
      </c>
      <c r="AZ16">
        <v>1</v>
      </c>
      <c r="BA16">
        <v>0.87791281416625488</v>
      </c>
      <c r="BB16">
        <v>0.67523304151421737</v>
      </c>
      <c r="BC16">
        <v>1.8556014905412106E-3</v>
      </c>
      <c r="BD16">
        <v>0.15412342536088508</v>
      </c>
      <c r="BE16">
        <v>4.6700745800611315E-2</v>
      </c>
      <c r="BF16">
        <v>0.12208718583374506</v>
      </c>
      <c r="BJ16">
        <v>87964.647972863997</v>
      </c>
      <c r="BK16">
        <v>3575.7770864639997</v>
      </c>
      <c r="BL16">
        <v>37981.576907639996</v>
      </c>
      <c r="BM16">
        <v>2085.4712293200005</v>
      </c>
      <c r="BN16">
        <v>35896.105678319997</v>
      </c>
      <c r="BO16">
        <v>46407.293978759997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87964.647972864012</v>
      </c>
      <c r="CA16">
        <v>87964.647972864012</v>
      </c>
      <c r="CB16">
        <v>73392.209951050259</v>
      </c>
      <c r="CC16">
        <v>0</v>
      </c>
      <c r="CD16">
        <v>14388.355536039038</v>
      </c>
      <c r="CE16">
        <v>184.08248577470769</v>
      </c>
      <c r="CF16">
        <v>0</v>
      </c>
      <c r="CH16">
        <v>1</v>
      </c>
      <c r="CI16">
        <v>1</v>
      </c>
      <c r="CJ16">
        <v>0.83433756221807232</v>
      </c>
      <c r="CK16">
        <v>0</v>
      </c>
      <c r="CL16">
        <v>0.16356975066253507</v>
      </c>
      <c r="CM16">
        <v>2.0926871193924952E-3</v>
      </c>
      <c r="CN16">
        <v>0</v>
      </c>
      <c r="CR16">
        <v>16236.816913781</v>
      </c>
      <c r="CS16">
        <v>14254.509629879723</v>
      </c>
      <c r="CT16">
        <v>10963.635269201835</v>
      </c>
      <c r="CU16">
        <v>30.129061666856767</v>
      </c>
      <c r="CV16">
        <v>2502.4738397094825</v>
      </c>
      <c r="CW16">
        <v>758.27145930155291</v>
      </c>
      <c r="CX16">
        <v>1982.3072839012757</v>
      </c>
      <c r="CZ16">
        <v>10392.919869709474</v>
      </c>
      <c r="DA16">
        <v>7866.1582286262028</v>
      </c>
      <c r="DB16">
        <v>91.525218486966537</v>
      </c>
      <c r="DC16">
        <v>1843.0221127194279</v>
      </c>
      <c r="DD16">
        <v>592.2143098768762</v>
      </c>
      <c r="DF16">
        <v>2213.8625161554601</v>
      </c>
      <c r="DG16">
        <v>2213.8625161554601</v>
      </c>
      <c r="DH16">
        <v>1847.1086548151145</v>
      </c>
      <c r="DI16">
        <v>0</v>
      </c>
      <c r="DJ16">
        <v>362.12093976868113</v>
      </c>
      <c r="DK16">
        <v>4.632921571664391</v>
      </c>
      <c r="DL16">
        <v>0</v>
      </c>
      <c r="DN16">
        <v>0.72909697629473391</v>
      </c>
      <c r="DO16">
        <v>0.71747719031872437</v>
      </c>
      <c r="DP16">
        <v>3.0377719525081699</v>
      </c>
      <c r="DQ16">
        <v>0.7364800716291956</v>
      </c>
      <c r="DR16">
        <v>0.78100567100648544</v>
      </c>
      <c r="DV16">
        <v>187.89889121857743</v>
      </c>
      <c r="DW16">
        <v>164.95884436842036</v>
      </c>
      <c r="DX16">
        <v>126.87553981466915</v>
      </c>
      <c r="DY16">
        <v>0.34866546261623321</v>
      </c>
      <c r="DZ16">
        <v>28.95962073611949</v>
      </c>
      <c r="EA16">
        <v>8.7750183550155061</v>
      </c>
      <c r="EB16">
        <v>22.940046850157113</v>
      </c>
      <c r="ED16">
        <v>120.27099464208888</v>
      </c>
      <c r="EE16">
        <v>91.03030582640028</v>
      </c>
      <c r="EF16">
        <v>1.0591661631438791</v>
      </c>
      <c r="EG16">
        <v>21.328183554091623</v>
      </c>
      <c r="EH16">
        <v>6.8533390984531106</v>
      </c>
      <c r="EJ16">
        <v>25.619695923461205</v>
      </c>
      <c r="EK16">
        <v>25.619695923461205</v>
      </c>
      <c r="EL16">
        <v>21.375474641548909</v>
      </c>
      <c r="EM16">
        <v>0</v>
      </c>
      <c r="EN16">
        <v>4.1906072742505156</v>
      </c>
      <c r="EO16">
        <v>5.3614007661779678E-2</v>
      </c>
      <c r="EP16">
        <v>0</v>
      </c>
      <c r="ET16">
        <v>8042.0094396722388</v>
      </c>
      <c r="EU16">
        <v>7060.1831387342427</v>
      </c>
      <c r="EV16">
        <v>5430.2304938359339</v>
      </c>
      <c r="EW16">
        <v>14.922764703202294</v>
      </c>
      <c r="EX16">
        <v>1239.4620416268576</v>
      </c>
      <c r="EY16">
        <v>375.5678385682499</v>
      </c>
      <c r="EZ16">
        <v>981.82630093799651</v>
      </c>
      <c r="FB16">
        <v>5147.5581785382001</v>
      </c>
      <c r="FC16">
        <v>3896.0665175004647</v>
      </c>
      <c r="FD16">
        <v>45.33195606926683</v>
      </c>
      <c r="FE16">
        <v>912.83909319901716</v>
      </c>
      <c r="FF16">
        <v>293.32061176945138</v>
      </c>
      <c r="FH16">
        <v>1096.5143813346615</v>
      </c>
      <c r="FI16">
        <v>1096.5143813346615</v>
      </c>
      <c r="FJ16">
        <v>914.86313585981941</v>
      </c>
      <c r="FK16">
        <v>0</v>
      </c>
      <c r="FL16">
        <v>179.35658395279447</v>
      </c>
      <c r="FM16">
        <v>2.2946615220476771</v>
      </c>
      <c r="FN16">
        <v>0</v>
      </c>
    </row>
    <row r="17" spans="1:170" x14ac:dyDescent="0.25">
      <c r="A17">
        <v>2012</v>
      </c>
      <c r="C17">
        <v>1550548.7836239263</v>
      </c>
      <c r="D17">
        <v>80327900</v>
      </c>
      <c r="F17">
        <v>39984022</v>
      </c>
      <c r="G17">
        <v>3489737.9600000004</v>
      </c>
      <c r="H17">
        <v>1133426</v>
      </c>
      <c r="I17">
        <v>129880.74355705128</v>
      </c>
      <c r="K17">
        <v>3130.93</v>
      </c>
      <c r="L17">
        <v>3016.9585714285708</v>
      </c>
      <c r="M17">
        <v>1.0377769286097496</v>
      </c>
      <c r="Q17">
        <v>2.008999995048022</v>
      </c>
      <c r="R17">
        <v>43.443659799397224</v>
      </c>
      <c r="S17">
        <v>87.278312321856973</v>
      </c>
      <c r="T17">
        <v>57.038968063397135</v>
      </c>
      <c r="U17">
        <v>114.59128655690913</v>
      </c>
      <c r="V17">
        <v>19302.742678744573</v>
      </c>
      <c r="W17">
        <v>38779.209946011091</v>
      </c>
      <c r="X17">
        <v>1.1385190990527729</v>
      </c>
      <c r="AB17">
        <v>58563.637231298359</v>
      </c>
      <c r="AC17">
        <v>742.84488392089406</v>
      </c>
      <c r="AD17">
        <v>13028.519604471192</v>
      </c>
      <c r="AE17">
        <v>725.62484952708508</v>
      </c>
      <c r="AF17">
        <v>12302.894754944107</v>
      </c>
      <c r="AG17">
        <v>21618.70326741186</v>
      </c>
      <c r="AH17">
        <v>8642.0418744625968</v>
      </c>
      <c r="AI17">
        <v>7254.3708512467756</v>
      </c>
      <c r="AJ17">
        <v>199.10197764402409</v>
      </c>
      <c r="AK17">
        <v>0.50180567497850381</v>
      </c>
      <c r="AL17">
        <v>542.53843508168529</v>
      </c>
      <c r="AM17">
        <v>21.042304385210659</v>
      </c>
      <c r="AN17">
        <v>624.48650042992313</v>
      </c>
      <c r="AO17">
        <v>3376.1344797936372</v>
      </c>
      <c r="AP17">
        <v>11779.8796216681</v>
      </c>
      <c r="AR17">
        <v>58563.637231298359</v>
      </c>
      <c r="AS17">
        <v>51864.077765902373</v>
      </c>
      <c r="AT17">
        <v>40715.958080791752</v>
      </c>
      <c r="AU17">
        <v>103.23655297601977</v>
      </c>
      <c r="AV17">
        <v>8404.9304440641608</v>
      </c>
      <c r="AW17">
        <v>2639.9526880704348</v>
      </c>
      <c r="AX17">
        <v>6699.5594653959834</v>
      </c>
      <c r="AZ17">
        <v>1</v>
      </c>
      <c r="BA17">
        <v>0.88560205987657614</v>
      </c>
      <c r="BB17">
        <v>0.69524298704302112</v>
      </c>
      <c r="BC17">
        <v>1.7628097887480031E-3</v>
      </c>
      <c r="BD17">
        <v>0.14351790362454275</v>
      </c>
      <c r="BE17">
        <v>4.5078359420264218E-2</v>
      </c>
      <c r="BF17">
        <v>0.11439794012342382</v>
      </c>
      <c r="BJ17">
        <v>93908.893717799991</v>
      </c>
      <c r="BK17">
        <v>3066.4399431599995</v>
      </c>
      <c r="BL17">
        <v>40064.555957399993</v>
      </c>
      <c r="BM17">
        <v>1917.0071017200005</v>
      </c>
      <c r="BN17">
        <v>38147.54885567999</v>
      </c>
      <c r="BO17">
        <v>50777.897817239995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93908.893717799961</v>
      </c>
      <c r="CA17">
        <v>93908.893717799961</v>
      </c>
      <c r="CB17">
        <v>79375.319095984771</v>
      </c>
      <c r="CC17">
        <v>0</v>
      </c>
      <c r="CD17">
        <v>14332.315973705943</v>
      </c>
      <c r="CE17">
        <v>201.25864810924855</v>
      </c>
      <c r="CF17">
        <v>0</v>
      </c>
      <c r="CH17">
        <v>1</v>
      </c>
      <c r="CI17">
        <v>1</v>
      </c>
      <c r="CJ17">
        <v>0.84523750577353007</v>
      </c>
      <c r="CK17">
        <v>0</v>
      </c>
      <c r="CL17">
        <v>0.15261936762640541</v>
      </c>
      <c r="CM17">
        <v>2.1431266000645158E-3</v>
      </c>
      <c r="CN17">
        <v>0</v>
      </c>
      <c r="CR17">
        <v>17034.181828931563</v>
      </c>
      <c r="CS17">
        <v>15085.506516013937</v>
      </c>
      <c r="CT17">
        <v>11842.895456580332</v>
      </c>
      <c r="CU17">
        <v>30.028022471353921</v>
      </c>
      <c r="CV17">
        <v>2444.7100660475376</v>
      </c>
      <c r="CW17">
        <v>767.87297091471066</v>
      </c>
      <c r="CX17">
        <v>1948.675312917627</v>
      </c>
      <c r="CZ17">
        <v>11170.366632646004</v>
      </c>
      <c r="DA17">
        <v>8653.9024658132639</v>
      </c>
      <c r="DB17">
        <v>94.515869475693734</v>
      </c>
      <c r="DC17">
        <v>1820.8004927113352</v>
      </c>
      <c r="DD17">
        <v>601.14780464571095</v>
      </c>
      <c r="DF17">
        <v>2348.6605153878704</v>
      </c>
      <c r="DG17">
        <v>2348.6605153878704</v>
      </c>
      <c r="DH17">
        <v>1985.1759559352176</v>
      </c>
      <c r="DI17">
        <v>0</v>
      </c>
      <c r="DJ17">
        <v>358.45108262760419</v>
      </c>
      <c r="DK17">
        <v>5.0334768250489805</v>
      </c>
      <c r="DL17">
        <v>0</v>
      </c>
      <c r="DN17">
        <v>0.74047010756902076</v>
      </c>
      <c r="DO17">
        <v>0.73072522657496308</v>
      </c>
      <c r="DP17">
        <v>3.1475888752201322</v>
      </c>
      <c r="DQ17">
        <v>0.7447919972183441</v>
      </c>
      <c r="DR17">
        <v>0.78287402658490213</v>
      </c>
      <c r="DV17">
        <v>195.17084342917249</v>
      </c>
      <c r="DW17">
        <v>172.84370096872388</v>
      </c>
      <c r="DX17">
        <v>135.69116016940367</v>
      </c>
      <c r="DY17">
        <v>0.34404907327514911</v>
      </c>
      <c r="DZ17">
        <v>28.010510297588706</v>
      </c>
      <c r="EA17">
        <v>8.7979814284563513</v>
      </c>
      <c r="EB17">
        <v>22.327142460448599</v>
      </c>
      <c r="ED17">
        <v>127.98559384893863</v>
      </c>
      <c r="EE17">
        <v>99.152953759007104</v>
      </c>
      <c r="EF17">
        <v>1.0829250355706554</v>
      </c>
      <c r="EG17">
        <v>20.862003907646084</v>
      </c>
      <c r="EH17">
        <v>6.8877111467148113</v>
      </c>
      <c r="EJ17">
        <v>26.910012956330952</v>
      </c>
      <c r="EK17">
        <v>26.910012956330952</v>
      </c>
      <c r="EL17">
        <v>22.745352231542551</v>
      </c>
      <c r="EM17">
        <v>0</v>
      </c>
      <c r="EN17">
        <v>4.1069891602136064</v>
      </c>
      <c r="EO17">
        <v>5.7671564574793624E-2</v>
      </c>
      <c r="EP17">
        <v>0</v>
      </c>
      <c r="ET17">
        <v>8478.9357246983909</v>
      </c>
      <c r="EU17">
        <v>7508.9629433539858</v>
      </c>
      <c r="EV17">
        <v>5894.9206001850916</v>
      </c>
      <c r="EW17">
        <v>14.946750893663468</v>
      </c>
      <c r="EX17">
        <v>1216.8790801759562</v>
      </c>
      <c r="EY17">
        <v>382.21651209927256</v>
      </c>
      <c r="EZ17">
        <v>969.9727813444058</v>
      </c>
      <c r="FB17">
        <v>5560.1625983971171</v>
      </c>
      <c r="FC17">
        <v>4307.5671912116686</v>
      </c>
      <c r="FD17">
        <v>47.046226833581699</v>
      </c>
      <c r="FE17">
        <v>906.32180049747205</v>
      </c>
      <c r="FF17">
        <v>299.22737985439443</v>
      </c>
      <c r="FH17">
        <v>1169.0694480722134</v>
      </c>
      <c r="FI17">
        <v>1169.0694480722134</v>
      </c>
      <c r="FJ17">
        <v>988.14134436459517</v>
      </c>
      <c r="FK17">
        <v>0</v>
      </c>
      <c r="FL17">
        <v>178.422639876132</v>
      </c>
      <c r="FM17">
        <v>2.5054638314863027</v>
      </c>
      <c r="FN17">
        <v>0</v>
      </c>
    </row>
    <row r="18" spans="1:170" x14ac:dyDescent="0.25">
      <c r="A18">
        <v>2013</v>
      </c>
      <c r="C18">
        <v>1556161.603863558</v>
      </c>
      <c r="D18">
        <v>80523746</v>
      </c>
      <c r="F18">
        <v>39823811</v>
      </c>
      <c r="G18">
        <v>3511437.8299999996</v>
      </c>
      <c r="H18">
        <v>888534</v>
      </c>
      <c r="I18">
        <v>109142.27035237802</v>
      </c>
      <c r="K18">
        <v>3289.06</v>
      </c>
      <c r="L18">
        <v>3016.9585714285708</v>
      </c>
      <c r="M18">
        <v>1.0901906413791371</v>
      </c>
      <c r="Q18">
        <v>2.0220000039674755</v>
      </c>
      <c r="R18">
        <v>43.607482319563218</v>
      </c>
      <c r="S18">
        <v>88.174329423168459</v>
      </c>
      <c r="T18">
        <v>60.74881079035498</v>
      </c>
      <c r="U18">
        <v>122.83409565911718</v>
      </c>
      <c r="V18">
        <v>19325.499385778177</v>
      </c>
      <c r="W18">
        <v>39076.159834716927</v>
      </c>
      <c r="X18">
        <v>1.1601116519387491</v>
      </c>
      <c r="AB18">
        <v>61814.776612209789</v>
      </c>
      <c r="AC18">
        <v>691.6314703353396</v>
      </c>
      <c r="AD18">
        <v>14208.842820292348</v>
      </c>
      <c r="AE18">
        <v>860.85494411006016</v>
      </c>
      <c r="AF18">
        <v>13347.987876182287</v>
      </c>
      <c r="AG18">
        <v>22509.461822871879</v>
      </c>
      <c r="AH18">
        <v>9007.4248495270858</v>
      </c>
      <c r="AI18">
        <v>7505.7562338779026</v>
      </c>
      <c r="AJ18">
        <v>227.57239896818567</v>
      </c>
      <c r="AK18">
        <v>1.095270851246775</v>
      </c>
      <c r="AL18">
        <v>548.41410146173678</v>
      </c>
      <c r="AM18">
        <v>21.734995700773865</v>
      </c>
      <c r="AN18">
        <v>702.85184866724012</v>
      </c>
      <c r="AO18">
        <v>4406.3723989681848</v>
      </c>
      <c r="AP18">
        <v>11693.8950988822</v>
      </c>
      <c r="AR18">
        <v>61814.776612209811</v>
      </c>
      <c r="AS18">
        <v>55216.12669292443</v>
      </c>
      <c r="AT18">
        <v>44711.739396133016</v>
      </c>
      <c r="AU18">
        <v>102.4829702875704</v>
      </c>
      <c r="AV18">
        <v>7781.5395321007645</v>
      </c>
      <c r="AW18">
        <v>2620.3647944030781</v>
      </c>
      <c r="AX18">
        <v>6598.6499192853807</v>
      </c>
      <c r="AZ18">
        <v>1</v>
      </c>
      <c r="BA18">
        <v>0.89325125348779477</v>
      </c>
      <c r="BB18">
        <v>0.72331798069300857</v>
      </c>
      <c r="BC18">
        <v>1.6579040789953725E-3</v>
      </c>
      <c r="BD18">
        <v>0.12588477963639094</v>
      </c>
      <c r="BE18">
        <v>4.2390589079399778E-2</v>
      </c>
      <c r="BF18">
        <v>0.10674874651220528</v>
      </c>
      <c r="BJ18">
        <v>99394.162647084013</v>
      </c>
      <c r="BK18">
        <v>2859.9228240839998</v>
      </c>
      <c r="BL18">
        <v>43664.132942640004</v>
      </c>
      <c r="BM18">
        <v>2274.2675398800002</v>
      </c>
      <c r="BN18">
        <v>41389.865402760006</v>
      </c>
      <c r="BO18">
        <v>52870.106880359999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99394.162647083998</v>
      </c>
      <c r="CA18">
        <v>99394.162647083998</v>
      </c>
      <c r="CB18">
        <v>86736.938231873763</v>
      </c>
      <c r="CC18">
        <v>0</v>
      </c>
      <c r="CD18">
        <v>12431.067083119216</v>
      </c>
      <c r="CE18">
        <v>226.15733209102481</v>
      </c>
      <c r="CF18">
        <v>0</v>
      </c>
      <c r="CH18">
        <v>1</v>
      </c>
      <c r="CI18">
        <v>1</v>
      </c>
      <c r="CJ18">
        <v>0.87265625990379458</v>
      </c>
      <c r="CK18">
        <v>0</v>
      </c>
      <c r="CL18">
        <v>0.12506838180485358</v>
      </c>
      <c r="CM18">
        <v>2.275358291351929E-3</v>
      </c>
      <c r="CN18">
        <v>0</v>
      </c>
      <c r="CR18">
        <v>18052.161105324652</v>
      </c>
      <c r="CS18">
        <v>16125.115535494862</v>
      </c>
      <c r="CT18">
        <v>13057.4527178483</v>
      </c>
      <c r="CU18">
        <v>29.928751531199353</v>
      </c>
      <c r="CV18">
        <v>2272.4923227044214</v>
      </c>
      <c r="CW18">
        <v>765.24174341094067</v>
      </c>
      <c r="CX18">
        <v>1927.0455698297933</v>
      </c>
      <c r="CZ18">
        <v>12190.739828901827</v>
      </c>
      <c r="DA18">
        <v>9762.7828928126019</v>
      </c>
      <c r="DB18">
        <v>98.151523383096105</v>
      </c>
      <c r="DC18">
        <v>1729.2869969568681</v>
      </c>
      <c r="DD18">
        <v>600.51841574926368</v>
      </c>
      <c r="DF18">
        <v>2495.8475884461186</v>
      </c>
      <c r="DG18">
        <v>2495.8475884461186</v>
      </c>
      <c r="DH18">
        <v>2178.0170218232947</v>
      </c>
      <c r="DI18">
        <v>0</v>
      </c>
      <c r="DJ18">
        <v>312.15161911850214</v>
      </c>
      <c r="DK18">
        <v>5.6789475043215925</v>
      </c>
      <c r="DL18">
        <v>0</v>
      </c>
      <c r="DN18">
        <v>0.75600945630853789</v>
      </c>
      <c r="DO18">
        <v>0.74767897719191467</v>
      </c>
      <c r="DP18">
        <v>3.2795061057183639</v>
      </c>
      <c r="DQ18">
        <v>0.76096494570283013</v>
      </c>
      <c r="DR18">
        <v>0.78474341071953346</v>
      </c>
      <c r="DV18">
        <v>204.73261575586548</v>
      </c>
      <c r="DW18">
        <v>182.87766565376191</v>
      </c>
      <c r="DX18">
        <v>148.08678221053026</v>
      </c>
      <c r="DY18">
        <v>0.33942703876504166</v>
      </c>
      <c r="DZ18">
        <v>25.772720218809027</v>
      </c>
      <c r="EA18">
        <v>8.6787361856575433</v>
      </c>
      <c r="EB18">
        <v>21.854950102103615</v>
      </c>
      <c r="ED18">
        <v>138.25724458187511</v>
      </c>
      <c r="EE18">
        <v>110.72137385881108</v>
      </c>
      <c r="EF18">
        <v>1.1131530460758581</v>
      </c>
      <c r="EG18">
        <v>19.612136641920241</v>
      </c>
      <c r="EH18">
        <v>6.8105810350679343</v>
      </c>
      <c r="EJ18">
        <v>28.305830106946249</v>
      </c>
      <c r="EK18">
        <v>28.305830106946249</v>
      </c>
      <c r="EL18">
        <v>24.701259834599941</v>
      </c>
      <c r="EM18">
        <v>0</v>
      </c>
      <c r="EN18">
        <v>3.5401643671188725</v>
      </c>
      <c r="EO18">
        <v>6.4405905227439206E-2</v>
      </c>
      <c r="EP18">
        <v>0</v>
      </c>
      <c r="ET18">
        <v>8927.8739218118353</v>
      </c>
      <c r="EU18">
        <v>7974.8345716394178</v>
      </c>
      <c r="EV18">
        <v>6457.6917370067085</v>
      </c>
      <c r="EW18">
        <v>14.801558591728256</v>
      </c>
      <c r="EX18">
        <v>1123.8834412687645</v>
      </c>
      <c r="EY18">
        <v>378.45783477221488</v>
      </c>
      <c r="EZ18">
        <v>953.03935017241986</v>
      </c>
      <c r="FB18">
        <v>6029.0503486556481</v>
      </c>
      <c r="FC18">
        <v>4828.2803529458542</v>
      </c>
      <c r="FD18">
        <v>48.54180177572092</v>
      </c>
      <c r="FE18">
        <v>855.23590186139484</v>
      </c>
      <c r="FF18">
        <v>296.99229207267757</v>
      </c>
      <c r="FH18">
        <v>1234.3459859292188</v>
      </c>
      <c r="FI18">
        <v>1234.3459859292188</v>
      </c>
      <c r="FJ18">
        <v>1077.1597515082542</v>
      </c>
      <c r="FK18">
        <v>0</v>
      </c>
      <c r="FL18">
        <v>154.37765504748396</v>
      </c>
      <c r="FM18">
        <v>2.8085793734810203</v>
      </c>
      <c r="FN18">
        <v>0</v>
      </c>
    </row>
    <row r="19" spans="1:170" x14ac:dyDescent="0.25">
      <c r="A19">
        <v>2014</v>
      </c>
      <c r="C19">
        <v>1572516.3898161929</v>
      </c>
      <c r="D19">
        <v>80767463</v>
      </c>
      <c r="F19">
        <v>40023520</v>
      </c>
      <c r="G19">
        <v>3572626.26</v>
      </c>
      <c r="H19">
        <v>1084683</v>
      </c>
      <c r="I19">
        <v>134975.91009234497</v>
      </c>
      <c r="K19">
        <v>2659</v>
      </c>
      <c r="L19">
        <v>3016.9585714285708</v>
      </c>
      <c r="M19">
        <v>0.88135118101437093</v>
      </c>
      <c r="Q19">
        <v>2.017999991005289</v>
      </c>
      <c r="R19">
        <v>44.233483723513764</v>
      </c>
      <c r="S19">
        <v>89.263169756183359</v>
      </c>
      <c r="T19">
        <v>61.664082052878364</v>
      </c>
      <c r="U19">
        <v>124.43811702805795</v>
      </c>
      <c r="V19">
        <v>19469.67666690475</v>
      </c>
      <c r="W19">
        <v>39289.807338689665</v>
      </c>
      <c r="X19">
        <v>1.1641335816990261</v>
      </c>
      <c r="AB19">
        <v>52872.496560619082</v>
      </c>
      <c r="AC19">
        <v>572.76491831470332</v>
      </c>
      <c r="AD19">
        <v>12346.510146173689</v>
      </c>
      <c r="AE19">
        <v>713.82321582115208</v>
      </c>
      <c r="AF19">
        <v>11632.686930352536</v>
      </c>
      <c r="AG19">
        <v>18298.055288048148</v>
      </c>
      <c r="AH19">
        <v>7624.7133276010309</v>
      </c>
      <c r="AI19">
        <v>5974.4196044711953</v>
      </c>
      <c r="AJ19">
        <v>262.41994840928629</v>
      </c>
      <c r="AK19">
        <v>1.182287188306105</v>
      </c>
      <c r="AL19">
        <v>590.71367153912297</v>
      </c>
      <c r="AM19">
        <v>20.325795356835769</v>
      </c>
      <c r="AN19">
        <v>775.65202063628533</v>
      </c>
      <c r="AO19">
        <v>3662.5107480653478</v>
      </c>
      <c r="AP19">
        <v>11143.594153052452</v>
      </c>
      <c r="AR19">
        <v>52872.49656061906</v>
      </c>
      <c r="AS19">
        <v>46330.123008186158</v>
      </c>
      <c r="AT19">
        <v>35919.573950994258</v>
      </c>
      <c r="AU19">
        <v>99.764139677080351</v>
      </c>
      <c r="AV19">
        <v>7808.8547291983759</v>
      </c>
      <c r="AW19">
        <v>2501.9301883164462</v>
      </c>
      <c r="AX19">
        <v>6542.3735524329022</v>
      </c>
      <c r="AZ19">
        <v>1</v>
      </c>
      <c r="BA19">
        <v>0.87626130827902216</v>
      </c>
      <c r="BB19">
        <v>0.67936216913479697</v>
      </c>
      <c r="BC19">
        <v>1.8868815767513335E-3</v>
      </c>
      <c r="BD19">
        <v>0.1476921885132739</v>
      </c>
      <c r="BE19">
        <v>4.7320069054200005E-2</v>
      </c>
      <c r="BF19">
        <v>0.12373869172097783</v>
      </c>
      <c r="BJ19">
        <v>83312.188188984001</v>
      </c>
      <c r="BK19">
        <v>2379.6047064240001</v>
      </c>
      <c r="BL19">
        <v>37954.206371879998</v>
      </c>
      <c r="BM19">
        <v>1885.82871024</v>
      </c>
      <c r="BN19">
        <v>36068.377661639999</v>
      </c>
      <c r="BO19">
        <v>42978.377110679998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83312.188188983971</v>
      </c>
      <c r="CA19">
        <v>83312.188188983971</v>
      </c>
      <c r="CB19">
        <v>70454.272788388247</v>
      </c>
      <c r="CC19">
        <v>0</v>
      </c>
      <c r="CD19">
        <v>12656.370040428519</v>
      </c>
      <c r="CE19">
        <v>201.54536016720235</v>
      </c>
      <c r="CF19">
        <v>0</v>
      </c>
      <c r="CH19">
        <v>1</v>
      </c>
      <c r="CI19">
        <v>1</v>
      </c>
      <c r="CJ19">
        <v>0.84566585417935436</v>
      </c>
      <c r="CK19">
        <v>0</v>
      </c>
      <c r="CL19">
        <v>0.15191498765725636</v>
      </c>
      <c r="CM19">
        <v>2.4191581633892538E-3</v>
      </c>
      <c r="CN19">
        <v>0</v>
      </c>
      <c r="CR19">
        <v>15363.644552003412</v>
      </c>
      <c r="CS19">
        <v>13462.567275072381</v>
      </c>
      <c r="CT19">
        <v>10437.478888665044</v>
      </c>
      <c r="CU19">
        <v>28.989377856931235</v>
      </c>
      <c r="CV19">
        <v>2269.0902874254216</v>
      </c>
      <c r="CW19">
        <v>727.0087211249853</v>
      </c>
      <c r="CX19">
        <v>1901.0772769310308</v>
      </c>
      <c r="CZ19">
        <v>10312.450874958477</v>
      </c>
      <c r="DA19">
        <v>7905.1289213278123</v>
      </c>
      <c r="DB19">
        <v>98.783996153482633</v>
      </c>
      <c r="DC19">
        <v>1735.9534733735054</v>
      </c>
      <c r="DD19">
        <v>572.58448410367521</v>
      </c>
      <c r="DF19">
        <v>2081.5807352522711</v>
      </c>
      <c r="DG19">
        <v>2081.5807352522711</v>
      </c>
      <c r="DH19">
        <v>1760.3217505204002</v>
      </c>
      <c r="DI19">
        <v>0</v>
      </c>
      <c r="DJ19">
        <v>316.22331170343136</v>
      </c>
      <c r="DK19">
        <v>5.0356730284393363</v>
      </c>
      <c r="DL19">
        <v>0</v>
      </c>
      <c r="DN19">
        <v>0.7660092361471994</v>
      </c>
      <c r="DO19">
        <v>0.75737915311260395</v>
      </c>
      <c r="DP19">
        <v>3.407592830760382</v>
      </c>
      <c r="DQ19">
        <v>0.76504380764115409</v>
      </c>
      <c r="DR19">
        <v>0.78758956731309693</v>
      </c>
      <c r="DV19">
        <v>172.11627812420537</v>
      </c>
      <c r="DW19">
        <v>150.81883504523222</v>
      </c>
      <c r="DX19">
        <v>116.92928804986816</v>
      </c>
      <c r="DY19">
        <v>0.32476303425157171</v>
      </c>
      <c r="DZ19">
        <v>25.42022979492322</v>
      </c>
      <c r="EA19">
        <v>8.1445541661892928</v>
      </c>
      <c r="EB19">
        <v>21.297443078973128</v>
      </c>
      <c r="ED19">
        <v>115.5286206296088</v>
      </c>
      <c r="EE19">
        <v>88.559805157268869</v>
      </c>
      <c r="EF19">
        <v>1.1066601872116442</v>
      </c>
      <c r="EG19">
        <v>19.447589393421175</v>
      </c>
      <c r="EH19">
        <v>6.4145658917071078</v>
      </c>
      <c r="EJ19">
        <v>23.31959240230854</v>
      </c>
      <c r="EK19">
        <v>23.31959240230854</v>
      </c>
      <c r="EL19">
        <v>19.720583028012634</v>
      </c>
      <c r="EM19">
        <v>0</v>
      </c>
      <c r="EN19">
        <v>3.5425955919689511</v>
      </c>
      <c r="EO19">
        <v>5.6413782326954723E-2</v>
      </c>
      <c r="EP19">
        <v>0</v>
      </c>
      <c r="ET19">
        <v>7613.3025869588046</v>
      </c>
      <c r="EU19">
        <v>6671.2424851725864</v>
      </c>
      <c r="EV19">
        <v>5172.1897597558946</v>
      </c>
      <c r="EW19">
        <v>14.365400389565837</v>
      </c>
      <c r="EX19">
        <v>1124.4253208817158</v>
      </c>
      <c r="EY19">
        <v>360.26200414541023</v>
      </c>
      <c r="EZ19">
        <v>942.06010178621852</v>
      </c>
      <c r="FB19">
        <v>5110.2333602197959</v>
      </c>
      <c r="FC19">
        <v>3917.3086999816014</v>
      </c>
      <c r="FD19">
        <v>48.951435378486941</v>
      </c>
      <c r="FE19">
        <v>860.2346288954742</v>
      </c>
      <c r="FF19">
        <v>283.73859596423284</v>
      </c>
      <c r="FH19">
        <v>1031.5068109664901</v>
      </c>
      <c r="FI19">
        <v>1031.5068109664901</v>
      </c>
      <c r="FJ19">
        <v>872.3100883877986</v>
      </c>
      <c r="FK19">
        <v>0</v>
      </c>
      <c r="FL19">
        <v>156.70134445635017</v>
      </c>
      <c r="FM19">
        <v>2.4953781223411999</v>
      </c>
      <c r="FN19">
        <v>0</v>
      </c>
    </row>
    <row r="20" spans="1:170" x14ac:dyDescent="0.25">
      <c r="A20">
        <v>2015</v>
      </c>
      <c r="C20">
        <v>1602969</v>
      </c>
      <c r="D20">
        <v>81197537</v>
      </c>
      <c r="F20">
        <v>40558210</v>
      </c>
      <c r="G20">
        <v>3670870.0000000009</v>
      </c>
      <c r="H20">
        <v>1424102</v>
      </c>
      <c r="I20">
        <v>172401.25224769677</v>
      </c>
      <c r="K20">
        <v>2908.42</v>
      </c>
      <c r="L20">
        <v>3016.9585714285708</v>
      </c>
      <c r="M20">
        <v>0.964023844259427</v>
      </c>
      <c r="Q20">
        <v>2.0020000143004339</v>
      </c>
      <c r="R20">
        <v>45.209129927179937</v>
      </c>
      <c r="S20">
        <v>90.508678760724408</v>
      </c>
      <c r="T20">
        <v>60.469342081616226</v>
      </c>
      <c r="U20">
        <v>121.05962371213352</v>
      </c>
      <c r="V20">
        <v>19741.596349160198</v>
      </c>
      <c r="W20">
        <v>39522.676173332104</v>
      </c>
      <c r="X20">
        <v>1.1553817304279066</v>
      </c>
      <c r="AB20">
        <v>54115.312553740325</v>
      </c>
      <c r="AC20">
        <v>600.78486672398958</v>
      </c>
      <c r="AD20">
        <v>11722.066723989679</v>
      </c>
      <c r="AE20">
        <v>587.28314703353396</v>
      </c>
      <c r="AF20">
        <v>11134.783576956146</v>
      </c>
      <c r="AG20">
        <v>19738.843508168531</v>
      </c>
      <c r="AH20">
        <v>7761.8911435941527</v>
      </c>
      <c r="AI20">
        <v>5979.2203783319001</v>
      </c>
      <c r="AJ20">
        <v>281.45597592433359</v>
      </c>
      <c r="AK20">
        <v>1.214789337919175</v>
      </c>
      <c r="AL20">
        <v>632.5116938950988</v>
      </c>
      <c r="AM20">
        <v>22.976956147893379</v>
      </c>
      <c r="AN20">
        <v>844.5113499570075</v>
      </c>
      <c r="AO20">
        <v>4070.0295786758375</v>
      </c>
      <c r="AP20">
        <v>11066.208082545139</v>
      </c>
      <c r="AR20">
        <v>54115.31255374031</v>
      </c>
      <c r="AS20">
        <v>47582.017550260251</v>
      </c>
      <c r="AT20">
        <v>37353.858254525374</v>
      </c>
      <c r="AU20">
        <v>99.100076430686855</v>
      </c>
      <c r="AV20">
        <v>7704.9996135541778</v>
      </c>
      <c r="AW20">
        <v>2424.0596057500061</v>
      </c>
      <c r="AX20">
        <v>6533.2950034800615</v>
      </c>
      <c r="AZ20">
        <v>1</v>
      </c>
      <c r="BA20">
        <v>0.87927086262336496</v>
      </c>
      <c r="BB20">
        <v>0.69026411364492013</v>
      </c>
      <c r="BC20">
        <v>1.8312760613231885E-3</v>
      </c>
      <c r="BD20">
        <v>0.1423811348387311</v>
      </c>
      <c r="BE20">
        <v>4.4794338078390374E-2</v>
      </c>
      <c r="BF20">
        <v>0.12072913737663513</v>
      </c>
      <c r="BJ20">
        <v>84920.469423995994</v>
      </c>
      <c r="BK20">
        <v>2482.2656922360002</v>
      </c>
      <c r="BL20">
        <v>36075.710741759991</v>
      </c>
      <c r="BM20">
        <v>1551.5261974800003</v>
      </c>
      <c r="BN20">
        <v>34524.184544279989</v>
      </c>
      <c r="BO20">
        <v>46362.492990000006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84920.469423995935</v>
      </c>
      <c r="CA20">
        <v>84920.469423995935</v>
      </c>
      <c r="CB20">
        <v>72425.605825801671</v>
      </c>
      <c r="CC20">
        <v>0</v>
      </c>
      <c r="CD20">
        <v>12293.283938977327</v>
      </c>
      <c r="CE20">
        <v>201.57965921693273</v>
      </c>
      <c r="CF20">
        <v>0</v>
      </c>
      <c r="CH20">
        <v>1</v>
      </c>
      <c r="CI20">
        <v>1</v>
      </c>
      <c r="CJ20">
        <v>0.85286393630481283</v>
      </c>
      <c r="CK20">
        <v>0</v>
      </c>
      <c r="CL20">
        <v>0.14476231728770475</v>
      </c>
      <c r="CM20">
        <v>2.3737464074824396E-3</v>
      </c>
      <c r="CN20">
        <v>0</v>
      </c>
      <c r="CR20">
        <v>15517.476856103853</v>
      </c>
      <c r="CS20">
        <v>13644.065261004534</v>
      </c>
      <c r="CT20">
        <v>10711.157408084087</v>
      </c>
      <c r="CU20">
        <v>28.416783898719597</v>
      </c>
      <c r="CV20">
        <v>2209.395964605812</v>
      </c>
      <c r="CW20">
        <v>695.09510441591419</v>
      </c>
      <c r="CX20">
        <v>1873.411595099318</v>
      </c>
      <c r="CZ20">
        <v>10587.582722827619</v>
      </c>
      <c r="DA20">
        <v>8223.2357395162799</v>
      </c>
      <c r="DB20">
        <v>100.20611290985281</v>
      </c>
      <c r="DC20">
        <v>1714.300751676963</v>
      </c>
      <c r="DD20">
        <v>549.84011872452527</v>
      </c>
      <c r="DF20">
        <v>2093.7923400464651</v>
      </c>
      <c r="DG20">
        <v>2093.7923400464651</v>
      </c>
      <c r="DH20">
        <v>1785.7199769368931</v>
      </c>
      <c r="DI20">
        <v>0</v>
      </c>
      <c r="DJ20">
        <v>303.10223106437218</v>
      </c>
      <c r="DK20">
        <v>4.9701320451995468</v>
      </c>
      <c r="DL20">
        <v>0</v>
      </c>
      <c r="DN20">
        <v>0.77598446799338427</v>
      </c>
      <c r="DO20">
        <v>0.7677261593887057</v>
      </c>
      <c r="DP20">
        <v>3.5263002761677016</v>
      </c>
      <c r="DQ20">
        <v>0.77591376970891635</v>
      </c>
      <c r="DR20">
        <v>0.79102861641725108</v>
      </c>
      <c r="DV20">
        <v>171.44739121788561</v>
      </c>
      <c r="DW20">
        <v>150.74869557067581</v>
      </c>
      <c r="DX20">
        <v>118.34398153574767</v>
      </c>
      <c r="DY20">
        <v>0.31396750331362538</v>
      </c>
      <c r="DZ20">
        <v>24.410874126742456</v>
      </c>
      <c r="EA20">
        <v>7.6798724048720253</v>
      </c>
      <c r="EB20">
        <v>20.698695647209817</v>
      </c>
      <c r="ED20">
        <v>116.97864633310752</v>
      </c>
      <c r="EE20">
        <v>90.855770431207461</v>
      </c>
      <c r="EF20">
        <v>1.107143693642521</v>
      </c>
      <c r="EG20">
        <v>18.940733365570591</v>
      </c>
      <c r="EH20">
        <v>6.074998842686945</v>
      </c>
      <c r="EJ20">
        <v>23.133608497167135</v>
      </c>
      <c r="EK20">
        <v>23.133608497167135</v>
      </c>
      <c r="EL20">
        <v>19.729820403828427</v>
      </c>
      <c r="EM20">
        <v>0</v>
      </c>
      <c r="EN20">
        <v>3.3488747732764521</v>
      </c>
      <c r="EO20">
        <v>5.491332006225573E-2</v>
      </c>
      <c r="EP20">
        <v>0</v>
      </c>
      <c r="ET20">
        <v>7750.9873852454384</v>
      </c>
      <c r="EU20">
        <v>6815.2173644075765</v>
      </c>
      <c r="EV20">
        <v>5350.2284373494003</v>
      </c>
      <c r="EW20">
        <v>14.194197650217989</v>
      </c>
      <c r="EX20">
        <v>1103.5943800319349</v>
      </c>
      <c r="EY20">
        <v>347.20034937602327</v>
      </c>
      <c r="EZ20">
        <v>935.7700208378626</v>
      </c>
      <c r="FB20">
        <v>5288.5028207790892</v>
      </c>
      <c r="FC20">
        <v>4107.5103300584915</v>
      </c>
      <c r="FD20">
        <v>50.053003093942621</v>
      </c>
      <c r="FE20">
        <v>856.29407564015298</v>
      </c>
      <c r="FF20">
        <v>274.64541198650187</v>
      </c>
      <c r="FH20">
        <v>1045.850312232943</v>
      </c>
      <c r="FI20">
        <v>1045.850312232943</v>
      </c>
      <c r="FJ20">
        <v>891.96801407660507</v>
      </c>
      <c r="FK20">
        <v>0</v>
      </c>
      <c r="FL20">
        <v>151.39971473491036</v>
      </c>
      <c r="FM20">
        <v>2.4825834214273361</v>
      </c>
      <c r="FN20">
        <v>0</v>
      </c>
    </row>
    <row r="21" spans="1:170" x14ac:dyDescent="0.25">
      <c r="A21">
        <v>2016</v>
      </c>
      <c r="C21">
        <v>1642073.6974848325</v>
      </c>
      <c r="D21">
        <v>82175684</v>
      </c>
      <c r="F21">
        <v>40822496</v>
      </c>
      <c r="G21">
        <v>3698008</v>
      </c>
      <c r="H21">
        <v>1165580</v>
      </c>
      <c r="I21">
        <v>102286.21122693924</v>
      </c>
      <c r="K21">
        <v>3009.02</v>
      </c>
      <c r="L21">
        <v>3016.9585714285708</v>
      </c>
      <c r="M21">
        <v>0.99736868397738332</v>
      </c>
      <c r="Q21">
        <v>2.0129999890256589</v>
      </c>
      <c r="R21">
        <v>45.001243920281823</v>
      </c>
      <c r="S21">
        <v>90.587503517668296</v>
      </c>
      <c r="T21">
        <v>43.594453015443747</v>
      </c>
      <c r="U21">
        <v>87.755633441667868</v>
      </c>
      <c r="V21">
        <v>19982.476780903125</v>
      </c>
      <c r="W21">
        <v>40224.725540663472</v>
      </c>
      <c r="X21">
        <v>1.1557204753326034</v>
      </c>
      <c r="AB21">
        <v>56050.424763542549</v>
      </c>
      <c r="AC21">
        <v>519.57970765262246</v>
      </c>
      <c r="AD21">
        <v>11527.615047291487</v>
      </c>
      <c r="AE21">
        <v>754.11392949269123</v>
      </c>
      <c r="AF21">
        <v>10773.501117798796</v>
      </c>
      <c r="AG21">
        <v>22092.35047291487</v>
      </c>
      <c r="AH21">
        <v>7381.1193465176257</v>
      </c>
      <c r="AI21">
        <v>5503.1527944969894</v>
      </c>
      <c r="AJ21">
        <v>302.02063628546858</v>
      </c>
      <c r="AK21">
        <v>1.0677558039552879</v>
      </c>
      <c r="AL21">
        <v>631.96233877901966</v>
      </c>
      <c r="AM21">
        <v>29.760189165950131</v>
      </c>
      <c r="AN21">
        <v>913.15563198624272</v>
      </c>
      <c r="AO21">
        <v>4419.7</v>
      </c>
      <c r="AP21">
        <v>11023.215821152187</v>
      </c>
      <c r="AR21">
        <v>56050.424763542564</v>
      </c>
      <c r="AS21">
        <v>49478.046586067998</v>
      </c>
      <c r="AT21">
        <v>39362.678570384291</v>
      </c>
      <c r="AU21">
        <v>106.27042132416165</v>
      </c>
      <c r="AV21">
        <v>7670.4577748973697</v>
      </c>
      <c r="AW21">
        <v>2338.6398194621761</v>
      </c>
      <c r="AX21">
        <v>6572.3781774745548</v>
      </c>
      <c r="AZ21">
        <v>1</v>
      </c>
      <c r="BA21">
        <v>0.88274168830653543</v>
      </c>
      <c r="BB21">
        <v>0.70227261856519163</v>
      </c>
      <c r="BC21">
        <v>1.8959788756727526E-3</v>
      </c>
      <c r="BD21">
        <v>0.13684923543856073</v>
      </c>
      <c r="BE21">
        <v>4.1723855427110358E-2</v>
      </c>
      <c r="BF21">
        <v>0.11725831169346451</v>
      </c>
      <c r="BJ21">
        <v>89437.231170035986</v>
      </c>
      <c r="BK21">
        <v>2151.5091131159993</v>
      </c>
      <c r="BL21">
        <v>35395.324146359999</v>
      </c>
      <c r="BM21">
        <v>1992.2715702</v>
      </c>
      <c r="BN21">
        <v>33403.05257616</v>
      </c>
      <c r="BO21">
        <v>51890.397910559994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89437.231170036001</v>
      </c>
      <c r="CA21">
        <v>89437.231170036001</v>
      </c>
      <c r="CB21">
        <v>76641.676941564583</v>
      </c>
      <c r="CC21">
        <v>0</v>
      </c>
      <c r="CD21">
        <v>12606.199186336467</v>
      </c>
      <c r="CE21">
        <v>189.35504213497069</v>
      </c>
      <c r="CF21">
        <v>0</v>
      </c>
      <c r="CH21">
        <v>1</v>
      </c>
      <c r="CI21">
        <v>1</v>
      </c>
      <c r="CJ21">
        <v>0.85693257649999455</v>
      </c>
      <c r="CK21">
        <v>0</v>
      </c>
      <c r="CL21">
        <v>0.14095023986565342</v>
      </c>
      <c r="CM21">
        <v>2.1171836343521554E-3</v>
      </c>
      <c r="CN21">
        <v>0</v>
      </c>
      <c r="CR21">
        <v>15968.314137381503</v>
      </c>
      <c r="CS21">
        <v>14095.896581041268</v>
      </c>
      <c r="CT21">
        <v>11214.109783330478</v>
      </c>
      <c r="CU21">
        <v>30.275586284581905</v>
      </c>
      <c r="CV21">
        <v>2185.2515809434194</v>
      </c>
      <c r="CW21">
        <v>666.25963048278845</v>
      </c>
      <c r="CX21">
        <v>1872.4175563402359</v>
      </c>
      <c r="CZ21">
        <v>11080.032027300573</v>
      </c>
      <c r="DA21">
        <v>8722.9561820047111</v>
      </c>
      <c r="DB21">
        <v>110.07137635869552</v>
      </c>
      <c r="DC21">
        <v>1716.4944832298538</v>
      </c>
      <c r="DD21">
        <v>530.50998570731088</v>
      </c>
      <c r="DF21">
        <v>2190.8810076198183</v>
      </c>
      <c r="DG21">
        <v>2190.8810076198183</v>
      </c>
      <c r="DH21">
        <v>1877.4373066645553</v>
      </c>
      <c r="DI21">
        <v>0</v>
      </c>
      <c r="DJ21">
        <v>308.80520354111781</v>
      </c>
      <c r="DK21">
        <v>4.6384974141456388</v>
      </c>
      <c r="DL21">
        <v>0</v>
      </c>
      <c r="DN21">
        <v>0.78604663162774757</v>
      </c>
      <c r="DO21">
        <v>0.77785542950285635</v>
      </c>
      <c r="DP21">
        <v>3.6356480539817086</v>
      </c>
      <c r="DQ21">
        <v>0.7854905577914314</v>
      </c>
      <c r="DR21">
        <v>0.79625113309490181</v>
      </c>
      <c r="DV21">
        <v>176.27502157918531</v>
      </c>
      <c r="DW21">
        <v>155.60531015508101</v>
      </c>
      <c r="DX21">
        <v>123.79312099205012</v>
      </c>
      <c r="DY21">
        <v>0.334213717222894</v>
      </c>
      <c r="DZ21">
        <v>24.123101930027307</v>
      </c>
      <c r="EA21">
        <v>7.3548735157806879</v>
      </c>
      <c r="EB21">
        <v>20.669711424104293</v>
      </c>
      <c r="ED21">
        <v>122.31302991079237</v>
      </c>
      <c r="EE21">
        <v>96.293151298770198</v>
      </c>
      <c r="EF21">
        <v>1.2150834506354078</v>
      </c>
      <c r="EG21">
        <v>18.948468790676703</v>
      </c>
      <c r="EH21">
        <v>5.8563263707100566</v>
      </c>
      <c r="EJ21">
        <v>24.185245453778361</v>
      </c>
      <c r="EK21">
        <v>24.185245453778361</v>
      </c>
      <c r="EL21">
        <v>20.725124699991071</v>
      </c>
      <c r="EM21">
        <v>0</v>
      </c>
      <c r="EN21">
        <v>3.4089161479197632</v>
      </c>
      <c r="EO21">
        <v>5.120460586752941E-2</v>
      </c>
      <c r="EP21">
        <v>0</v>
      </c>
      <c r="ET21">
        <v>7932.5952431378573</v>
      </c>
      <c r="EU21">
        <v>7002.4325175799058</v>
      </c>
      <c r="EV21">
        <v>5570.8444334162068</v>
      </c>
      <c r="EW21">
        <v>15.040033010251545</v>
      </c>
      <c r="EX21">
        <v>1085.5695940669798</v>
      </c>
      <c r="EY21">
        <v>330.97845708646742</v>
      </c>
      <c r="EZ21">
        <v>930.16272555795285</v>
      </c>
      <c r="FB21">
        <v>5504.2384936442932</v>
      </c>
      <c r="FC21">
        <v>4333.31158944856</v>
      </c>
      <c r="FD21">
        <v>54.680266745541694</v>
      </c>
      <c r="FE21">
        <v>852.7046659650897</v>
      </c>
      <c r="FF21">
        <v>263.54197148510201</v>
      </c>
      <c r="FH21">
        <v>1088.3661299373668</v>
      </c>
      <c r="FI21">
        <v>1088.3661299373668</v>
      </c>
      <c r="FJ21">
        <v>932.65639190255547</v>
      </c>
      <c r="FK21">
        <v>0</v>
      </c>
      <c r="FL21">
        <v>153.40546707632475</v>
      </c>
      <c r="FM21">
        <v>2.3042709584865841</v>
      </c>
      <c r="FN21">
        <v>0</v>
      </c>
    </row>
    <row r="22" spans="1:170" x14ac:dyDescent="0.25">
      <c r="A22">
        <v>2017</v>
      </c>
      <c r="C22">
        <v>1665328.1815514036</v>
      </c>
      <c r="D22">
        <v>82521653</v>
      </c>
      <c r="F22">
        <v>41178470</v>
      </c>
      <c r="G22">
        <v>3725902</v>
      </c>
      <c r="H22">
        <v>1263141</v>
      </c>
      <c r="I22">
        <v>103531.89100350068</v>
      </c>
      <c r="K22">
        <v>2965.83</v>
      </c>
      <c r="L22">
        <v>3016.9585714285708</v>
      </c>
      <c r="M22">
        <v>0.98305294215413741</v>
      </c>
      <c r="Q22">
        <v>2.0039999786296092</v>
      </c>
      <c r="R22">
        <v>45.150598231472657</v>
      </c>
      <c r="S22">
        <v>90.481797890985263</v>
      </c>
      <c r="T22">
        <v>40.90012184874945</v>
      </c>
      <c r="U22">
        <v>81.963843310842307</v>
      </c>
      <c r="V22">
        <v>20180.499553873498</v>
      </c>
      <c r="W22">
        <v>40441.720674697324</v>
      </c>
      <c r="X22">
        <v>1.1418745925180853</v>
      </c>
      <c r="AB22">
        <v>55788.43594153053</v>
      </c>
      <c r="AC22">
        <v>500.37652622527946</v>
      </c>
      <c r="AD22">
        <v>11347.938693035252</v>
      </c>
      <c r="AE22">
        <v>565.84264832330177</v>
      </c>
      <c r="AF22">
        <v>10782.096044711952</v>
      </c>
      <c r="AG22">
        <v>21598.463628546859</v>
      </c>
      <c r="AH22">
        <v>7641.7573516766979</v>
      </c>
      <c r="AI22">
        <v>5663.8243336199484</v>
      </c>
      <c r="AJ22">
        <v>314.22562338779022</v>
      </c>
      <c r="AK22">
        <v>1.6504729148753221</v>
      </c>
      <c r="AL22">
        <v>645.57661220980219</v>
      </c>
      <c r="AM22">
        <v>27.801633705932929</v>
      </c>
      <c r="AN22">
        <v>988.67867583835039</v>
      </c>
      <c r="AO22">
        <v>4431.1407566637999</v>
      </c>
      <c r="AP22">
        <v>11257.43766122098</v>
      </c>
      <c r="AR22">
        <v>55788.435941530515</v>
      </c>
      <c r="AS22">
        <v>49249.122877514914</v>
      </c>
      <c r="AT22">
        <v>38541.552640236434</v>
      </c>
      <c r="AU22">
        <v>112.5743766122099</v>
      </c>
      <c r="AV22">
        <v>8086.528470634029</v>
      </c>
      <c r="AW22">
        <v>2508.4673900322468</v>
      </c>
      <c r="AX22">
        <v>6539.3130640156014</v>
      </c>
      <c r="AZ22">
        <v>1</v>
      </c>
      <c r="BA22">
        <v>0.88278371756345386</v>
      </c>
      <c r="BB22">
        <v>0.69085200166984773</v>
      </c>
      <c r="BC22">
        <v>2.0178801343381327E-3</v>
      </c>
      <c r="BD22">
        <v>0.14494990465603255</v>
      </c>
      <c r="BE22">
        <v>4.496393110323553E-2</v>
      </c>
      <c r="BF22">
        <v>0.11721628243654611</v>
      </c>
      <c r="BJ22">
        <v>87723.547509455995</v>
      </c>
      <c r="BK22">
        <v>2068.0226843760001</v>
      </c>
      <c r="BL22">
        <v>34925.165766359991</v>
      </c>
      <c r="BM22">
        <v>1494.8831700000001</v>
      </c>
      <c r="BN22">
        <v>33430.28259635999</v>
      </c>
      <c r="BO22">
        <v>50730.359058720001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87723.547509456053</v>
      </c>
      <c r="CA22">
        <v>87723.547509456053</v>
      </c>
      <c r="CB22">
        <v>74231.421634072845</v>
      </c>
      <c r="CC22">
        <v>0</v>
      </c>
      <c r="CD22">
        <v>13292.116572501469</v>
      </c>
      <c r="CE22">
        <v>200.00930288172992</v>
      </c>
      <c r="CF22">
        <v>0</v>
      </c>
      <c r="CH22">
        <v>1</v>
      </c>
      <c r="CI22">
        <v>1</v>
      </c>
      <c r="CJ22">
        <v>0.84619721547479776</v>
      </c>
      <c r="CK22">
        <v>0</v>
      </c>
      <c r="CL22">
        <v>0.15152278891900331</v>
      </c>
      <c r="CM22">
        <v>2.2799956061987821E-3</v>
      </c>
      <c r="CN22">
        <v>0</v>
      </c>
      <c r="CR22">
        <v>15756.280162910372</v>
      </c>
      <c r="CS22">
        <v>13909.38757718532</v>
      </c>
      <c r="CT22">
        <v>10885.257689417544</v>
      </c>
      <c r="CU22">
        <v>31.794284731802836</v>
      </c>
      <c r="CV22">
        <v>2283.8713073475956</v>
      </c>
      <c r="CW22">
        <v>708.46429568837868</v>
      </c>
      <c r="CX22">
        <v>1846.8925857250508</v>
      </c>
      <c r="CZ22">
        <v>11109.832345850626</v>
      </c>
      <c r="DA22">
        <v>8601.8993520029271</v>
      </c>
      <c r="DB22">
        <v>119.10351275935056</v>
      </c>
      <c r="DC22">
        <v>1819.6785586843616</v>
      </c>
      <c r="DD22">
        <v>569.15092240398576</v>
      </c>
      <c r="DF22">
        <v>2130.3255684209748</v>
      </c>
      <c r="DG22">
        <v>2130.3255684209748</v>
      </c>
      <c r="DH22">
        <v>1802.6755640525944</v>
      </c>
      <c r="DI22">
        <v>0</v>
      </c>
      <c r="DJ22">
        <v>322.79287143260706</v>
      </c>
      <c r="DK22">
        <v>4.8571329357727455</v>
      </c>
      <c r="DL22">
        <v>0</v>
      </c>
      <c r="DN22">
        <v>0.79872908021294731</v>
      </c>
      <c r="DO22">
        <v>0.79023387387195632</v>
      </c>
      <c r="DP22">
        <v>3.7460667463990793</v>
      </c>
      <c r="DQ22">
        <v>0.79675179281343556</v>
      </c>
      <c r="DR22">
        <v>0.8033586531710406</v>
      </c>
      <c r="DV22">
        <v>174.13756722533225</v>
      </c>
      <c r="DW22">
        <v>153.72580896263466</v>
      </c>
      <c r="DX22">
        <v>120.30328688353846</v>
      </c>
      <c r="DY22">
        <v>0.35138873754596905</v>
      </c>
      <c r="DZ22">
        <v>25.241223766345371</v>
      </c>
      <c r="EA22">
        <v>7.8299095752048844</v>
      </c>
      <c r="EB22">
        <v>20.411758262697575</v>
      </c>
      <c r="ED22">
        <v>122.78527399771644</v>
      </c>
      <c r="EE22">
        <v>95.067732433507913</v>
      </c>
      <c r="EF22">
        <v>1.3163256647801085</v>
      </c>
      <c r="EG22">
        <v>20.110990288640767</v>
      </c>
      <c r="EH22">
        <v>6.2902256107876307</v>
      </c>
      <c r="EJ22">
        <v>23.54424445663253</v>
      </c>
      <c r="EK22">
        <v>23.54424445663253</v>
      </c>
      <c r="EL22">
        <v>19.92307409966039</v>
      </c>
      <c r="EM22">
        <v>0</v>
      </c>
      <c r="EN22">
        <v>3.5674895830597442</v>
      </c>
      <c r="EO22">
        <v>5.3680773912392211E-2</v>
      </c>
      <c r="EP22">
        <v>0</v>
      </c>
      <c r="ET22">
        <v>7862.415334797035</v>
      </c>
      <c r="EU22">
        <v>6940.8122382800348</v>
      </c>
      <c r="EV22">
        <v>5431.765372004239</v>
      </c>
      <c r="EW22">
        <v>15.865411712002436</v>
      </c>
      <c r="EX22">
        <v>1139.6563531449588</v>
      </c>
      <c r="EY22">
        <v>353.52510141883647</v>
      </c>
      <c r="EZ22">
        <v>921.60309651700061</v>
      </c>
      <c r="FB22">
        <v>5543.8285750121804</v>
      </c>
      <c r="FC22">
        <v>4292.3649918824576</v>
      </c>
      <c r="FD22">
        <v>59.432891232262811</v>
      </c>
      <c r="FE22">
        <v>908.02324255946758</v>
      </c>
      <c r="FF22">
        <v>284.007449337992</v>
      </c>
      <c r="FH22">
        <v>1063.0367221249926</v>
      </c>
      <c r="FI22">
        <v>1063.0367221249926</v>
      </c>
      <c r="FJ22">
        <v>899.53871420962491</v>
      </c>
      <c r="FK22">
        <v>0</v>
      </c>
      <c r="FL22">
        <v>161.07428885969438</v>
      </c>
      <c r="FM22">
        <v>2.4237190556729384</v>
      </c>
      <c r="FN22">
        <v>0</v>
      </c>
    </row>
    <row r="23" spans="1:170" x14ac:dyDescent="0.25">
      <c r="A23">
        <v>2018</v>
      </c>
      <c r="C23">
        <v>1690324.0111442097</v>
      </c>
      <c r="D23">
        <v>82792351</v>
      </c>
      <c r="F23">
        <v>41437613</v>
      </c>
      <c r="G23">
        <v>3753714.9999999991</v>
      </c>
      <c r="H23">
        <v>1174220</v>
      </c>
      <c r="I23">
        <v>104110.41203748574</v>
      </c>
      <c r="K23">
        <v>2774.95</v>
      </c>
      <c r="L23">
        <v>3016.9585714285708</v>
      </c>
      <c r="M23">
        <v>0.91978392619624971</v>
      </c>
      <c r="Q23">
        <v>1.9980000054539822</v>
      </c>
      <c r="R23">
        <v>45.338910595738483</v>
      </c>
      <c r="S23">
        <v>90.5871436175631</v>
      </c>
      <c r="T23">
        <v>44.376107705401488</v>
      </c>
      <c r="U23">
        <v>88.66346343741867</v>
      </c>
      <c r="V23">
        <v>20416.427251162488</v>
      </c>
      <c r="W23">
        <v>40792.021759173476</v>
      </c>
      <c r="X23">
        <v>1.1358276348619976</v>
      </c>
      <c r="AB23">
        <v>54760.450730868448</v>
      </c>
      <c r="AC23">
        <v>492.47523645743757</v>
      </c>
      <c r="AD23">
        <v>10271.814015477214</v>
      </c>
      <c r="AE23">
        <v>865.2248495270851</v>
      </c>
      <c r="AF23">
        <v>9406.5891659501285</v>
      </c>
      <c r="AG23">
        <v>22264.75021496131</v>
      </c>
      <c r="AH23">
        <v>8141.1514187446264</v>
      </c>
      <c r="AI23">
        <v>6035.2536543422193</v>
      </c>
      <c r="AJ23">
        <v>289.24239036973341</v>
      </c>
      <c r="AK23">
        <v>1.9998280309544281</v>
      </c>
      <c r="AL23">
        <v>729.76973344797932</v>
      </c>
      <c r="AM23">
        <v>22.976956147893379</v>
      </c>
      <c r="AN23">
        <v>1061.9088564058468</v>
      </c>
      <c r="AO23">
        <v>3656.4679277730006</v>
      </c>
      <c r="AP23">
        <v>10995.700773860701</v>
      </c>
      <c r="AR23">
        <v>54760.450730868441</v>
      </c>
      <c r="AS23">
        <v>48294.540564591538</v>
      </c>
      <c r="AT23">
        <v>37332.925529519845</v>
      </c>
      <c r="AU23">
        <v>106.13611827648818</v>
      </c>
      <c r="AV23">
        <v>8464.3835664267699</v>
      </c>
      <c r="AW23">
        <v>2391.0953503684391</v>
      </c>
      <c r="AX23">
        <v>6465.9101662769062</v>
      </c>
      <c r="AZ23">
        <v>1</v>
      </c>
      <c r="BA23">
        <v>0.88192372268710939</v>
      </c>
      <c r="BB23">
        <v>0.68174978531495711</v>
      </c>
      <c r="BC23">
        <v>1.938189274557218E-3</v>
      </c>
      <c r="BD23">
        <v>0.15457110840863478</v>
      </c>
      <c r="BE23">
        <v>4.3664639688960408E-2</v>
      </c>
      <c r="BF23">
        <v>0.11807627731289062</v>
      </c>
      <c r="BJ23">
        <v>85773.275118216014</v>
      </c>
      <c r="BK23">
        <v>2029.9082466960001</v>
      </c>
      <c r="BL23">
        <v>31448.03734332</v>
      </c>
      <c r="BM23">
        <v>2285.8122654000003</v>
      </c>
      <c r="BN23">
        <v>29162.22507792</v>
      </c>
      <c r="BO23">
        <v>52295.329528200011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85773.275118215999</v>
      </c>
      <c r="CA23">
        <v>85773.275118215999</v>
      </c>
      <c r="CB23">
        <v>71672.308623889228</v>
      </c>
      <c r="CC23">
        <v>0</v>
      </c>
      <c r="CD23">
        <v>13885.473302753911</v>
      </c>
      <c r="CE23">
        <v>215.49319157286601</v>
      </c>
      <c r="CF23">
        <v>0</v>
      </c>
      <c r="CH23">
        <v>1</v>
      </c>
      <c r="CI23">
        <v>1</v>
      </c>
      <c r="CJ23">
        <v>0.83560186462633868</v>
      </c>
      <c r="CK23">
        <v>0</v>
      </c>
      <c r="CL23">
        <v>0.16188577716796312</v>
      </c>
      <c r="CM23">
        <v>2.5123582056982788E-3</v>
      </c>
      <c r="CN23">
        <v>0</v>
      </c>
      <c r="CR23">
        <v>15369.22607004414</v>
      </c>
      <c r="CS23">
        <v>13554.485070513099</v>
      </c>
      <c r="CT23">
        <v>10477.966573709637</v>
      </c>
      <c r="CU23">
        <v>29.788469127204731</v>
      </c>
      <c r="CV23">
        <v>2375.638309029609</v>
      </c>
      <c r="CW23">
        <v>671.09171864665439</v>
      </c>
      <c r="CX23">
        <v>1814.7409995310404</v>
      </c>
      <c r="CZ23">
        <v>11002.55861170718</v>
      </c>
      <c r="DA23">
        <v>8414.2032988173942</v>
      </c>
      <c r="DB23">
        <v>114.7989872336971</v>
      </c>
      <c r="DC23">
        <v>1929.2678533866813</v>
      </c>
      <c r="DD23">
        <v>544.28847226940798</v>
      </c>
      <c r="DF23">
        <v>2069.9376462205005</v>
      </c>
      <c r="DG23">
        <v>2069.9376462205005</v>
      </c>
      <c r="DH23">
        <v>1729.6437568421045</v>
      </c>
      <c r="DI23">
        <v>0</v>
      </c>
      <c r="DJ23">
        <v>335.09346454762999</v>
      </c>
      <c r="DK23">
        <v>5.2004248307658552</v>
      </c>
      <c r="DL23">
        <v>0</v>
      </c>
      <c r="DN23">
        <v>0.81172826222978611</v>
      </c>
      <c r="DO23">
        <v>0.80303780696624405</v>
      </c>
      <c r="DP23">
        <v>3.8538062074782937</v>
      </c>
      <c r="DQ23">
        <v>0.8121050439596339</v>
      </c>
      <c r="DR23">
        <v>0.8110493054020067</v>
      </c>
      <c r="DV23">
        <v>169.66233238271951</v>
      </c>
      <c r="DW23">
        <v>149.62923577474572</v>
      </c>
      <c r="DX23">
        <v>115.66725867795394</v>
      </c>
      <c r="DY23">
        <v>0.3288377129205487</v>
      </c>
      <c r="DZ23">
        <v>26.22489477159117</v>
      </c>
      <c r="EA23">
        <v>7.4082446122800878</v>
      </c>
      <c r="EB23">
        <v>20.033096607973818</v>
      </c>
      <c r="ED23">
        <v>121.45827953420527</v>
      </c>
      <c r="EE23">
        <v>92.885181746541377</v>
      </c>
      <c r="EF23">
        <v>1.2672768193061756</v>
      </c>
      <c r="EG23">
        <v>21.29736932131982</v>
      </c>
      <c r="EH23">
        <v>6.0084516470379237</v>
      </c>
      <c r="EJ23">
        <v>22.850236397333312</v>
      </c>
      <c r="EK23">
        <v>22.850236397333312</v>
      </c>
      <c r="EL23">
        <v>19.093700140764341</v>
      </c>
      <c r="EM23">
        <v>0</v>
      </c>
      <c r="EN23">
        <v>3.6991282776539807</v>
      </c>
      <c r="EO23">
        <v>5.7407978914985822E-2</v>
      </c>
      <c r="EP23">
        <v>0</v>
      </c>
      <c r="ET23">
        <v>7692.3053193645874</v>
      </c>
      <c r="EU23">
        <v>6784.0265432998704</v>
      </c>
      <c r="EV23">
        <v>5244.2275000539094</v>
      </c>
      <c r="EW23">
        <v>14.909143666611875</v>
      </c>
      <c r="EX23">
        <v>1189.0081594318217</v>
      </c>
      <c r="EY23">
        <v>335.88174014752821</v>
      </c>
      <c r="EZ23">
        <v>908.27877606471679</v>
      </c>
      <c r="FB23">
        <v>5506.7860769135468</v>
      </c>
      <c r="FC23">
        <v>4211.31295087536</v>
      </c>
      <c r="FD23">
        <v>57.456950410574535</v>
      </c>
      <c r="FE23">
        <v>965.59952358374301</v>
      </c>
      <c r="FF23">
        <v>272.4166520438701</v>
      </c>
      <c r="FH23">
        <v>1036.0048251101846</v>
      </c>
      <c r="FI23">
        <v>1036.0048251101846</v>
      </c>
      <c r="FJ23">
        <v>865.68756362395379</v>
      </c>
      <c r="FK23">
        <v>0</v>
      </c>
      <c r="FL23">
        <v>167.71444626272191</v>
      </c>
      <c r="FM23">
        <v>2.6028152235085824</v>
      </c>
      <c r="FN23">
        <v>0</v>
      </c>
    </row>
    <row r="24" spans="1:170" x14ac:dyDescent="0.25">
      <c r="A24">
        <v>2019</v>
      </c>
      <c r="C24">
        <v>1717098.3519202224</v>
      </c>
      <c r="D24">
        <v>83019213</v>
      </c>
      <c r="F24">
        <v>41551158</v>
      </c>
      <c r="G24">
        <v>3782745.9999999991</v>
      </c>
      <c r="H24">
        <v>1034381</v>
      </c>
      <c r="I24">
        <v>105808.5867068572</v>
      </c>
      <c r="K24">
        <v>2800.81</v>
      </c>
      <c r="L24">
        <v>3016.9585714285708</v>
      </c>
      <c r="M24">
        <v>0.92835547246967276</v>
      </c>
      <c r="Q24">
        <v>1.9979999835383648</v>
      </c>
      <c r="R24">
        <v>45.564705606158896</v>
      </c>
      <c r="S24">
        <v>91.038281051035923</v>
      </c>
      <c r="T24">
        <v>51.197045421706726</v>
      </c>
      <c r="U24">
        <v>102.29169590978296</v>
      </c>
      <c r="V24">
        <v>20683.144176760896</v>
      </c>
      <c r="W24">
        <v>41324.921724689899</v>
      </c>
      <c r="X24">
        <v>1.1376515310445277</v>
      </c>
      <c r="AB24">
        <v>56595.088306104903</v>
      </c>
      <c r="AC24">
        <v>345.38830610490101</v>
      </c>
      <c r="AD24">
        <v>11868.900257953574</v>
      </c>
      <c r="AE24">
        <v>787.0356835769561</v>
      </c>
      <c r="AF24">
        <v>11081.864574376616</v>
      </c>
      <c r="AG24">
        <v>22379.522012037829</v>
      </c>
      <c r="AH24">
        <v>8301.6408426483213</v>
      </c>
      <c r="AI24">
        <v>6135.5211521926039</v>
      </c>
      <c r="AJ24">
        <v>290.57987962166811</v>
      </c>
      <c r="AK24">
        <v>4.588220120378331</v>
      </c>
      <c r="AL24">
        <v>697.69277730008594</v>
      </c>
      <c r="AM24">
        <v>25.317626827171111</v>
      </c>
      <c r="AN24">
        <v>1147.941186586414</v>
      </c>
      <c r="AO24">
        <v>3967.182545141874</v>
      </c>
      <c r="AP24">
        <v>10880.395528804807</v>
      </c>
      <c r="AR24">
        <v>56595.088306104881</v>
      </c>
      <c r="AS24">
        <v>50171.633787759405</v>
      </c>
      <c r="AT24">
        <v>39385.64020088534</v>
      </c>
      <c r="AU24">
        <v>108.53859749689508</v>
      </c>
      <c r="AV24">
        <v>8295.1714796442029</v>
      </c>
      <c r="AW24">
        <v>2382.2835097329662</v>
      </c>
      <c r="AX24">
        <v>6423.4545183454793</v>
      </c>
      <c r="AZ24">
        <v>1</v>
      </c>
      <c r="BA24">
        <v>0.88650155498295102</v>
      </c>
      <c r="BB24">
        <v>0.69591975875823187</v>
      </c>
      <c r="BC24">
        <v>1.9178094909905298E-3</v>
      </c>
      <c r="BD24">
        <v>0.14657051924326456</v>
      </c>
      <c r="BE24">
        <v>4.2093467490464019E-2</v>
      </c>
      <c r="BF24">
        <v>0.11349844501704903</v>
      </c>
      <c r="BJ24">
        <v>90429.683785068017</v>
      </c>
      <c r="BK24">
        <v>1425.8071046279997</v>
      </c>
      <c r="BL24">
        <v>36438.971752080019</v>
      </c>
      <c r="BM24">
        <v>2079.2465910000001</v>
      </c>
      <c r="BN24">
        <v>34359.725161080016</v>
      </c>
      <c r="BO24">
        <v>52564.904928360003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90429.683785067988</v>
      </c>
      <c r="CA24">
        <v>90429.683785067988</v>
      </c>
      <c r="CB24">
        <v>75907.885768788459</v>
      </c>
      <c r="CC24">
        <v>0</v>
      </c>
      <c r="CD24">
        <v>14279.79351408376</v>
      </c>
      <c r="CE24">
        <v>242.00450219576521</v>
      </c>
      <c r="CF24">
        <v>0</v>
      </c>
      <c r="CH24">
        <v>1</v>
      </c>
      <c r="CI24">
        <v>1</v>
      </c>
      <c r="CJ24">
        <v>0.83941337171105523</v>
      </c>
      <c r="CK24">
        <v>0</v>
      </c>
      <c r="CL24">
        <v>0.15791046608129</v>
      </c>
      <c r="CM24">
        <v>2.6761622076547139E-3</v>
      </c>
      <c r="CN24">
        <v>0</v>
      </c>
      <c r="CR24">
        <v>15840.7348599045</v>
      </c>
      <c r="CS24">
        <v>14042.83608537798</v>
      </c>
      <c r="CT24">
        <v>11023.880382257854</v>
      </c>
      <c r="CU24">
        <v>30.379511658589397</v>
      </c>
      <c r="CV24">
        <v>2321.7847336110844</v>
      </c>
      <c r="CW24">
        <v>666.79145785045023</v>
      </c>
      <c r="CX24">
        <v>1797.8987745265229</v>
      </c>
      <c r="CZ24">
        <v>11516.344236186344</v>
      </c>
      <c r="DA24">
        <v>8944.6791353753852</v>
      </c>
      <c r="DB24">
        <v>120.32010480362544</v>
      </c>
      <c r="DC24">
        <v>1904.8529821396817</v>
      </c>
      <c r="DD24">
        <v>546.49201386765196</v>
      </c>
      <c r="DF24">
        <v>2176.3456937847072</v>
      </c>
      <c r="DG24">
        <v>2176.3456937847072</v>
      </c>
      <c r="DH24">
        <v>1826.8536768286567</v>
      </c>
      <c r="DI24">
        <v>0</v>
      </c>
      <c r="DJ24">
        <v>343.6677628595516</v>
      </c>
      <c r="DK24">
        <v>5.824254096498712</v>
      </c>
      <c r="DL24">
        <v>0</v>
      </c>
      <c r="DN24">
        <v>0.82008678063099172</v>
      </c>
      <c r="DO24">
        <v>0.81139116401981348</v>
      </c>
      <c r="DP24">
        <v>3.9605674428149191</v>
      </c>
      <c r="DQ24">
        <v>0.82042618101681364</v>
      </c>
      <c r="DR24">
        <v>0.81958460540179967</v>
      </c>
      <c r="DV24">
        <v>174.0008123728106</v>
      </c>
      <c r="DW24">
        <v>154.25199073679337</v>
      </c>
      <c r="DX24">
        <v>121.09060337022272</v>
      </c>
      <c r="DY24">
        <v>0.33370040940863865</v>
      </c>
      <c r="DZ24">
        <v>25.503389418232704</v>
      </c>
      <c r="EA24">
        <v>7.3242975389292333</v>
      </c>
      <c r="EB24">
        <v>19.748821636017308</v>
      </c>
      <c r="ED24">
        <v>126.50001848925838</v>
      </c>
      <c r="EE24">
        <v>98.251845620426565</v>
      </c>
      <c r="EF24">
        <v>1.3216429771578635</v>
      </c>
      <c r="EG24">
        <v>20.92364838338527</v>
      </c>
      <c r="EH24">
        <v>6.0028815082886879</v>
      </c>
      <c r="EJ24">
        <v>23.905830257984015</v>
      </c>
      <c r="EK24">
        <v>23.905830257984015</v>
      </c>
      <c r="EL24">
        <v>20.066873580406529</v>
      </c>
      <c r="EM24">
        <v>0</v>
      </c>
      <c r="EN24">
        <v>3.7749807980984618</v>
      </c>
      <c r="EO24">
        <v>6.397587947902536E-2</v>
      </c>
      <c r="EP24">
        <v>0</v>
      </c>
      <c r="ET24">
        <v>7928.2957909996067</v>
      </c>
      <c r="EU24">
        <v>7028.4465470859377</v>
      </c>
      <c r="EV24">
        <v>5517.457694236351</v>
      </c>
      <c r="EW24">
        <v>15.204960915359315</v>
      </c>
      <c r="EX24">
        <v>1162.0544308010012</v>
      </c>
      <c r="EY24">
        <v>333.72946113322467</v>
      </c>
      <c r="EZ24">
        <v>899.84924391367008</v>
      </c>
      <c r="FB24">
        <v>5763.9361016367156</v>
      </c>
      <c r="FC24">
        <v>4476.8164209565084</v>
      </c>
      <c r="FD24">
        <v>60.220273170645441</v>
      </c>
      <c r="FE24">
        <v>953.37987879573245</v>
      </c>
      <c r="FF24">
        <v>273.51952871382917</v>
      </c>
      <c r="FH24">
        <v>1089.2621179758471</v>
      </c>
      <c r="FI24">
        <v>1089.2621179758471</v>
      </c>
      <c r="FJ24">
        <v>914.34118712723125</v>
      </c>
      <c r="FK24">
        <v>0</v>
      </c>
      <c r="FL24">
        <v>172.00588873425914</v>
      </c>
      <c r="FM24">
        <v>2.915042114356893</v>
      </c>
      <c r="FN24">
        <v>0</v>
      </c>
    </row>
    <row r="25" spans="1:170" x14ac:dyDescent="0.25">
      <c r="A25">
        <v>2020</v>
      </c>
      <c r="C25">
        <v>1616600.5960546858</v>
      </c>
      <c r="D25">
        <v>83166711</v>
      </c>
      <c r="F25">
        <v>41467181</v>
      </c>
      <c r="G25">
        <v>3812916</v>
      </c>
      <c r="H25">
        <v>923359</v>
      </c>
      <c r="I25">
        <v>114159.79523274442</v>
      </c>
      <c r="K25">
        <v>2741.03</v>
      </c>
      <c r="L25">
        <v>3016.9585714285708</v>
      </c>
      <c r="M25">
        <v>0.90854081522971841</v>
      </c>
      <c r="Q25">
        <v>2.0056032022046542</v>
      </c>
      <c r="R25">
        <v>45.84666093143926</v>
      </c>
      <c r="S25">
        <v>91.950209974485603</v>
      </c>
      <c r="T25">
        <v>61.644960712961428</v>
      </c>
      <c r="U25">
        <v>123.63533060569554</v>
      </c>
      <c r="V25">
        <v>19438.072957516448</v>
      </c>
      <c r="W25">
        <v>38985.061368282688</v>
      </c>
      <c r="X25">
        <v>1.1585388061280673</v>
      </c>
      <c r="AB25">
        <v>56725.718400687874</v>
      </c>
      <c r="AC25">
        <v>315.70593293207224</v>
      </c>
      <c r="AD25">
        <v>13032.429406706788</v>
      </c>
      <c r="AE25">
        <v>870.36887360275136</v>
      </c>
      <c r="AF25">
        <v>12162.060533104035</v>
      </c>
      <c r="AG25">
        <v>21745.668529664661</v>
      </c>
      <c r="AH25">
        <v>8065.5487532244197</v>
      </c>
      <c r="AI25">
        <v>5750.3104901117795</v>
      </c>
      <c r="AJ25">
        <v>293.58933791917451</v>
      </c>
      <c r="AK25">
        <v>11.283061049011176</v>
      </c>
      <c r="AL25">
        <v>732.13430782459147</v>
      </c>
      <c r="AM25">
        <v>24.171195184866718</v>
      </c>
      <c r="AN25">
        <v>1254.0603611349954</v>
      </c>
      <c r="AO25">
        <v>3863.762338779019</v>
      </c>
      <c r="AP25">
        <v>10956.663800515907</v>
      </c>
      <c r="AR25">
        <v>56725.718400687874</v>
      </c>
      <c r="AS25">
        <v>50152.935832925905</v>
      </c>
      <c r="AT25">
        <v>39419.063730626971</v>
      </c>
      <c r="AU25">
        <v>109.29948886978148</v>
      </c>
      <c r="AV25">
        <v>8321.4601096248534</v>
      </c>
      <c r="AW25">
        <v>2303.1125038043019</v>
      </c>
      <c r="AX25">
        <v>6572.7825677619703</v>
      </c>
      <c r="AZ25">
        <v>1</v>
      </c>
      <c r="BA25">
        <v>0.88413046580856935</v>
      </c>
      <c r="BB25">
        <v>0.69490638183171893</v>
      </c>
      <c r="BC25">
        <v>1.9268066046820851E-3</v>
      </c>
      <c r="BD25">
        <v>0.14669642525891652</v>
      </c>
      <c r="BE25">
        <v>4.0600852113251928E-2</v>
      </c>
      <c r="BF25">
        <v>0.11586953419143065</v>
      </c>
      <c r="BJ25">
        <v>92391.663274872</v>
      </c>
      <c r="BK25">
        <v>1305.202586352</v>
      </c>
      <c r="BL25">
        <v>40010.347523519988</v>
      </c>
      <c r="BM25">
        <v>2299.4021124000001</v>
      </c>
      <c r="BN25">
        <v>37710.945411119981</v>
      </c>
      <c r="BO25">
        <v>51076.11316500001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92391.663274871971</v>
      </c>
      <c r="CA25">
        <v>92391.663274871971</v>
      </c>
      <c r="CB25">
        <v>77617.582636564839</v>
      </c>
      <c r="CC25">
        <v>0</v>
      </c>
      <c r="CD25">
        <v>14539.050332893888</v>
      </c>
      <c r="CE25">
        <v>235.03030541324404</v>
      </c>
      <c r="CF25">
        <v>0</v>
      </c>
      <c r="CH25">
        <v>1</v>
      </c>
      <c r="CI25">
        <v>1</v>
      </c>
      <c r="CJ25">
        <v>0.84009292489568932</v>
      </c>
      <c r="CK25">
        <v>0</v>
      </c>
      <c r="CL25">
        <v>0.15736322756349941</v>
      </c>
      <c r="CM25">
        <v>2.5438475408112488E-3</v>
      </c>
      <c r="CN25">
        <v>0</v>
      </c>
      <c r="CR25">
        <v>15909.451500935162</v>
      </c>
      <c r="CS25">
        <v>14066.030766280646</v>
      </c>
      <c r="CT25">
        <v>11055.579379442062</v>
      </c>
      <c r="CU25">
        <v>30.65443622887118</v>
      </c>
      <c r="CV25">
        <v>2333.859663017292</v>
      </c>
      <c r="CW25">
        <v>645.93728759242242</v>
      </c>
      <c r="CX25">
        <v>1843.4207346545145</v>
      </c>
      <c r="CZ25">
        <v>11668.588021961499</v>
      </c>
      <c r="DA25">
        <v>9069.724240032896</v>
      </c>
      <c r="DB25">
        <v>124.6475462549115</v>
      </c>
      <c r="DC25">
        <v>1938.1555370931944</v>
      </c>
      <c r="DD25">
        <v>536.06069858049739</v>
      </c>
      <c r="DF25">
        <v>2228.0671375966449</v>
      </c>
      <c r="DG25">
        <v>2228.0671375966449</v>
      </c>
      <c r="DH25">
        <v>1871.7834384875312</v>
      </c>
      <c r="DI25">
        <v>0</v>
      </c>
      <c r="DJ25">
        <v>350.61583600037551</v>
      </c>
      <c r="DK25">
        <v>5.667863108737583</v>
      </c>
      <c r="DL25">
        <v>0</v>
      </c>
      <c r="DN25">
        <v>0.82955797664922348</v>
      </c>
      <c r="DO25">
        <v>0.82037529909089346</v>
      </c>
      <c r="DP25">
        <v>4.0662155821190753</v>
      </c>
      <c r="DQ25">
        <v>0.83045076265960305</v>
      </c>
      <c r="DR25">
        <v>0.82989588753814802</v>
      </c>
      <c r="DV25">
        <v>173.02245971324834</v>
      </c>
      <c r="DW25">
        <v>152.97442790161867</v>
      </c>
      <c r="DX25">
        <v>120.23441145495777</v>
      </c>
      <c r="DY25">
        <v>0.33338081813382692</v>
      </c>
      <c r="DZ25">
        <v>25.381776329438427</v>
      </c>
      <c r="EA25">
        <v>7.0248592990886856</v>
      </c>
      <c r="EB25">
        <v>20.048031811629659</v>
      </c>
      <c r="ED25">
        <v>126.9011568891393</v>
      </c>
      <c r="EE25">
        <v>98.637341258378513</v>
      </c>
      <c r="EF25">
        <v>1.3555982774753723</v>
      </c>
      <c r="EG25">
        <v>21.078315510437601</v>
      </c>
      <c r="EH25">
        <v>5.8299018428478178</v>
      </c>
      <c r="EJ25">
        <v>24.231234906531373</v>
      </c>
      <c r="EK25">
        <v>24.231234906531373</v>
      </c>
      <c r="EL25">
        <v>20.356489006462464</v>
      </c>
      <c r="EM25">
        <v>0</v>
      </c>
      <c r="EN25">
        <v>3.8131053327411064</v>
      </c>
      <c r="EO25">
        <v>6.1640567327799517E-2</v>
      </c>
      <c r="EP25">
        <v>0</v>
      </c>
      <c r="ET25">
        <v>7932.5020439969076</v>
      </c>
      <c r="EU25">
        <v>7013.3667271864133</v>
      </c>
      <c r="EV25">
        <v>5512.3462942666056</v>
      </c>
      <c r="EW25">
        <v>15.28439733002738</v>
      </c>
      <c r="EX25">
        <v>1163.6696932133948</v>
      </c>
      <c r="EY25">
        <v>322.06634237638707</v>
      </c>
      <c r="EZ25">
        <v>919.13531681049312</v>
      </c>
      <c r="FB25">
        <v>5817.9943117037474</v>
      </c>
      <c r="FC25">
        <v>4522.1927398515445</v>
      </c>
      <c r="FD25">
        <v>62.149654586656531</v>
      </c>
      <c r="FE25">
        <v>966.37038421292993</v>
      </c>
      <c r="FF25">
        <v>267.28153305261679</v>
      </c>
      <c r="FH25">
        <v>1110.9212107097994</v>
      </c>
      <c r="FI25">
        <v>1110.9212107097994</v>
      </c>
      <c r="FJ25">
        <v>933.27704923385556</v>
      </c>
      <c r="FK25">
        <v>0</v>
      </c>
      <c r="FL25">
        <v>174.81814728604439</v>
      </c>
      <c r="FM25">
        <v>2.826014189899178</v>
      </c>
      <c r="FN25">
        <v>0</v>
      </c>
    </row>
    <row r="26" spans="1:170" x14ac:dyDescent="0.25">
      <c r="A26">
        <v>2021</v>
      </c>
      <c r="C26">
        <v>1640803.9111176459</v>
      </c>
      <c r="D26">
        <v>83155031</v>
      </c>
      <c r="F26">
        <v>41473831</v>
      </c>
      <c r="G26">
        <v>3841438</v>
      </c>
      <c r="H26">
        <v>928143</v>
      </c>
      <c r="I26">
        <v>105354.36614040101</v>
      </c>
      <c r="K26">
        <v>3114.19</v>
      </c>
      <c r="L26">
        <v>3016.9585714285708</v>
      </c>
      <c r="M26">
        <v>1.0322282942471397</v>
      </c>
      <c r="Q26">
        <v>2.0049999962627036</v>
      </c>
      <c r="R26">
        <v>46.196098465768117</v>
      </c>
      <c r="S26">
        <v>92.623177251216561</v>
      </c>
      <c r="T26">
        <v>56.613925463894631</v>
      </c>
      <c r="U26">
        <v>113.51092034352571</v>
      </c>
      <c r="V26">
        <v>19731.86578593959</v>
      </c>
      <c r="W26">
        <v>39562.39082706505</v>
      </c>
      <c r="X26">
        <v>1.1261934167353682</v>
      </c>
      <c r="AB26">
        <v>56319.654514187445</v>
      </c>
      <c r="AC26">
        <v>348.11298366294062</v>
      </c>
      <c r="AD26">
        <v>7904.0354256233868</v>
      </c>
      <c r="AE26">
        <v>790.122098022356</v>
      </c>
      <c r="AF26">
        <v>7113.9133276010307</v>
      </c>
      <c r="AG26">
        <v>25128.123645743759</v>
      </c>
      <c r="AH26">
        <v>9121.1680137575222</v>
      </c>
      <c r="AI26">
        <v>6754.5380911435932</v>
      </c>
      <c r="AJ26">
        <v>270.18245915735167</v>
      </c>
      <c r="AK26">
        <v>3.1781599312123809</v>
      </c>
      <c r="AL26">
        <v>702.80404127257088</v>
      </c>
      <c r="AM26">
        <v>37.952622527944968</v>
      </c>
      <c r="AN26">
        <v>1352.5126397248489</v>
      </c>
      <c r="AO26">
        <v>3863.762338779019</v>
      </c>
      <c r="AP26">
        <v>11306.96474634566</v>
      </c>
      <c r="AR26">
        <v>56319.654514187423</v>
      </c>
      <c r="AS26">
        <v>49547.007950567116</v>
      </c>
      <c r="AT26">
        <v>38878.083724593766</v>
      </c>
      <c r="AU26">
        <v>119.9502245151432</v>
      </c>
      <c r="AV26">
        <v>8142.1105115774444</v>
      </c>
      <c r="AW26">
        <v>2406.8634898807663</v>
      </c>
      <c r="AX26">
        <v>6772.6465636203075</v>
      </c>
      <c r="AZ26">
        <v>1</v>
      </c>
      <c r="BA26">
        <v>0.87974630487276484</v>
      </c>
      <c r="BB26">
        <v>0.69031111891497898</v>
      </c>
      <c r="BC26">
        <v>2.1298110854875122E-3</v>
      </c>
      <c r="BD26">
        <v>0.1445696104106316</v>
      </c>
      <c r="BE26">
        <v>4.273576446166686E-2</v>
      </c>
      <c r="BF26">
        <v>0.12025369512723516</v>
      </c>
      <c r="BJ26">
        <v>84595.325536835997</v>
      </c>
      <c r="BK26">
        <v>1439.140456116</v>
      </c>
      <c r="BL26">
        <v>24135.37892784</v>
      </c>
      <c r="BM26">
        <v>2087.4004992000005</v>
      </c>
      <c r="BN26">
        <v>22047.978428639999</v>
      </c>
      <c r="BO26">
        <v>59020.806152879981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84595.325536835924</v>
      </c>
      <c r="CA26">
        <v>84595.325536835924</v>
      </c>
      <c r="CB26">
        <v>71100.620349075587</v>
      </c>
      <c r="CC26">
        <v>0</v>
      </c>
      <c r="CD26">
        <v>13222.826445528985</v>
      </c>
      <c r="CE26">
        <v>271.87874223136208</v>
      </c>
      <c r="CF26">
        <v>0</v>
      </c>
      <c r="CH26">
        <v>1</v>
      </c>
      <c r="CI26">
        <v>1</v>
      </c>
      <c r="CJ26">
        <v>0.84047930423904749</v>
      </c>
      <c r="CK26">
        <v>0</v>
      </c>
      <c r="CL26">
        <v>0.15630682146581817</v>
      </c>
      <c r="CM26">
        <v>3.2138742951343812E-3</v>
      </c>
      <c r="CN26">
        <v>0</v>
      </c>
      <c r="CR26">
        <v>15793.03300917631</v>
      </c>
      <c r="CS26">
        <v>13893.862432556458</v>
      </c>
      <c r="CT26">
        <v>10902.106287625696</v>
      </c>
      <c r="CU26">
        <v>33.636176776413912</v>
      </c>
      <c r="CV26">
        <v>2283.1926293388642</v>
      </c>
      <c r="CW26">
        <v>674.92733881548861</v>
      </c>
      <c r="CX26">
        <v>1899.170576619849</v>
      </c>
      <c r="CZ26">
        <v>11867.77840001342</v>
      </c>
      <c r="DA26">
        <v>9215.1399066005051</v>
      </c>
      <c r="DB26">
        <v>139.90151362150871</v>
      </c>
      <c r="DC26">
        <v>1946.4980870382133</v>
      </c>
      <c r="DD26">
        <v>566.23889275319107</v>
      </c>
      <c r="DF26">
        <v>2039.7277873084815</v>
      </c>
      <c r="DG26">
        <v>2039.7277873084815</v>
      </c>
      <c r="DH26">
        <v>1714.3489915140849</v>
      </c>
      <c r="DI26">
        <v>0</v>
      </c>
      <c r="DJ26">
        <v>318.82336708969524</v>
      </c>
      <c r="DK26">
        <v>6.5554287047020594</v>
      </c>
      <c r="DL26">
        <v>0</v>
      </c>
      <c r="DN26">
        <v>0.8541741691787974</v>
      </c>
      <c r="DO26">
        <v>0.84526234320977389</v>
      </c>
      <c r="DP26">
        <v>4.1592572946521473</v>
      </c>
      <c r="DQ26">
        <v>0.8525334490072588</v>
      </c>
      <c r="DR26">
        <v>0.8389627448592496</v>
      </c>
      <c r="DV26">
        <v>170.50843512247229</v>
      </c>
      <c r="DW26">
        <v>150.00416574863252</v>
      </c>
      <c r="DX26">
        <v>117.70386863383597</v>
      </c>
      <c r="DY26">
        <v>0.36315075529296986</v>
      </c>
      <c r="DZ26">
        <v>24.650338037382269</v>
      </c>
      <c r="EA26">
        <v>7.2868083221213809</v>
      </c>
      <c r="EB26">
        <v>20.504269373839737</v>
      </c>
      <c r="ED26">
        <v>128.12968365169684</v>
      </c>
      <c r="EE26">
        <v>99.490647806291591</v>
      </c>
      <c r="EF26">
        <v>1.5104374280107216</v>
      </c>
      <c r="EG26">
        <v>21.015237706204328</v>
      </c>
      <c r="EH26">
        <v>6.1133607111901771</v>
      </c>
      <c r="EJ26">
        <v>22.021785991817627</v>
      </c>
      <c r="EK26">
        <v>22.021785991817627</v>
      </c>
      <c r="EL26">
        <v>18.508855368504083</v>
      </c>
      <c r="EM26">
        <v>0</v>
      </c>
      <c r="EN26">
        <v>3.4421553713814936</v>
      </c>
      <c r="EO26">
        <v>7.0775251932053071E-2</v>
      </c>
      <c r="EP26">
        <v>0</v>
      </c>
      <c r="ET26">
        <v>7876.8244581617646</v>
      </c>
      <c r="EU26">
        <v>6929.6072111992289</v>
      </c>
      <c r="EV26">
        <v>5437.4595052105205</v>
      </c>
      <c r="EW26">
        <v>16.776148049432095</v>
      </c>
      <c r="EX26">
        <v>1138.7494431893806</v>
      </c>
      <c r="EY26">
        <v>336.62211474989789</v>
      </c>
      <c r="EZ26">
        <v>947.21724696253386</v>
      </c>
      <c r="FB26">
        <v>5919.0914823615058</v>
      </c>
      <c r="FC26">
        <v>4596.0797624825027</v>
      </c>
      <c r="FD26">
        <v>69.776316150764828</v>
      </c>
      <c r="FE26">
        <v>970.821990357338</v>
      </c>
      <c r="FF26">
        <v>282.4134133708996</v>
      </c>
      <c r="FH26">
        <v>1017.32059407008</v>
      </c>
      <c r="FI26">
        <v>1017.32059407008</v>
      </c>
      <c r="FJ26">
        <v>855.03690509207547</v>
      </c>
      <c r="FK26">
        <v>0</v>
      </c>
      <c r="FL26">
        <v>159.01414847081207</v>
      </c>
      <c r="FM26">
        <v>3.2695405071926689</v>
      </c>
      <c r="FN26">
        <v>0</v>
      </c>
    </row>
    <row r="27" spans="1:170" x14ac:dyDescent="0.25">
      <c r="A27">
        <v>2022</v>
      </c>
      <c r="H27">
        <f>AVERAGE(H24:H26)</f>
        <v>961961</v>
      </c>
    </row>
    <row r="28" spans="1:170" x14ac:dyDescent="0.25">
      <c r="A28">
        <v>2023</v>
      </c>
      <c r="H28">
        <f>AVERAGE(H25:H27)</f>
        <v>937821</v>
      </c>
    </row>
    <row r="29" spans="1:170" x14ac:dyDescent="0.25">
      <c r="A29">
        <v>2024</v>
      </c>
      <c r="H29">
        <f>AVERAGE(H26:H28)</f>
        <v>942641.66666666663</v>
      </c>
    </row>
    <row r="108" spans="1:170" x14ac:dyDescent="0.25">
      <c r="A108" t="s">
        <v>68</v>
      </c>
      <c r="C108" t="s">
        <v>484</v>
      </c>
      <c r="D108" t="s">
        <v>485</v>
      </c>
      <c r="F108" t="s">
        <v>486</v>
      </c>
      <c r="G108" t="s">
        <v>487</v>
      </c>
      <c r="H108" t="s">
        <v>488</v>
      </c>
      <c r="I108" t="s">
        <v>489</v>
      </c>
      <c r="K108" t="s">
        <v>490</v>
      </c>
      <c r="L108" t="s">
        <v>491</v>
      </c>
      <c r="M108" t="s">
        <v>492</v>
      </c>
      <c r="AB108" t="s">
        <v>493</v>
      </c>
      <c r="AC108" t="s">
        <v>494</v>
      </c>
      <c r="AE108" t="s">
        <v>495</v>
      </c>
      <c r="AF108" t="s">
        <v>496</v>
      </c>
      <c r="AG108" t="s">
        <v>497</v>
      </c>
      <c r="AI108" t="s">
        <v>498</v>
      </c>
      <c r="AJ108" t="s">
        <v>499</v>
      </c>
      <c r="AK108" t="s">
        <v>500</v>
      </c>
      <c r="AL108" t="s">
        <v>501</v>
      </c>
      <c r="AM108" t="s">
        <v>502</v>
      </c>
      <c r="AN108" t="s">
        <v>503</v>
      </c>
      <c r="AO108" t="s">
        <v>504</v>
      </c>
      <c r="AP108" t="s">
        <v>505</v>
      </c>
      <c r="AR108" t="s">
        <v>506</v>
      </c>
      <c r="AS108" t="s">
        <v>507</v>
      </c>
      <c r="AT108" t="s">
        <v>508</v>
      </c>
      <c r="AU108" t="s">
        <v>509</v>
      </c>
      <c r="AV108" t="s">
        <v>510</v>
      </c>
      <c r="AW108" t="s">
        <v>511</v>
      </c>
      <c r="AX108" t="s">
        <v>512</v>
      </c>
      <c r="BJ108" t="s">
        <v>513</v>
      </c>
      <c r="BK108" t="s">
        <v>514</v>
      </c>
      <c r="BM108" t="s">
        <v>515</v>
      </c>
      <c r="BN108" t="s">
        <v>516</v>
      </c>
      <c r="BO108" t="s">
        <v>517</v>
      </c>
      <c r="BQ108" t="s">
        <v>518</v>
      </c>
      <c r="BR108" t="s">
        <v>519</v>
      </c>
      <c r="BS108" t="s">
        <v>520</v>
      </c>
      <c r="BT108" t="s">
        <v>521</v>
      </c>
      <c r="BU108" t="s">
        <v>522</v>
      </c>
      <c r="BV108" t="s">
        <v>523</v>
      </c>
      <c r="BW108" t="s">
        <v>524</v>
      </c>
      <c r="BX108" t="s">
        <v>525</v>
      </c>
      <c r="BZ108" t="s">
        <v>526</v>
      </c>
      <c r="CA108" t="s">
        <v>527</v>
      </c>
      <c r="CB108" t="s">
        <v>528</v>
      </c>
      <c r="CC108" t="s">
        <v>529</v>
      </c>
      <c r="CD108" t="s">
        <v>530</v>
      </c>
      <c r="CE108" t="s">
        <v>531</v>
      </c>
      <c r="CF108" t="s">
        <v>532</v>
      </c>
      <c r="CR108" t="s">
        <v>533</v>
      </c>
      <c r="CS108" t="s">
        <v>534</v>
      </c>
      <c r="CT108" t="s">
        <v>535</v>
      </c>
      <c r="CU108" t="s">
        <v>536</v>
      </c>
      <c r="CV108" t="s">
        <v>537</v>
      </c>
      <c r="CW108" t="s">
        <v>538</v>
      </c>
      <c r="CX108" t="s">
        <v>539</v>
      </c>
      <c r="CZ108" t="s">
        <v>540</v>
      </c>
      <c r="DA108" t="s">
        <v>541</v>
      </c>
      <c r="DB108" t="s">
        <v>542</v>
      </c>
      <c r="DC108" t="s">
        <v>543</v>
      </c>
      <c r="DD108" t="s">
        <v>544</v>
      </c>
      <c r="DF108" t="s">
        <v>545</v>
      </c>
      <c r="DG108" t="s">
        <v>546</v>
      </c>
      <c r="DH108" t="s">
        <v>547</v>
      </c>
      <c r="DI108" t="s">
        <v>548</v>
      </c>
      <c r="DJ108" t="s">
        <v>549</v>
      </c>
      <c r="DK108" t="s">
        <v>550</v>
      </c>
      <c r="DL108" t="s">
        <v>551</v>
      </c>
      <c r="DN108" t="s">
        <v>552</v>
      </c>
      <c r="DO108" t="s">
        <v>553</v>
      </c>
      <c r="DP108" t="s">
        <v>554</v>
      </c>
      <c r="DQ108" t="s">
        <v>555</v>
      </c>
      <c r="DR108" t="s">
        <v>556</v>
      </c>
      <c r="DV108" t="s">
        <v>557</v>
      </c>
      <c r="DW108" t="s">
        <v>558</v>
      </c>
      <c r="DX108" t="s">
        <v>559</v>
      </c>
      <c r="DY108" t="s">
        <v>560</v>
      </c>
      <c r="DZ108" t="s">
        <v>561</v>
      </c>
      <c r="EA108" t="s">
        <v>562</v>
      </c>
      <c r="EB108" t="s">
        <v>563</v>
      </c>
      <c r="ED108" t="s">
        <v>564</v>
      </c>
      <c r="EE108" t="s">
        <v>565</v>
      </c>
      <c r="EF108" t="s">
        <v>566</v>
      </c>
      <c r="EG108" t="s">
        <v>567</v>
      </c>
      <c r="EH108" t="s">
        <v>568</v>
      </c>
      <c r="EJ108" t="s">
        <v>569</v>
      </c>
      <c r="EK108" t="s">
        <v>570</v>
      </c>
      <c r="EL108" t="s">
        <v>571</v>
      </c>
      <c r="EM108" t="s">
        <v>572</v>
      </c>
      <c r="EN108" t="s">
        <v>573</v>
      </c>
      <c r="EO108" t="s">
        <v>574</v>
      </c>
      <c r="EP108" t="s">
        <v>575</v>
      </c>
      <c r="ET108" t="s">
        <v>576</v>
      </c>
      <c r="EU108" t="s">
        <v>577</v>
      </c>
      <c r="EV108" t="s">
        <v>578</v>
      </c>
      <c r="EW108" t="s">
        <v>579</v>
      </c>
      <c r="EX108" t="s">
        <v>580</v>
      </c>
      <c r="EY108" t="s">
        <v>581</v>
      </c>
      <c r="EZ108" t="s">
        <v>582</v>
      </c>
      <c r="FB108" t="s">
        <v>583</v>
      </c>
      <c r="FC108" t="s">
        <v>584</v>
      </c>
      <c r="FD108" t="s">
        <v>585</v>
      </c>
      <c r="FE108" t="s">
        <v>586</v>
      </c>
      <c r="FF108" t="s">
        <v>587</v>
      </c>
      <c r="FH108" t="s">
        <v>588</v>
      </c>
      <c r="FI108" t="s">
        <v>589</v>
      </c>
      <c r="FJ108" t="s">
        <v>590</v>
      </c>
      <c r="FK108" t="s">
        <v>591</v>
      </c>
      <c r="FL108" t="s">
        <v>592</v>
      </c>
      <c r="FM108" t="s">
        <v>593</v>
      </c>
      <c r="FN108" t="s">
        <v>594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8569-9237-D744-AE3F-86180A38DA0F}">
  <dimension ref="A1:FN108"/>
  <sheetViews>
    <sheetView workbookViewId="0">
      <selection activeCell="I29" sqref="I29"/>
    </sheetView>
  </sheetViews>
  <sheetFormatPr defaultColWidth="11" defaultRowHeight="15.75" x14ac:dyDescent="0.25"/>
  <cols>
    <col min="1" max="1" width="30.625" bestFit="1" customWidth="1"/>
    <col min="2" max="2" width="2.5" customWidth="1"/>
    <col min="3" max="3" width="10.625" customWidth="1"/>
    <col min="4" max="4" width="7.375" customWidth="1"/>
    <col min="5" max="5" width="4.875" customWidth="1"/>
    <col min="6" max="6" width="7.125" customWidth="1"/>
    <col min="7" max="7" width="9.375" customWidth="1"/>
    <col min="8" max="8" width="38.375" bestFit="1" customWidth="1"/>
    <col min="9" max="9" width="61.875" bestFit="1" customWidth="1"/>
    <col min="10" max="10" width="12.125" bestFit="1" customWidth="1"/>
    <col min="11" max="11" width="26.375" bestFit="1" customWidth="1"/>
    <col min="12" max="12" width="45.125" bestFit="1" customWidth="1"/>
    <col min="13" max="13" width="27.625" bestFit="1" customWidth="1"/>
    <col min="14" max="14" width="12.125" bestFit="1" customWidth="1"/>
    <col min="15" max="15" width="12" bestFit="1" customWidth="1"/>
    <col min="16" max="16" width="12.1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75" bestFit="1" customWidth="1"/>
    <col min="23" max="23" width="62.5" bestFit="1" customWidth="1"/>
    <col min="24" max="24" width="58.875" bestFit="1" customWidth="1"/>
    <col min="25" max="25" width="12.125" bestFit="1" customWidth="1"/>
    <col min="26" max="26" width="20.5" bestFit="1" customWidth="1"/>
    <col min="27" max="27" width="12.125" bestFit="1" customWidth="1"/>
    <col min="28" max="28" width="48.625" bestFit="1" customWidth="1"/>
    <col min="29" max="29" width="22.5" bestFit="1" customWidth="1"/>
    <col min="30" max="30" width="12.125" bestFit="1" customWidth="1"/>
    <col min="31" max="31" width="28.5" bestFit="1" customWidth="1"/>
    <col min="32" max="32" width="40.875" bestFit="1" customWidth="1"/>
    <col min="33" max="33" width="20.125" bestFit="1" customWidth="1"/>
    <col min="34" max="34" width="30.375" bestFit="1" customWidth="1"/>
    <col min="35" max="35" width="30.625" bestFit="1" customWidth="1"/>
    <col min="36" max="36" width="23" bestFit="1" customWidth="1"/>
    <col min="37" max="37" width="22.625" bestFit="1" customWidth="1"/>
    <col min="38" max="38" width="21.875" bestFit="1" customWidth="1"/>
    <col min="39" max="39" width="20.875" bestFit="1" customWidth="1"/>
    <col min="40" max="40" width="24.375" bestFit="1" customWidth="1"/>
    <col min="41" max="41" width="27.875" bestFit="1" customWidth="1"/>
    <col min="42" max="42" width="21" bestFit="1" customWidth="1"/>
    <col min="43" max="43" width="12.125" bestFit="1" customWidth="1"/>
    <col min="44" max="44" width="36.5" bestFit="1" customWidth="1"/>
    <col min="45" max="45" width="24.875" bestFit="1" customWidth="1"/>
    <col min="46" max="47" width="27.875" bestFit="1" customWidth="1"/>
    <col min="48" max="48" width="28.5" bestFit="1" customWidth="1"/>
    <col min="49" max="49" width="28.125" bestFit="1" customWidth="1"/>
    <col min="50" max="50" width="44.875" bestFit="1" customWidth="1"/>
    <col min="51" max="51" width="12.125" bestFit="1" customWidth="1"/>
    <col min="52" max="52" width="44" bestFit="1" customWidth="1"/>
    <col min="53" max="53" width="16.5" bestFit="1" customWidth="1"/>
    <col min="54" max="54" width="17" bestFit="1" customWidth="1"/>
    <col min="55" max="55" width="12.125" bestFit="1" customWidth="1"/>
    <col min="56" max="56" width="17" bestFit="1" customWidth="1"/>
    <col min="57" max="57" width="12.375" bestFit="1" customWidth="1"/>
    <col min="58" max="58" width="46.625" bestFit="1" customWidth="1"/>
    <col min="59" max="59" width="12.125" bestFit="1" customWidth="1"/>
    <col min="60" max="60" width="12.375" bestFit="1" customWidth="1"/>
    <col min="61" max="61" width="12.125" bestFit="1" customWidth="1"/>
    <col min="62" max="62" width="44.625" bestFit="1" customWidth="1"/>
    <col min="63" max="63" width="23.875" bestFit="1" customWidth="1"/>
    <col min="64" max="64" width="12.125" bestFit="1" customWidth="1"/>
    <col min="65" max="65" width="30.5" bestFit="1" customWidth="1"/>
    <col min="66" max="66" width="43.625" bestFit="1" customWidth="1"/>
    <col min="67" max="67" width="21.625" bestFit="1" customWidth="1"/>
    <col min="68" max="68" width="33.125" bestFit="1" customWidth="1"/>
    <col min="69" max="69" width="32.125" bestFit="1" customWidth="1"/>
    <col min="70" max="70" width="24.375" bestFit="1" customWidth="1"/>
    <col min="71" max="71" width="24" bestFit="1" customWidth="1"/>
    <col min="72" max="72" width="23.125" bestFit="1" customWidth="1"/>
    <col min="73" max="73" width="22.375" bestFit="1" customWidth="1"/>
    <col min="74" max="74" width="25.625" bestFit="1" customWidth="1"/>
    <col min="75" max="75" width="29.125" bestFit="1" customWidth="1"/>
    <col min="76" max="76" width="22.5" bestFit="1" customWidth="1"/>
    <col min="77" max="77" width="12.125" bestFit="1" customWidth="1"/>
    <col min="78" max="78" width="32.375" bestFit="1" customWidth="1"/>
    <col min="79" max="79" width="26.125" bestFit="1" customWidth="1"/>
    <col min="80" max="81" width="29.125" bestFit="1" customWidth="1"/>
    <col min="82" max="82" width="29.875" bestFit="1" customWidth="1"/>
    <col min="83" max="83" width="29.5" bestFit="1" customWidth="1"/>
    <col min="84" max="84" width="47.625" bestFit="1" customWidth="1"/>
    <col min="85" max="85" width="12.125" bestFit="1" customWidth="1"/>
    <col min="86" max="86" width="34.875" bestFit="1" customWidth="1"/>
    <col min="87" max="87" width="17.5" bestFit="1" customWidth="1"/>
    <col min="88" max="88" width="18" bestFit="1" customWidth="1"/>
    <col min="89" max="89" width="12.875" bestFit="1" customWidth="1"/>
    <col min="90" max="90" width="18" bestFit="1" customWidth="1"/>
    <col min="91" max="91" width="13.375" bestFit="1" customWidth="1"/>
    <col min="92" max="92" width="47.625" bestFit="1" customWidth="1"/>
    <col min="93" max="93" width="12.125" bestFit="1" customWidth="1"/>
    <col min="94" max="94" width="30" bestFit="1" customWidth="1"/>
    <col min="95" max="95" width="12.125" bestFit="1" customWidth="1"/>
    <col min="96" max="96" width="48.375" bestFit="1" customWidth="1"/>
    <col min="97" max="97" width="38" bestFit="1" customWidth="1"/>
    <col min="98" max="99" width="40.875" bestFit="1" customWidth="1"/>
    <col min="100" max="100" width="41.5" bestFit="1" customWidth="1"/>
    <col min="101" max="101" width="41.125" bestFit="1" customWidth="1"/>
    <col min="102" max="102" width="47.625" bestFit="1" customWidth="1"/>
    <col min="103" max="103" width="13.125" bestFit="1" customWidth="1"/>
    <col min="104" max="104" width="56.375" bestFit="1" customWidth="1"/>
    <col min="105" max="106" width="40.375" bestFit="1" customWidth="1"/>
    <col min="107" max="107" width="41" bestFit="1" customWidth="1"/>
    <col min="108" max="108" width="40.625" bestFit="1" customWidth="1"/>
    <col min="109" max="109" width="13.125" bestFit="1" customWidth="1"/>
    <col min="110" max="110" width="42.5" bestFit="1" customWidth="1"/>
    <col min="111" max="111" width="39.5" bestFit="1" customWidth="1"/>
    <col min="112" max="113" width="42.5" bestFit="1" customWidth="1"/>
    <col min="114" max="114" width="43.125" bestFit="1" customWidth="1"/>
    <col min="115" max="115" width="42.875" bestFit="1" customWidth="1"/>
    <col min="116" max="116" width="47.625" bestFit="1" customWidth="1"/>
    <col min="117" max="117" width="13.125" bestFit="1" customWidth="1"/>
    <col min="118" max="118" width="66.875" bestFit="1" customWidth="1"/>
    <col min="119" max="120" width="26.875" bestFit="1" customWidth="1"/>
    <col min="121" max="121" width="27.5" bestFit="1" customWidth="1"/>
    <col min="122" max="122" width="27.125" bestFit="1" customWidth="1"/>
    <col min="123" max="125" width="13.125" bestFit="1" customWidth="1"/>
    <col min="126" max="126" width="45.375" bestFit="1" customWidth="1"/>
    <col min="127" max="127" width="32.875" bestFit="1" customWidth="1"/>
    <col min="128" max="129" width="35.625" bestFit="1" customWidth="1"/>
    <col min="130" max="130" width="36.375" bestFit="1" customWidth="1"/>
    <col min="131" max="131" width="36" bestFit="1" customWidth="1"/>
    <col min="132" max="132" width="47.625" bestFit="1" customWidth="1"/>
    <col min="133" max="133" width="13.125" bestFit="1" customWidth="1"/>
    <col min="134" max="134" width="53.125" bestFit="1" customWidth="1"/>
    <col min="135" max="136" width="35.125" bestFit="1" customWidth="1"/>
    <col min="137" max="137" width="35.875" bestFit="1" customWidth="1"/>
    <col min="138" max="138" width="35.5" bestFit="1" customWidth="1"/>
    <col min="139" max="139" width="13.125" bestFit="1" customWidth="1"/>
    <col min="140" max="140" width="39.5" bestFit="1" customWidth="1"/>
    <col min="141" max="141" width="34.375" bestFit="1" customWidth="1"/>
    <col min="142" max="143" width="37.375" bestFit="1" customWidth="1"/>
    <col min="144" max="144" width="38" bestFit="1" customWidth="1"/>
    <col min="145" max="145" width="37.625" bestFit="1" customWidth="1"/>
    <col min="146" max="146" width="47.625" bestFit="1" customWidth="1"/>
    <col min="147" max="149" width="13.125" bestFit="1" customWidth="1"/>
    <col min="150" max="150" width="41.5" bestFit="1" customWidth="1"/>
    <col min="151" max="151" width="34.625" bestFit="1" customWidth="1"/>
    <col min="152" max="153" width="37.625" bestFit="1" customWidth="1"/>
    <col min="154" max="154" width="38.375" bestFit="1" customWidth="1"/>
    <col min="155" max="155" width="38" bestFit="1" customWidth="1"/>
    <col min="156" max="156" width="47.625" bestFit="1" customWidth="1"/>
    <col min="157" max="157" width="13.125" bestFit="1" customWidth="1"/>
    <col min="158" max="158" width="49.375" bestFit="1" customWidth="1"/>
    <col min="159" max="160" width="37.125" bestFit="1" customWidth="1"/>
    <col min="161" max="161" width="37.875" bestFit="1" customWidth="1"/>
    <col min="162" max="162" width="37.5" bestFit="1" customWidth="1"/>
    <col min="163" max="163" width="13.125" bestFit="1" customWidth="1"/>
    <col min="164" max="164" width="35.625" bestFit="1" customWidth="1"/>
    <col min="165" max="165" width="36.125" bestFit="1" customWidth="1"/>
    <col min="166" max="167" width="39.125" bestFit="1" customWidth="1"/>
    <col min="168" max="168" width="39.875" bestFit="1" customWidth="1"/>
    <col min="169" max="169" width="39.5" bestFit="1" customWidth="1"/>
    <col min="170" max="170" width="47.625" bestFit="1" customWidth="1"/>
  </cols>
  <sheetData>
    <row r="1" spans="1:170" x14ac:dyDescent="0.25">
      <c r="A1" t="s">
        <v>209</v>
      </c>
      <c r="B1" t="s">
        <v>117</v>
      </c>
      <c r="C1" t="s">
        <v>210</v>
      </c>
      <c r="D1" t="s">
        <v>211</v>
      </c>
      <c r="E1" t="s">
        <v>120</v>
      </c>
      <c r="F1" t="s">
        <v>212</v>
      </c>
      <c r="G1" t="s">
        <v>213</v>
      </c>
      <c r="H1" t="s">
        <v>214</v>
      </c>
      <c r="I1" t="s">
        <v>215</v>
      </c>
      <c r="J1" t="s">
        <v>125</v>
      </c>
      <c r="K1" t="s">
        <v>216</v>
      </c>
      <c r="L1" t="s">
        <v>217</v>
      </c>
      <c r="M1" t="s">
        <v>218</v>
      </c>
      <c r="N1" t="s">
        <v>129</v>
      </c>
      <c r="O1" t="s">
        <v>219</v>
      </c>
      <c r="P1" t="s">
        <v>131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140</v>
      </c>
      <c r="Z1" t="s">
        <v>228</v>
      </c>
      <c r="AA1" t="s">
        <v>142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  <c r="AY1" t="s">
        <v>252</v>
      </c>
      <c r="AZ1" t="s">
        <v>253</v>
      </c>
      <c r="BA1" t="s">
        <v>254</v>
      </c>
      <c r="BB1" t="s">
        <v>255</v>
      </c>
      <c r="BC1" t="s">
        <v>256</v>
      </c>
      <c r="BD1" t="s">
        <v>257</v>
      </c>
      <c r="BE1" t="s">
        <v>258</v>
      </c>
      <c r="BF1" t="s">
        <v>259</v>
      </c>
      <c r="BG1" t="s">
        <v>260</v>
      </c>
      <c r="BH1" t="s">
        <v>261</v>
      </c>
      <c r="BI1" t="s">
        <v>262</v>
      </c>
      <c r="BJ1" t="s">
        <v>263</v>
      </c>
      <c r="BK1" t="s">
        <v>264</v>
      </c>
      <c r="BL1" t="s">
        <v>265</v>
      </c>
      <c r="BM1" t="s">
        <v>266</v>
      </c>
      <c r="BN1" t="s">
        <v>267</v>
      </c>
      <c r="BO1" t="s">
        <v>268</v>
      </c>
      <c r="BP1" t="s">
        <v>269</v>
      </c>
      <c r="BQ1" t="s">
        <v>270</v>
      </c>
      <c r="BR1" t="s">
        <v>271</v>
      </c>
      <c r="BS1" t="s">
        <v>272</v>
      </c>
      <c r="BT1" t="s">
        <v>273</v>
      </c>
      <c r="BU1" t="s">
        <v>274</v>
      </c>
      <c r="BV1" t="s">
        <v>275</v>
      </c>
      <c r="BW1" t="s">
        <v>276</v>
      </c>
      <c r="BX1" t="s">
        <v>277</v>
      </c>
      <c r="BY1" t="s">
        <v>278</v>
      </c>
      <c r="BZ1" t="s">
        <v>279</v>
      </c>
      <c r="CA1" t="s">
        <v>280</v>
      </c>
      <c r="CB1" t="s">
        <v>281</v>
      </c>
      <c r="CC1" t="s">
        <v>282</v>
      </c>
      <c r="CD1" t="s">
        <v>283</v>
      </c>
      <c r="CE1" t="s">
        <v>284</v>
      </c>
      <c r="CF1" t="s">
        <v>285</v>
      </c>
      <c r="CG1" t="s">
        <v>286</v>
      </c>
      <c r="CH1" t="s">
        <v>287</v>
      </c>
      <c r="CI1" t="s">
        <v>288</v>
      </c>
      <c r="CJ1" t="s">
        <v>289</v>
      </c>
      <c r="CK1" t="s">
        <v>290</v>
      </c>
      <c r="CL1" t="s">
        <v>291</v>
      </c>
      <c r="CM1" t="s">
        <v>292</v>
      </c>
      <c r="CN1" t="s">
        <v>293</v>
      </c>
      <c r="CO1" t="s">
        <v>294</v>
      </c>
      <c r="CP1" t="s">
        <v>295</v>
      </c>
      <c r="CQ1" t="s">
        <v>296</v>
      </c>
      <c r="CR1" t="s">
        <v>297</v>
      </c>
      <c r="CS1" t="s">
        <v>298</v>
      </c>
      <c r="CT1" t="s">
        <v>299</v>
      </c>
      <c r="CU1" t="s">
        <v>300</v>
      </c>
      <c r="CV1" t="s">
        <v>301</v>
      </c>
      <c r="CW1" t="s">
        <v>302</v>
      </c>
      <c r="CX1" t="s">
        <v>303</v>
      </c>
      <c r="CY1" t="s">
        <v>304</v>
      </c>
      <c r="CZ1" t="s">
        <v>305</v>
      </c>
      <c r="DA1" t="s">
        <v>306</v>
      </c>
      <c r="DB1" t="s">
        <v>307</v>
      </c>
      <c r="DC1" t="s">
        <v>308</v>
      </c>
      <c r="DD1" t="s">
        <v>309</v>
      </c>
      <c r="DE1" t="s">
        <v>310</v>
      </c>
      <c r="DF1" t="s">
        <v>311</v>
      </c>
      <c r="DG1" t="s">
        <v>312</v>
      </c>
      <c r="DH1" t="s">
        <v>313</v>
      </c>
      <c r="DI1" t="s">
        <v>314</v>
      </c>
      <c r="DJ1" t="s">
        <v>315</v>
      </c>
      <c r="DK1" t="s">
        <v>316</v>
      </c>
      <c r="DL1" t="s">
        <v>317</v>
      </c>
      <c r="DM1" t="s">
        <v>318</v>
      </c>
      <c r="DN1" t="s">
        <v>319</v>
      </c>
      <c r="DO1" t="s">
        <v>320</v>
      </c>
      <c r="DP1" t="s">
        <v>321</v>
      </c>
      <c r="DQ1" t="s">
        <v>322</v>
      </c>
      <c r="DR1" t="s">
        <v>323</v>
      </c>
      <c r="DS1" t="s">
        <v>324</v>
      </c>
      <c r="DT1" t="s">
        <v>325</v>
      </c>
      <c r="DU1" t="s">
        <v>326</v>
      </c>
      <c r="DV1" t="s">
        <v>327</v>
      </c>
      <c r="DW1" t="s">
        <v>328</v>
      </c>
      <c r="DX1" t="s">
        <v>329</v>
      </c>
      <c r="DY1" t="s">
        <v>330</v>
      </c>
      <c r="DZ1" t="s">
        <v>331</v>
      </c>
      <c r="EA1" t="s">
        <v>332</v>
      </c>
      <c r="EB1" t="s">
        <v>333</v>
      </c>
      <c r="EC1" t="s">
        <v>334</v>
      </c>
      <c r="ED1" t="s">
        <v>335</v>
      </c>
      <c r="EE1" t="s">
        <v>336</v>
      </c>
      <c r="EF1" t="s">
        <v>337</v>
      </c>
      <c r="EG1" t="s">
        <v>338</v>
      </c>
      <c r="EH1" t="s">
        <v>339</v>
      </c>
      <c r="EI1" t="s">
        <v>340</v>
      </c>
      <c r="EJ1" t="s">
        <v>341</v>
      </c>
      <c r="EK1" t="s">
        <v>342</v>
      </c>
      <c r="EL1" t="s">
        <v>343</v>
      </c>
      <c r="EM1" t="s">
        <v>344</v>
      </c>
      <c r="EN1" t="s">
        <v>345</v>
      </c>
      <c r="EO1" t="s">
        <v>346</v>
      </c>
      <c r="EP1" t="s">
        <v>347</v>
      </c>
      <c r="EQ1" t="s">
        <v>348</v>
      </c>
      <c r="ER1" t="s">
        <v>349</v>
      </c>
      <c r="ES1" t="s">
        <v>350</v>
      </c>
      <c r="ET1" t="s">
        <v>351</v>
      </c>
      <c r="EU1" t="s">
        <v>352</v>
      </c>
      <c r="EV1" t="s">
        <v>353</v>
      </c>
      <c r="EW1" t="s">
        <v>354</v>
      </c>
      <c r="EX1" t="s">
        <v>355</v>
      </c>
      <c r="EY1" t="s">
        <v>356</v>
      </c>
      <c r="EZ1" t="s">
        <v>357</v>
      </c>
      <c r="FA1" t="s">
        <v>358</v>
      </c>
      <c r="FB1" t="s">
        <v>359</v>
      </c>
      <c r="FC1" t="s">
        <v>360</v>
      </c>
      <c r="FD1" t="s">
        <v>361</v>
      </c>
      <c r="FE1" t="s">
        <v>362</v>
      </c>
      <c r="FF1" t="s">
        <v>363</v>
      </c>
      <c r="FG1" t="s">
        <v>364</v>
      </c>
      <c r="FH1" t="s">
        <v>365</v>
      </c>
      <c r="FI1" t="s">
        <v>366</v>
      </c>
      <c r="FJ1" t="s">
        <v>367</v>
      </c>
      <c r="FK1" t="s">
        <v>368</v>
      </c>
      <c r="FL1" t="s">
        <v>369</v>
      </c>
      <c r="FM1" t="s">
        <v>370</v>
      </c>
      <c r="FN1" t="s">
        <v>371</v>
      </c>
    </row>
    <row r="2" spans="1:170" x14ac:dyDescent="0.25">
      <c r="A2">
        <v>1997</v>
      </c>
      <c r="H2" s="1">
        <f>AVERAGE(H3:H5)</f>
        <v>129521.01234567903</v>
      </c>
    </row>
    <row r="3" spans="1:170" x14ac:dyDescent="0.25">
      <c r="A3">
        <v>1998</v>
      </c>
      <c r="H3" s="1">
        <f>AVERAGE(H4:H6)</f>
        <v>127771.25925925927</v>
      </c>
    </row>
    <row r="4" spans="1:170" x14ac:dyDescent="0.25">
      <c r="A4">
        <v>1999</v>
      </c>
      <c r="H4" s="1">
        <f>AVERAGE(H5:H7)</f>
        <v>129626.44444444445</v>
      </c>
    </row>
    <row r="5" spans="1:170" x14ac:dyDescent="0.25">
      <c r="A5">
        <v>2000</v>
      </c>
      <c r="C5">
        <v>153455.94217201692</v>
      </c>
      <c r="D5">
        <v>8002186</v>
      </c>
      <c r="F5">
        <v>3279631</v>
      </c>
      <c r="G5">
        <v>306819.0757211562</v>
      </c>
      <c r="H5" s="1">
        <f>AVERAGE(H6:H8)</f>
        <v>131165.33333333334</v>
      </c>
      <c r="I5">
        <v>0</v>
      </c>
      <c r="K5">
        <v>3408.97</v>
      </c>
      <c r="L5">
        <v>3502.5647619047613</v>
      </c>
      <c r="M5">
        <v>0.97327822088466875</v>
      </c>
      <c r="Q5">
        <v>2.4399653497603846</v>
      </c>
      <c r="R5">
        <v>38.341907538909517</v>
      </c>
      <c r="S5">
        <v>93.552925838655682</v>
      </c>
      <c r="V5">
        <v>19176.752723820329</v>
      </c>
      <c r="W5">
        <v>46790.612167044681</v>
      </c>
      <c r="X5">
        <v>1.4305473209552544</v>
      </c>
      <c r="AB5">
        <v>6348.27867583835</v>
      </c>
      <c r="AC5">
        <v>213.46001719690457</v>
      </c>
      <c r="AD5">
        <v>1733.452450558899</v>
      </c>
      <c r="AE5">
        <v>56.03327601031814</v>
      </c>
      <c r="AF5">
        <v>1677.4191745485807</v>
      </c>
      <c r="AG5">
        <v>1134.307824591574</v>
      </c>
      <c r="AH5">
        <v>1470.3831470335344</v>
      </c>
      <c r="AI5">
        <v>1434.675666380052</v>
      </c>
      <c r="AJ5">
        <v>0</v>
      </c>
      <c r="AK5">
        <v>0</v>
      </c>
      <c r="AL5">
        <v>35.707480653482371</v>
      </c>
      <c r="AM5">
        <v>0</v>
      </c>
      <c r="AN5">
        <v>5.8326426304499339</v>
      </c>
      <c r="AO5">
        <v>510.17480653482369</v>
      </c>
      <c r="AP5">
        <v>1286.5004299226141</v>
      </c>
      <c r="AR5">
        <v>6348.27867583835</v>
      </c>
      <c r="AS5">
        <v>5750.0796713089494</v>
      </c>
      <c r="AT5">
        <v>4832.9478961321229</v>
      </c>
      <c r="AU5">
        <v>0.16581504394228719</v>
      </c>
      <c r="AV5">
        <v>811.57963516756934</v>
      </c>
      <c r="AW5">
        <v>105.38632496531469</v>
      </c>
      <c r="AX5">
        <v>598.19900452940078</v>
      </c>
      <c r="AZ5">
        <v>1</v>
      </c>
      <c r="BA5">
        <v>0.90576988896121469</v>
      </c>
      <c r="BB5">
        <v>0.76130052616095756</v>
      </c>
      <c r="BC5">
        <v>2.6119685730461375E-5</v>
      </c>
      <c r="BD5">
        <v>0.12784247141771743</v>
      </c>
      <c r="BE5">
        <v>1.6600771696809204E-2</v>
      </c>
      <c r="BF5">
        <v>9.4230111038785327E-2</v>
      </c>
      <c r="BJ5">
        <v>8945.3453416721477</v>
      </c>
      <c r="BK5">
        <v>897.23579351214846</v>
      </c>
      <c r="BL5">
        <v>5383.8532281599983</v>
      </c>
      <c r="BM5">
        <v>148.03267571999999</v>
      </c>
      <c r="BN5">
        <v>5235.8205524399982</v>
      </c>
      <c r="BO5">
        <v>2664.2563200000013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8945.3453416721477</v>
      </c>
      <c r="CA5">
        <v>8945.3453416721477</v>
      </c>
      <c r="CB5">
        <v>8147.7300058234832</v>
      </c>
      <c r="CC5">
        <v>0</v>
      </c>
      <c r="CD5">
        <v>781.84500606742927</v>
      </c>
      <c r="CE5">
        <v>15.770329781235604</v>
      </c>
      <c r="CF5">
        <v>0</v>
      </c>
      <c r="CH5">
        <v>1</v>
      </c>
      <c r="CI5">
        <v>1</v>
      </c>
      <c r="CJ5">
        <v>0.91083459549259094</v>
      </c>
      <c r="CK5">
        <v>0</v>
      </c>
      <c r="CL5">
        <v>8.7402439615738695E-2</v>
      </c>
      <c r="CM5">
        <v>1.7629648916704277E-3</v>
      </c>
      <c r="CN5">
        <v>0</v>
      </c>
      <c r="CR5">
        <v>22511.825568181303</v>
      </c>
      <c r="CS5">
        <v>20390.533745205812</v>
      </c>
      <c r="CT5">
        <v>17138.264649900124</v>
      </c>
      <c r="CU5">
        <v>0.58800180905986066</v>
      </c>
      <c r="CV5">
        <v>2877.9674167608591</v>
      </c>
      <c r="CW5">
        <v>373.71367673576992</v>
      </c>
      <c r="CX5">
        <v>2121.2918229754905</v>
      </c>
      <c r="CZ5">
        <v>11363.788283599866</v>
      </c>
      <c r="DA5">
        <v>9269.3882015902636</v>
      </c>
      <c r="DB5">
        <v>1.0708959283734238</v>
      </c>
      <c r="DC5">
        <v>1818.3005221646813</v>
      </c>
      <c r="DD5">
        <v>275.02866391654874</v>
      </c>
      <c r="DF5">
        <v>2727.5462823933995</v>
      </c>
      <c r="DG5">
        <v>2727.5462823933995</v>
      </c>
      <c r="DH5">
        <v>2484.3435148111125</v>
      </c>
      <c r="DI5">
        <v>0</v>
      </c>
      <c r="DJ5">
        <v>238.39419924602169</v>
      </c>
      <c r="DK5">
        <v>4.8085683362657576</v>
      </c>
      <c r="DL5">
        <v>0</v>
      </c>
      <c r="DN5">
        <v>0.5573070536356951</v>
      </c>
      <c r="DO5">
        <v>0.54085920546478916</v>
      </c>
      <c r="DP5">
        <v>1.821245975561961</v>
      </c>
      <c r="DQ5">
        <v>0.63180024609561813</v>
      </c>
      <c r="DR5">
        <v>0.73593416842221893</v>
      </c>
      <c r="DV5">
        <v>240.63197774280096</v>
      </c>
      <c r="DW5">
        <v>217.95719976061432</v>
      </c>
      <c r="DX5">
        <v>183.19325126674624</v>
      </c>
      <c r="DY5">
        <v>6.2852316353413365E-3</v>
      </c>
      <c r="DZ5">
        <v>30.762986736772852</v>
      </c>
      <c r="EA5">
        <v>3.9946765254599121</v>
      </c>
      <c r="EB5">
        <v>22.674777982186651</v>
      </c>
      <c r="ED5">
        <v>121.46908481727461</v>
      </c>
      <c r="EE5">
        <v>99.081756326643827</v>
      </c>
      <c r="EF5">
        <v>1.1446952821340131E-2</v>
      </c>
      <c r="EG5">
        <v>19.436062590929328</v>
      </c>
      <c r="EH5">
        <v>2.939818946880099</v>
      </c>
      <c r="EJ5">
        <v>29.155114689811107</v>
      </c>
      <c r="EK5">
        <v>29.155114689811107</v>
      </c>
      <c r="EL5">
        <v>26.555487095034199</v>
      </c>
      <c r="EM5">
        <v>0</v>
      </c>
      <c r="EN5">
        <v>2.548228151166152</v>
      </c>
      <c r="EO5">
        <v>5.1399443610761743E-2</v>
      </c>
      <c r="EP5">
        <v>0</v>
      </c>
      <c r="ET5">
        <v>9226.2890415194088</v>
      </c>
      <c r="EU5">
        <v>8356.8948006611045</v>
      </c>
      <c r="EV5">
        <v>7023.9787018218012</v>
      </c>
      <c r="EW5">
        <v>0.24098777022288659</v>
      </c>
      <c r="EX5">
        <v>1179.5115930820446</v>
      </c>
      <c r="EY5">
        <v>153.16351798703627</v>
      </c>
      <c r="EZ5">
        <v>869.39424085830171</v>
      </c>
      <c r="FB5">
        <v>4657.3564188998998</v>
      </c>
      <c r="FC5">
        <v>3798.9835398689406</v>
      </c>
      <c r="FD5">
        <v>0.43889800667808271</v>
      </c>
      <c r="FE5">
        <v>745.21571478187036</v>
      </c>
      <c r="FF5">
        <v>112.71826624241108</v>
      </c>
      <c r="FH5">
        <v>1117.8627117230401</v>
      </c>
      <c r="FI5">
        <v>1117.8627117230401</v>
      </c>
      <c r="FJ5">
        <v>1018.1880308485062</v>
      </c>
      <c r="FK5">
        <v>0</v>
      </c>
      <c r="FL5">
        <v>97.70392816005895</v>
      </c>
      <c r="FM5">
        <v>1.9707527144752199</v>
      </c>
      <c r="FN5">
        <v>0</v>
      </c>
    </row>
    <row r="6" spans="1:170" x14ac:dyDescent="0.25">
      <c r="A6">
        <v>2001</v>
      </c>
      <c r="C6">
        <v>155422.45724631075</v>
      </c>
      <c r="D6">
        <v>8020946</v>
      </c>
      <c r="F6">
        <v>3332374</v>
      </c>
      <c r="G6">
        <v>314356.20875738136</v>
      </c>
      <c r="H6">
        <v>122522</v>
      </c>
      <c r="I6">
        <v>14065.162648320722</v>
      </c>
      <c r="K6">
        <v>3747.09</v>
      </c>
      <c r="L6">
        <v>3502.5647619047613</v>
      </c>
      <c r="M6">
        <v>1.0698131953917851</v>
      </c>
      <c r="Q6">
        <v>2.4069765278447135</v>
      </c>
      <c r="R6">
        <v>39.191911871415343</v>
      </c>
      <c r="S6">
        <v>94.334011955855303</v>
      </c>
      <c r="T6">
        <v>47.693459546925325</v>
      </c>
      <c r="U6">
        <v>114.79703766116062</v>
      </c>
      <c r="V6">
        <v>19377.073134055605</v>
      </c>
      <c r="W6">
        <v>46640.160212002243</v>
      </c>
      <c r="X6">
        <v>1.4084301978145726</v>
      </c>
      <c r="AB6">
        <v>6692.112123817712</v>
      </c>
      <c r="AC6">
        <v>201.42381771281163</v>
      </c>
      <c r="AD6">
        <v>1712.2250214961307</v>
      </c>
      <c r="AE6">
        <v>47.243680137575232</v>
      </c>
      <c r="AF6">
        <v>1664.9813413585557</v>
      </c>
      <c r="AG6">
        <v>1268.422184006879</v>
      </c>
      <c r="AH6">
        <v>1562.2671539122962</v>
      </c>
      <c r="AI6">
        <v>1523.5502149613071</v>
      </c>
      <c r="AJ6">
        <v>0</v>
      </c>
      <c r="AK6">
        <v>0</v>
      </c>
      <c r="AL6">
        <v>38.716938950988819</v>
      </c>
      <c r="AM6">
        <v>0</v>
      </c>
      <c r="AN6">
        <v>10.974380240985038</v>
      </c>
      <c r="AO6">
        <v>554.05081685296636</v>
      </c>
      <c r="AP6">
        <v>1393.7231298366287</v>
      </c>
      <c r="AR6">
        <v>6692.1121238177129</v>
      </c>
      <c r="AS6">
        <v>6075.1343020200511</v>
      </c>
      <c r="AT6">
        <v>5098.7996254810487</v>
      </c>
      <c r="AU6">
        <v>0.21072226923741927</v>
      </c>
      <c r="AV6">
        <v>852.69455138572187</v>
      </c>
      <c r="AW6">
        <v>123.42940288404333</v>
      </c>
      <c r="AX6">
        <v>616.97782179766193</v>
      </c>
      <c r="AZ6">
        <v>1</v>
      </c>
      <c r="BA6">
        <v>0.90780521748854248</v>
      </c>
      <c r="BB6">
        <v>0.76191186446713144</v>
      </c>
      <c r="BC6">
        <v>3.148815580770732E-5</v>
      </c>
      <c r="BD6">
        <v>0.12741785188429824</v>
      </c>
      <c r="BE6">
        <v>1.8444012981305127E-2</v>
      </c>
      <c r="BF6">
        <v>9.219478251145749E-2</v>
      </c>
      <c r="BJ6">
        <v>9147.9012836466682</v>
      </c>
      <c r="BK6">
        <v>846.75779280666563</v>
      </c>
      <c r="BL6">
        <v>5321.8800608400006</v>
      </c>
      <c r="BM6">
        <v>124.81169903999999</v>
      </c>
      <c r="BN6">
        <v>5197.0683618000003</v>
      </c>
      <c r="BO6">
        <v>2979.2634300000009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9147.9012836466663</v>
      </c>
      <c r="CA6">
        <v>9147.9012836466663</v>
      </c>
      <c r="CB6">
        <v>8327.1955292708808</v>
      </c>
      <c r="CC6">
        <v>0</v>
      </c>
      <c r="CD6">
        <v>801.57315342487061</v>
      </c>
      <c r="CE6">
        <v>19.132600950916032</v>
      </c>
      <c r="CF6">
        <v>0</v>
      </c>
      <c r="CH6">
        <v>1</v>
      </c>
      <c r="CI6">
        <v>1</v>
      </c>
      <c r="CJ6">
        <v>0.91028480424871572</v>
      </c>
      <c r="CK6">
        <v>0</v>
      </c>
      <c r="CL6">
        <v>8.7623721394743351E-2</v>
      </c>
      <c r="CM6">
        <v>2.0914743565410582E-3</v>
      </c>
      <c r="CN6">
        <v>0</v>
      </c>
      <c r="CR6">
        <v>23355.500913162807</v>
      </c>
      <c r="CS6">
        <v>21202.245586027617</v>
      </c>
      <c r="CT6">
        <v>17794.833246311668</v>
      </c>
      <c r="CU6">
        <v>0.73542165172072116</v>
      </c>
      <c r="CV6">
        <v>2975.907756036971</v>
      </c>
      <c r="CW6">
        <v>430.76916202725863</v>
      </c>
      <c r="CX6">
        <v>2153.2553271351921</v>
      </c>
      <c r="CZ6">
        <v>12035.414776730142</v>
      </c>
      <c r="DA6">
        <v>9818.1565482975129</v>
      </c>
      <c r="DB6">
        <v>1.4583676308203242</v>
      </c>
      <c r="DC6">
        <v>1897.9959323410733</v>
      </c>
      <c r="DD6">
        <v>317.80392846073499</v>
      </c>
      <c r="DF6">
        <v>2745.1604422692849</v>
      </c>
      <c r="DG6">
        <v>2745.1604422692849</v>
      </c>
      <c r="DH6">
        <v>2498.877835822414</v>
      </c>
      <c r="DI6">
        <v>0</v>
      </c>
      <c r="DJ6">
        <v>240.54117377727428</v>
      </c>
      <c r="DK6">
        <v>5.7414326695971196</v>
      </c>
      <c r="DL6">
        <v>0</v>
      </c>
      <c r="DN6">
        <v>0.56764811670050364</v>
      </c>
      <c r="DO6">
        <v>0.55174198107939676</v>
      </c>
      <c r="DP6">
        <v>1.9830360275742116</v>
      </c>
      <c r="DQ6">
        <v>0.63778721920757464</v>
      </c>
      <c r="DR6">
        <v>0.73775923737229987</v>
      </c>
      <c r="DV6">
        <v>247.58303425165769</v>
      </c>
      <c r="DW6">
        <v>224.75717025529937</v>
      </c>
      <c r="DX6">
        <v>188.63645123711015</v>
      </c>
      <c r="DY6">
        <v>7.7959331578611362E-3</v>
      </c>
      <c r="DZ6">
        <v>31.546498387342854</v>
      </c>
      <c r="EA6">
        <v>4.566424697688487</v>
      </c>
      <c r="EB6">
        <v>22.825863996358311</v>
      </c>
      <c r="ED6">
        <v>127.58298441035514</v>
      </c>
      <c r="EE6">
        <v>104.0786493093502</v>
      </c>
      <c r="EF6">
        <v>1.5459616320599024E-2</v>
      </c>
      <c r="EG6">
        <v>20.119953482199637</v>
      </c>
      <c r="EH6">
        <v>3.3689220024846929</v>
      </c>
      <c r="EJ6">
        <v>29.100431385807216</v>
      </c>
      <c r="EK6">
        <v>29.100431385807216</v>
      </c>
      <c r="EL6">
        <v>26.489680487582707</v>
      </c>
      <c r="EM6">
        <v>0</v>
      </c>
      <c r="EN6">
        <v>2.549888092216817</v>
      </c>
      <c r="EO6">
        <v>6.0862806007698368E-2</v>
      </c>
      <c r="EP6">
        <v>0</v>
      </c>
      <c r="ET6">
        <v>9703.2524592485734</v>
      </c>
      <c r="EU6">
        <v>8808.6632091143856</v>
      </c>
      <c r="EV6">
        <v>7393.0231726213597</v>
      </c>
      <c r="EW6">
        <v>0.30553752527833833</v>
      </c>
      <c r="EX6">
        <v>1236.3675846484873</v>
      </c>
      <c r="EY6">
        <v>178.9669143192616</v>
      </c>
      <c r="EZ6">
        <v>894.5892501341873</v>
      </c>
      <c r="FB6">
        <v>5000.2210813027959</v>
      </c>
      <c r="FC6">
        <v>4079.041251427996</v>
      </c>
      <c r="FD6">
        <v>0.60589192040281126</v>
      </c>
      <c r="FE6">
        <v>788.53944373134436</v>
      </c>
      <c r="FF6">
        <v>132.03449422305218</v>
      </c>
      <c r="FH6">
        <v>1140.5015422927254</v>
      </c>
      <c r="FI6">
        <v>1140.5015422927254</v>
      </c>
      <c r="FJ6">
        <v>1038.181223171292</v>
      </c>
      <c r="FK6">
        <v>0</v>
      </c>
      <c r="FL6">
        <v>99.934989392132877</v>
      </c>
      <c r="FM6">
        <v>2.3853297293007625</v>
      </c>
      <c r="FN6">
        <v>0</v>
      </c>
    </row>
    <row r="7" spans="1:170" x14ac:dyDescent="0.25">
      <c r="A7">
        <v>2002</v>
      </c>
      <c r="C7">
        <v>156481.68916044704</v>
      </c>
      <c r="D7">
        <v>8063640</v>
      </c>
      <c r="F7">
        <v>3396664</v>
      </c>
      <c r="G7">
        <v>321901.95135835203</v>
      </c>
      <c r="H7">
        <v>135192</v>
      </c>
      <c r="I7">
        <v>14178.832148783024</v>
      </c>
      <c r="K7">
        <v>3480.79</v>
      </c>
      <c r="L7">
        <v>3502.5647619047613</v>
      </c>
      <c r="M7">
        <v>0.99378319506277457</v>
      </c>
      <c r="Q7">
        <v>2.3739881248189398</v>
      </c>
      <c r="R7">
        <v>39.920178896670983</v>
      </c>
      <c r="S7">
        <v>94.770030641344562</v>
      </c>
      <c r="T7">
        <v>44.178495935496649</v>
      </c>
      <c r="U7">
        <v>104.87922472323085</v>
      </c>
      <c r="V7">
        <v>19405.837706103826</v>
      </c>
      <c r="W7">
        <v>46069.228266454098</v>
      </c>
      <c r="X7">
        <v>1.3848807045811928</v>
      </c>
      <c r="AB7">
        <v>6435.813671539122</v>
      </c>
      <c r="AC7">
        <v>160.85348237317282</v>
      </c>
      <c r="AD7">
        <v>1657.041960447119</v>
      </c>
      <c r="AE7">
        <v>42.848925193465178</v>
      </c>
      <c r="AF7">
        <v>1614.1930352536538</v>
      </c>
      <c r="AG7">
        <v>1185.941530524505</v>
      </c>
      <c r="AH7">
        <v>1467.6841788478075</v>
      </c>
      <c r="AI7">
        <v>1426.722098022356</v>
      </c>
      <c r="AJ7">
        <v>0</v>
      </c>
      <c r="AK7">
        <v>0</v>
      </c>
      <c r="AL7">
        <v>40.962080825451423</v>
      </c>
      <c r="AM7">
        <v>0</v>
      </c>
      <c r="AN7">
        <v>17.327301550947382</v>
      </c>
      <c r="AO7">
        <v>525.77145313843505</v>
      </c>
      <c r="AP7">
        <v>1438.5210662080819</v>
      </c>
      <c r="AR7">
        <v>6435.8136715391211</v>
      </c>
      <c r="AS7">
        <v>5799.7078657985567</v>
      </c>
      <c r="AT7">
        <v>4771.3033927975075</v>
      </c>
      <c r="AU7">
        <v>0.24305111034988025</v>
      </c>
      <c r="AV7">
        <v>896.8496918654115</v>
      </c>
      <c r="AW7">
        <v>131.31173002528723</v>
      </c>
      <c r="AX7">
        <v>636.10580574056416</v>
      </c>
      <c r="AZ7">
        <v>1</v>
      </c>
      <c r="BA7">
        <v>0.90116155653268937</v>
      </c>
      <c r="BB7">
        <v>0.74136754671712757</v>
      </c>
      <c r="BC7">
        <v>3.7765405083853947E-5</v>
      </c>
      <c r="BD7">
        <v>0.13935296104539496</v>
      </c>
      <c r="BE7">
        <v>2.0403283365082896E-2</v>
      </c>
      <c r="BF7">
        <v>9.8838443467310619E-2</v>
      </c>
      <c r="BJ7">
        <v>8609.8007619072214</v>
      </c>
      <c r="BK7">
        <v>676.74538206722377</v>
      </c>
      <c r="BL7">
        <v>5147.5220798399987</v>
      </c>
      <c r="BM7">
        <v>113.20132428000002</v>
      </c>
      <c r="BN7">
        <v>5034.3207555599984</v>
      </c>
      <c r="BO7">
        <v>2785.5332999999987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8609.8007619072196</v>
      </c>
      <c r="CA7">
        <v>8609.8007619072196</v>
      </c>
      <c r="CB7">
        <v>7742.6307404124227</v>
      </c>
      <c r="CC7">
        <v>0</v>
      </c>
      <c r="CD7">
        <v>847.25732535114867</v>
      </c>
      <c r="CE7">
        <v>19.912696143648553</v>
      </c>
      <c r="CF7">
        <v>0</v>
      </c>
      <c r="CH7">
        <v>1</v>
      </c>
      <c r="CI7">
        <v>1</v>
      </c>
      <c r="CJ7">
        <v>0.89928105824103832</v>
      </c>
      <c r="CK7">
        <v>0</v>
      </c>
      <c r="CL7">
        <v>9.8406147689237181E-2</v>
      </c>
      <c r="CM7">
        <v>2.3127940697245061E-3</v>
      </c>
      <c r="CN7">
        <v>0</v>
      </c>
      <c r="CR7">
        <v>22035.889625821095</v>
      </c>
      <c r="CS7">
        <v>19857.896594787479</v>
      </c>
      <c r="CT7">
        <v>16336.693431624384</v>
      </c>
      <c r="CU7">
        <v>0.83219429810222845</v>
      </c>
      <c r="CV7">
        <v>3070.7664686276703</v>
      </c>
      <c r="CW7">
        <v>449.60450023731835</v>
      </c>
      <c r="CX7">
        <v>2177.9930310336144</v>
      </c>
      <c r="CZ7">
        <v>11469.068652387465</v>
      </c>
      <c r="DA7">
        <v>9161.0115938881099</v>
      </c>
      <c r="DB7">
        <v>1.7476989559726386</v>
      </c>
      <c r="DC7">
        <v>1973.4155916818863</v>
      </c>
      <c r="DD7">
        <v>332.89376786149256</v>
      </c>
      <c r="DF7">
        <v>2534.7814096146162</v>
      </c>
      <c r="DG7">
        <v>2534.7814096146162</v>
      </c>
      <c r="DH7">
        <v>2279.480908447943</v>
      </c>
      <c r="DI7">
        <v>0</v>
      </c>
      <c r="DJ7">
        <v>249.43807375446872</v>
      </c>
      <c r="DK7">
        <v>5.8624274122046085</v>
      </c>
      <c r="DL7">
        <v>0</v>
      </c>
      <c r="DN7">
        <v>0.57755707396512435</v>
      </c>
      <c r="DO7">
        <v>0.56076290053618372</v>
      </c>
      <c r="DP7">
        <v>2.1001092652979794</v>
      </c>
      <c r="DQ7">
        <v>0.64264593606944287</v>
      </c>
      <c r="DR7">
        <v>0.74041467041761955</v>
      </c>
      <c r="DV7">
        <v>232.51960009610545</v>
      </c>
      <c r="DW7">
        <v>209.53772474696481</v>
      </c>
      <c r="DX7">
        <v>172.38248548689722</v>
      </c>
      <c r="DY7">
        <v>8.7811968875651462E-3</v>
      </c>
      <c r="DZ7">
        <v>32.402294774483394</v>
      </c>
      <c r="EA7">
        <v>4.7441632886965959</v>
      </c>
      <c r="EB7">
        <v>22.981875349140584</v>
      </c>
      <c r="ED7">
        <v>121.01999519016664</v>
      </c>
      <c r="EE7">
        <v>96.665702563269079</v>
      </c>
      <c r="EF7">
        <v>1.8441472943981341E-2</v>
      </c>
      <c r="EG7">
        <v>20.8232030561459</v>
      </c>
      <c r="EH7">
        <v>3.5126480978076593</v>
      </c>
      <c r="EJ7">
        <v>26.746656009930497</v>
      </c>
      <c r="EK7">
        <v>26.746656009930497</v>
      </c>
      <c r="EL7">
        <v>24.05276112101933</v>
      </c>
      <c r="EM7">
        <v>0</v>
      </c>
      <c r="EN7">
        <v>2.6320353815064439</v>
      </c>
      <c r="EO7">
        <v>6.1859507404728585E-2</v>
      </c>
      <c r="EP7">
        <v>0</v>
      </c>
      <c r="ET7">
        <v>9282.2240328189237</v>
      </c>
      <c r="EU7">
        <v>8364.783457500238</v>
      </c>
      <c r="EV7">
        <v>6881.5396592897268</v>
      </c>
      <c r="EW7">
        <v>0.35054695067849106</v>
      </c>
      <c r="EX7">
        <v>1293.5054040600446</v>
      </c>
      <c r="EY7">
        <v>189.38784719978705</v>
      </c>
      <c r="EZ7">
        <v>917.44057531868509</v>
      </c>
      <c r="FB7">
        <v>4831.1398580657133</v>
      </c>
      <c r="FC7">
        <v>3858.912139498088</v>
      </c>
      <c r="FD7">
        <v>0.73618689904185275</v>
      </c>
      <c r="FE7">
        <v>831.26599120305025</v>
      </c>
      <c r="FF7">
        <v>140.22554046553279</v>
      </c>
      <c r="FH7">
        <v>1067.7312928041456</v>
      </c>
      <c r="FI7">
        <v>1067.7312928041456</v>
      </c>
      <c r="FJ7">
        <v>960.19052690998399</v>
      </c>
      <c r="FK7">
        <v>0</v>
      </c>
      <c r="FL7">
        <v>105.07132329210492</v>
      </c>
      <c r="FM7">
        <v>2.4694426020567084</v>
      </c>
      <c r="FN7">
        <v>0</v>
      </c>
    </row>
    <row r="8" spans="1:170" x14ac:dyDescent="0.25">
      <c r="A8">
        <v>2003</v>
      </c>
      <c r="C8">
        <v>159208.6486211975</v>
      </c>
      <c r="D8">
        <v>8100273</v>
      </c>
      <c r="F8">
        <v>3460177</v>
      </c>
      <c r="G8">
        <v>331671.80196702102</v>
      </c>
      <c r="H8">
        <v>135782</v>
      </c>
      <c r="I8">
        <v>16530.827006102772</v>
      </c>
      <c r="K8">
        <v>3703.61</v>
      </c>
      <c r="L8">
        <v>3502.5647619047613</v>
      </c>
      <c r="M8">
        <v>1.0573994349174878</v>
      </c>
      <c r="Q8">
        <v>2.3409996078235302</v>
      </c>
      <c r="R8">
        <v>40.945756021682364</v>
      </c>
      <c r="S8">
        <v>95.85399878879636</v>
      </c>
      <c r="T8">
        <v>52.005711064925187</v>
      </c>
      <c r="U8">
        <v>121.7453492075737</v>
      </c>
      <c r="V8">
        <v>19654.726281595387</v>
      </c>
      <c r="W8">
        <v>46011.70651709364</v>
      </c>
      <c r="X8">
        <v>1.3755531638400649</v>
      </c>
      <c r="AB8">
        <v>6562.5251934651751</v>
      </c>
      <c r="AC8">
        <v>134.18065348237317</v>
      </c>
      <c r="AD8">
        <v>1666.8130696474634</v>
      </c>
      <c r="AE8">
        <v>37.355460017196897</v>
      </c>
      <c r="AF8">
        <v>1629.4576096302665</v>
      </c>
      <c r="AG8">
        <v>1252.837489251935</v>
      </c>
      <c r="AH8">
        <v>1457.0077386070507</v>
      </c>
      <c r="AI8">
        <v>1411.8419604471194</v>
      </c>
      <c r="AJ8">
        <v>0</v>
      </c>
      <c r="AK8">
        <v>0</v>
      </c>
      <c r="AL8">
        <v>45.165778159931207</v>
      </c>
      <c r="AM8">
        <v>0</v>
      </c>
      <c r="AN8">
        <v>26.476463109173999</v>
      </c>
      <c r="AO8">
        <v>566.30361134995701</v>
      </c>
      <c r="AP8">
        <v>1485.382631126397</v>
      </c>
      <c r="AR8">
        <v>6562.5251934651769</v>
      </c>
      <c r="AS8">
        <v>5910.7883029766608</v>
      </c>
      <c r="AT8">
        <v>4857.4522251318685</v>
      </c>
      <c r="AU8">
        <v>0.46172366930202602</v>
      </c>
      <c r="AV8">
        <v>919.81428759648782</v>
      </c>
      <c r="AW8">
        <v>133.06006657900255</v>
      </c>
      <c r="AX8">
        <v>651.73689048851577</v>
      </c>
      <c r="AZ8">
        <v>1</v>
      </c>
      <c r="BA8">
        <v>0.90068809318438858</v>
      </c>
      <c r="BB8">
        <v>0.74018035465506726</v>
      </c>
      <c r="BC8">
        <v>7.0357622361861649E-5</v>
      </c>
      <c r="BD8">
        <v>0.1401616390764365</v>
      </c>
      <c r="BE8">
        <v>2.0275741830522942E-2</v>
      </c>
      <c r="BF8">
        <v>9.9311906815611389E-2</v>
      </c>
      <c r="BJ8">
        <v>8689.8438420678431</v>
      </c>
      <c r="BK8">
        <v>563.15685342784013</v>
      </c>
      <c r="BL8">
        <v>5184.0288086400005</v>
      </c>
      <c r="BM8">
        <v>98.688299040000004</v>
      </c>
      <c r="BN8">
        <v>5085.3405096000006</v>
      </c>
      <c r="BO8">
        <v>2942.6581800000013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8689.8438420678431</v>
      </c>
      <c r="CA8">
        <v>8689.8438420678431</v>
      </c>
      <c r="CB8">
        <v>7798.0999758336748</v>
      </c>
      <c r="CC8">
        <v>0</v>
      </c>
      <c r="CD8">
        <v>871.16765562512148</v>
      </c>
      <c r="CE8">
        <v>20.576210609045997</v>
      </c>
      <c r="CF8">
        <v>0</v>
      </c>
      <c r="CH8">
        <v>1</v>
      </c>
      <c r="CI8">
        <v>1</v>
      </c>
      <c r="CJ8">
        <v>0.89738091012439103</v>
      </c>
      <c r="CK8">
        <v>0</v>
      </c>
      <c r="CL8">
        <v>0.10025124403361171</v>
      </c>
      <c r="CM8">
        <v>2.3678458419972787E-3</v>
      </c>
      <c r="CN8">
        <v>0</v>
      </c>
      <c r="CR8">
        <v>22057.301692948084</v>
      </c>
      <c r="CS8">
        <v>19866.74900261419</v>
      </c>
      <c r="CT8">
        <v>16326.381389820128</v>
      </c>
      <c r="CU8">
        <v>1.5518993028340928</v>
      </c>
      <c r="CV8">
        <v>3091.5875588870604</v>
      </c>
      <c r="CW8">
        <v>447.22815460417195</v>
      </c>
      <c r="CX8">
        <v>2190.5526903338869</v>
      </c>
      <c r="CZ8">
        <v>11706.044842856174</v>
      </c>
      <c r="DA8">
        <v>9360.6789169162057</v>
      </c>
      <c r="DB8">
        <v>3.4615328812064057</v>
      </c>
      <c r="DC8">
        <v>2009.6523173871608</v>
      </c>
      <c r="DD8">
        <v>332.25207567160044</v>
      </c>
      <c r="DF8">
        <v>2511.3870885991792</v>
      </c>
      <c r="DG8">
        <v>2511.3870885991792</v>
      </c>
      <c r="DH8">
        <v>2253.6708312417763</v>
      </c>
      <c r="DI8">
        <v>0</v>
      </c>
      <c r="DJ8">
        <v>251.76967988201801</v>
      </c>
      <c r="DK8">
        <v>5.9465774753852179</v>
      </c>
      <c r="DL8">
        <v>0</v>
      </c>
      <c r="DN8">
        <v>0.58922800309783052</v>
      </c>
      <c r="DO8">
        <v>0.57334682397857029</v>
      </c>
      <c r="DP8">
        <v>2.2305138451218598</v>
      </c>
      <c r="DQ8">
        <v>0.65003894572231191</v>
      </c>
      <c r="DR8">
        <v>0.74291404119149584</v>
      </c>
      <c r="DV8">
        <v>230.11352652640915</v>
      </c>
      <c r="DW8">
        <v>207.26051342300664</v>
      </c>
      <c r="DX8">
        <v>170.32551167524576</v>
      </c>
      <c r="DY8">
        <v>1.6190240599701328E-2</v>
      </c>
      <c r="DZ8">
        <v>32.253089051600554</v>
      </c>
      <c r="EA8">
        <v>4.6657224555606645</v>
      </c>
      <c r="EB8">
        <v>22.853013103402461</v>
      </c>
      <c r="ED8">
        <v>122.12369844526928</v>
      </c>
      <c r="EE8">
        <v>97.655591161527042</v>
      </c>
      <c r="EF8">
        <v>3.6112555813487851E-2</v>
      </c>
      <c r="EG8">
        <v>20.965764003390262</v>
      </c>
      <c r="EH8">
        <v>3.4662307245384825</v>
      </c>
      <c r="EJ8">
        <v>26.200128532276903</v>
      </c>
      <c r="EK8">
        <v>26.200128532276903</v>
      </c>
      <c r="EL8">
        <v>23.511495187670675</v>
      </c>
      <c r="EM8">
        <v>0</v>
      </c>
      <c r="EN8">
        <v>2.6265954792012853</v>
      </c>
      <c r="EO8">
        <v>6.203786540494613E-2</v>
      </c>
      <c r="EP8">
        <v>0</v>
      </c>
      <c r="ET8">
        <v>9422.1723144392818</v>
      </c>
      <c r="EU8">
        <v>8486.4384155470525</v>
      </c>
      <c r="EV8">
        <v>6974.1068453228236</v>
      </c>
      <c r="EW8">
        <v>0.66292164152770694</v>
      </c>
      <c r="EX8">
        <v>1320.6271152524307</v>
      </c>
      <c r="EY8">
        <v>191.04153333027168</v>
      </c>
      <c r="EZ8">
        <v>935.73389889222722</v>
      </c>
      <c r="FB8">
        <v>5000.4471610055061</v>
      </c>
      <c r="FC8">
        <v>3998.5820098530462</v>
      </c>
      <c r="FD8">
        <v>1.4786558996584609</v>
      </c>
      <c r="FE8">
        <v>858.45905769098817</v>
      </c>
      <c r="FF8">
        <v>141.92743756181198</v>
      </c>
      <c r="FH8">
        <v>1072.7840706193288</v>
      </c>
      <c r="FI8">
        <v>1072.7840706193288</v>
      </c>
      <c r="FJ8">
        <v>962.69594565932243</v>
      </c>
      <c r="FK8">
        <v>0</v>
      </c>
      <c r="FL8">
        <v>107.54793765902969</v>
      </c>
      <c r="FM8">
        <v>2.5401873009768927</v>
      </c>
      <c r="FN8">
        <v>0</v>
      </c>
    </row>
    <row r="9" spans="1:170" x14ac:dyDescent="0.25">
      <c r="A9">
        <v>2004</v>
      </c>
      <c r="C9">
        <v>162904.19199041545</v>
      </c>
      <c r="D9">
        <v>8142573</v>
      </c>
      <c r="F9">
        <v>3478246</v>
      </c>
      <c r="G9">
        <v>335305.79317211633</v>
      </c>
      <c r="H9">
        <v>91690</v>
      </c>
      <c r="I9">
        <v>10521.451158262964</v>
      </c>
      <c r="K9">
        <v>3737.74</v>
      </c>
      <c r="L9">
        <v>3502.5647619047613</v>
      </c>
      <c r="M9">
        <v>1.0671437229806839</v>
      </c>
      <c r="Q9">
        <v>2.3409997452739111</v>
      </c>
      <c r="R9">
        <v>41.179341366926195</v>
      </c>
      <c r="S9">
        <v>96.400827650521649</v>
      </c>
      <c r="T9">
        <v>49.017629436365446</v>
      </c>
      <c r="U9">
        <v>114.75025802446247</v>
      </c>
      <c r="V9">
        <v>20006.476084453334</v>
      </c>
      <c r="W9">
        <v>46835.155417533846</v>
      </c>
      <c r="X9">
        <v>1.3831232856948188</v>
      </c>
      <c r="AB9">
        <v>6431.3320722269991</v>
      </c>
      <c r="AC9">
        <v>129.37824591573516</v>
      </c>
      <c r="AD9">
        <v>1590.0950988822005</v>
      </c>
      <c r="AE9">
        <v>37.355460017196897</v>
      </c>
      <c r="AF9">
        <v>1552.7396388650036</v>
      </c>
      <c r="AG9">
        <v>1222.7644024075671</v>
      </c>
      <c r="AH9">
        <v>1408.3787618228721</v>
      </c>
      <c r="AI9">
        <v>1358.7226999140155</v>
      </c>
      <c r="AJ9">
        <v>0</v>
      </c>
      <c r="AK9">
        <v>0</v>
      </c>
      <c r="AL9">
        <v>49.656061908856401</v>
      </c>
      <c r="AM9">
        <v>0</v>
      </c>
      <c r="AN9">
        <v>32.442643669741507</v>
      </c>
      <c r="AO9">
        <v>608.74651762682709</v>
      </c>
      <c r="AP9">
        <v>1471.9690455717971</v>
      </c>
      <c r="AR9">
        <v>6431.332072227</v>
      </c>
      <c r="AS9">
        <v>5765.4979189580927</v>
      </c>
      <c r="AT9">
        <v>4703.6687775804294</v>
      </c>
      <c r="AU9">
        <v>0.30642757343327437</v>
      </c>
      <c r="AV9">
        <v>919.95915682683506</v>
      </c>
      <c r="AW9">
        <v>141.56355697739505</v>
      </c>
      <c r="AX9">
        <v>665.83415326890736</v>
      </c>
      <c r="AZ9">
        <v>1</v>
      </c>
      <c r="BA9">
        <v>0.89647025751566478</v>
      </c>
      <c r="BB9">
        <v>0.73136773607021566</v>
      </c>
      <c r="BC9">
        <v>4.7646050614700512E-5</v>
      </c>
      <c r="BD9">
        <v>0.14304333013678106</v>
      </c>
      <c r="BE9">
        <v>2.2011545258053412E-2</v>
      </c>
      <c r="BF9">
        <v>0.10352974248433523</v>
      </c>
      <c r="BJ9">
        <v>8359.5580346975476</v>
      </c>
      <c r="BK9">
        <v>543.07816193754832</v>
      </c>
      <c r="BL9">
        <v>4944.4572027599979</v>
      </c>
      <c r="BM9">
        <v>98.688299040000004</v>
      </c>
      <c r="BN9">
        <v>4845.768903719998</v>
      </c>
      <c r="BO9">
        <v>2872.0226700000017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8359.5580346975476</v>
      </c>
      <c r="CA9">
        <v>8359.5580346975476</v>
      </c>
      <c r="CB9">
        <v>7473.5641154493742</v>
      </c>
      <c r="CC9">
        <v>0</v>
      </c>
      <c r="CD9">
        <v>863.84030660958933</v>
      </c>
      <c r="CE9">
        <v>22.15361263858421</v>
      </c>
      <c r="CF9">
        <v>0</v>
      </c>
      <c r="CH9">
        <v>1</v>
      </c>
      <c r="CI9">
        <v>1</v>
      </c>
      <c r="CJ9">
        <v>0.89401426300640208</v>
      </c>
      <c r="CK9">
        <v>0</v>
      </c>
      <c r="CL9">
        <v>0.10333564322708161</v>
      </c>
      <c r="CM9">
        <v>2.6500937665164181E-3</v>
      </c>
      <c r="CN9">
        <v>0</v>
      </c>
      <c r="CR9">
        <v>21504.054629833547</v>
      </c>
      <c r="CS9">
        <v>19277.745391637804</v>
      </c>
      <c r="CT9">
        <v>15727.371750951595</v>
      </c>
      <c r="CU9">
        <v>1.024583275314334</v>
      </c>
      <c r="CV9">
        <v>3076.011585694655</v>
      </c>
      <c r="CW9">
        <v>473.33747171623406</v>
      </c>
      <c r="CX9">
        <v>2226.3092381957435</v>
      </c>
      <c r="CZ9">
        <v>11588.203624678546</v>
      </c>
      <c r="DA9">
        <v>9205.8264365764608</v>
      </c>
      <c r="DB9">
        <v>2.396126303753797</v>
      </c>
      <c r="DC9">
        <v>2027.145156380607</v>
      </c>
      <c r="DD9">
        <v>352.83590541772446</v>
      </c>
      <c r="DF9">
        <v>2403.3832094387653</v>
      </c>
      <c r="DG9">
        <v>2403.3832094387653</v>
      </c>
      <c r="DH9">
        <v>2148.658868708359</v>
      </c>
      <c r="DI9">
        <v>0</v>
      </c>
      <c r="DJ9">
        <v>248.3551498685226</v>
      </c>
      <c r="DK9">
        <v>6.3691908618838955</v>
      </c>
      <c r="DL9">
        <v>0</v>
      </c>
      <c r="DN9">
        <v>0.60111820076766942</v>
      </c>
      <c r="DO9">
        <v>0.58533787986663788</v>
      </c>
      <c r="DP9">
        <v>2.3386349957924937</v>
      </c>
      <c r="DQ9">
        <v>0.65901739961191252</v>
      </c>
      <c r="DR9">
        <v>0.74542145192605758</v>
      </c>
      <c r="DV9">
        <v>223.06919093881015</v>
      </c>
      <c r="DW9">
        <v>199.97489504472617</v>
      </c>
      <c r="DX9">
        <v>163.14560916393225</v>
      </c>
      <c r="DY9">
        <v>1.0628365962050842E-2</v>
      </c>
      <c r="DZ9">
        <v>31.908559922804873</v>
      </c>
      <c r="EA9">
        <v>4.9100975920269789</v>
      </c>
      <c r="EB9">
        <v>23.094295894084024</v>
      </c>
      <c r="ED9">
        <v>120.20854910798931</v>
      </c>
      <c r="EE9">
        <v>95.495304977567244</v>
      </c>
      <c r="EF9">
        <v>2.4855868586941856E-2</v>
      </c>
      <c r="EG9">
        <v>21.028296185687751</v>
      </c>
      <c r="EH9">
        <v>3.6600920761473894</v>
      </c>
      <c r="EJ9">
        <v>24.931147045248007</v>
      </c>
      <c r="EK9">
        <v>24.931147045248007</v>
      </c>
      <c r="EL9">
        <v>22.288801051561641</v>
      </c>
      <c r="EM9">
        <v>0</v>
      </c>
      <c r="EN9">
        <v>2.5762761163096579</v>
      </c>
      <c r="EO9">
        <v>6.6069877376715963E-2</v>
      </c>
      <c r="EP9">
        <v>0</v>
      </c>
      <c r="ET9">
        <v>9185.8423621133043</v>
      </c>
      <c r="EU9">
        <v>8234.834467862016</v>
      </c>
      <c r="EV9">
        <v>6718.2287322766879</v>
      </c>
      <c r="EW9">
        <v>0.43766911012391058</v>
      </c>
      <c r="EX9">
        <v>1313.973481588202</v>
      </c>
      <c r="EY9">
        <v>202.19458488700124</v>
      </c>
      <c r="EZ9">
        <v>951.00789425128789</v>
      </c>
      <c r="FB9">
        <v>4950.1088789408032</v>
      </c>
      <c r="FC9">
        <v>3932.4337626099673</v>
      </c>
      <c r="FD9">
        <v>1.023548297513136</v>
      </c>
      <c r="FE9">
        <v>865.93138699526799</v>
      </c>
      <c r="FF9">
        <v>150.72018103805499</v>
      </c>
      <c r="FH9">
        <v>1026.648214845301</v>
      </c>
      <c r="FI9">
        <v>1026.648214845301</v>
      </c>
      <c r="FJ9">
        <v>917.83814716176016</v>
      </c>
      <c r="FK9">
        <v>0</v>
      </c>
      <c r="FL9">
        <v>106.08935364897424</v>
      </c>
      <c r="FM9">
        <v>2.7207140345667411</v>
      </c>
      <c r="FN9">
        <v>0</v>
      </c>
    </row>
    <row r="10" spans="1:170" x14ac:dyDescent="0.25">
      <c r="A10">
        <v>2005</v>
      </c>
      <c r="C10">
        <v>166567.69697486568</v>
      </c>
      <c r="D10">
        <v>8201359</v>
      </c>
      <c r="F10">
        <v>3519897</v>
      </c>
      <c r="G10">
        <v>340930.49435408867</v>
      </c>
      <c r="H10">
        <v>115656</v>
      </c>
      <c r="I10">
        <v>12548.08545866207</v>
      </c>
      <c r="K10">
        <v>3853.61</v>
      </c>
      <c r="L10">
        <v>3502.5647619047613</v>
      </c>
      <c r="M10">
        <v>1.1002251955233897</v>
      </c>
      <c r="Q10">
        <v>2.3299997130597854</v>
      </c>
      <c r="R10">
        <v>41.570000088288865</v>
      </c>
      <c r="S10">
        <v>96.858088277608317</v>
      </c>
      <c r="T10">
        <v>46.56433791656697</v>
      </c>
      <c r="U10">
        <v>108.49489398441992</v>
      </c>
      <c r="V10">
        <v>20309.767804929121</v>
      </c>
      <c r="W10">
        <v>47321.75315779572</v>
      </c>
      <c r="X10">
        <v>1.3760078310532589</v>
      </c>
      <c r="AB10">
        <v>6538.4839208942376</v>
      </c>
      <c r="AC10">
        <v>93.803955288048158</v>
      </c>
      <c r="AD10">
        <v>1523.9321582115215</v>
      </c>
      <c r="AE10">
        <v>47.390971625107483</v>
      </c>
      <c r="AF10">
        <v>1476.5411865864139</v>
      </c>
      <c r="AG10">
        <v>1569.522699914015</v>
      </c>
      <c r="AH10">
        <v>1502.2343938091144</v>
      </c>
      <c r="AI10">
        <v>1405.9515047291488</v>
      </c>
      <c r="AJ10">
        <v>0</v>
      </c>
      <c r="AK10">
        <v>0</v>
      </c>
      <c r="AL10">
        <v>55.045141874462587</v>
      </c>
      <c r="AM10">
        <v>0</v>
      </c>
      <c r="AN10">
        <v>41.237747205502998</v>
      </c>
      <c r="AO10">
        <v>478.56199484092872</v>
      </c>
      <c r="AP10">
        <v>1411.666466036113</v>
      </c>
      <c r="AR10">
        <v>6538.4839208942376</v>
      </c>
      <c r="AS10">
        <v>5857.9776467652264</v>
      </c>
      <c r="AT10">
        <v>4878.6136232367444</v>
      </c>
      <c r="AU10">
        <v>0.35066675477744902</v>
      </c>
      <c r="AV10">
        <v>861.74873859680997</v>
      </c>
      <c r="AW10">
        <v>117.26461817689476</v>
      </c>
      <c r="AX10">
        <v>680.50627412901122</v>
      </c>
      <c r="AZ10">
        <v>1</v>
      </c>
      <c r="BA10">
        <v>0.89592292611527269</v>
      </c>
      <c r="BB10">
        <v>0.74613835290574815</v>
      </c>
      <c r="BC10">
        <v>5.3631202434690696E-5</v>
      </c>
      <c r="BD10">
        <v>0.13179641473813591</v>
      </c>
      <c r="BE10">
        <v>1.7934527268953965E-2</v>
      </c>
      <c r="BF10">
        <v>0.10407707388472733</v>
      </c>
      <c r="BJ10">
        <v>8798.0330343158657</v>
      </c>
      <c r="BK10">
        <v>390.38662111586802</v>
      </c>
      <c r="BL10">
        <v>4721.1596571599985</v>
      </c>
      <c r="BM10">
        <v>125.20082412000002</v>
      </c>
      <c r="BN10">
        <v>4595.9588330399984</v>
      </c>
      <c r="BO10">
        <v>3686.4867560399994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8798.0330343158676</v>
      </c>
      <c r="CA10">
        <v>8798.0330343158676</v>
      </c>
      <c r="CB10">
        <v>7921.0587603498861</v>
      </c>
      <c r="CC10">
        <v>0</v>
      </c>
      <c r="CD10">
        <v>854.42201525743167</v>
      </c>
      <c r="CE10">
        <v>22.552258708550298</v>
      </c>
      <c r="CF10">
        <v>0</v>
      </c>
      <c r="CH10">
        <v>1</v>
      </c>
      <c r="CI10">
        <v>1</v>
      </c>
      <c r="CJ10">
        <v>0.90032155249412804</v>
      </c>
      <c r="CK10">
        <v>0</v>
      </c>
      <c r="CL10">
        <v>9.7115117882013186E-2</v>
      </c>
      <c r="CM10">
        <v>2.5633296238588119E-3</v>
      </c>
      <c r="CN10">
        <v>0</v>
      </c>
      <c r="CR10">
        <v>21603.634424530032</v>
      </c>
      <c r="CS10">
        <v>19355.19136834958</v>
      </c>
      <c r="CT10">
        <v>16119.300206296755</v>
      </c>
      <c r="CU10">
        <v>1.1586288911470228</v>
      </c>
      <c r="CV10">
        <v>2847.2815624664304</v>
      </c>
      <c r="CW10">
        <v>387.45097069524638</v>
      </c>
      <c r="CX10">
        <v>2248.4430561804502</v>
      </c>
      <c r="CZ10">
        <v>11704.474352075322</v>
      </c>
      <c r="DA10">
        <v>9525.8313447624205</v>
      </c>
      <c r="DB10">
        <v>2.8328942431019</v>
      </c>
      <c r="DC10">
        <v>1886.8963674735237</v>
      </c>
      <c r="DD10">
        <v>288.91374559627491</v>
      </c>
      <c r="DF10">
        <v>2499.5143421287239</v>
      </c>
      <c r="DG10">
        <v>2499.5143421287239</v>
      </c>
      <c r="DH10">
        <v>2250.366632986671</v>
      </c>
      <c r="DI10">
        <v>0</v>
      </c>
      <c r="DJ10">
        <v>242.74062998361359</v>
      </c>
      <c r="DK10">
        <v>6.4070791584385258</v>
      </c>
      <c r="DL10">
        <v>0</v>
      </c>
      <c r="DN10">
        <v>0.6047201564338428</v>
      </c>
      <c r="DO10">
        <v>0.59095811994625558</v>
      </c>
      <c r="DP10">
        <v>2.4450402236193014</v>
      </c>
      <c r="DQ10">
        <v>0.66270101009575522</v>
      </c>
      <c r="DR10">
        <v>0.74567820820746644</v>
      </c>
      <c r="DV10">
        <v>223.04419598506951</v>
      </c>
      <c r="DW10">
        <v>199.83040871997181</v>
      </c>
      <c r="DX10">
        <v>166.42182901748663</v>
      </c>
      <c r="DY10">
        <v>1.1962128426758088E-2</v>
      </c>
      <c r="DZ10">
        <v>29.396425358982288</v>
      </c>
      <c r="EA10">
        <v>4.0001922150761411</v>
      </c>
      <c r="EB10">
        <v>23.213787265097679</v>
      </c>
      <c r="ED10">
        <v>120.84147602138007</v>
      </c>
      <c r="EE10">
        <v>98.348331194191076</v>
      </c>
      <c r="EF10">
        <v>2.9247885163523397E-2</v>
      </c>
      <c r="EG10">
        <v>19.481040778602036</v>
      </c>
      <c r="EH10">
        <v>2.9828561634234325</v>
      </c>
      <c r="EJ10">
        <v>25.805943381463191</v>
      </c>
      <c r="EK10">
        <v>25.805943381463191</v>
      </c>
      <c r="EL10">
        <v>23.233647008774504</v>
      </c>
      <c r="EM10">
        <v>0</v>
      </c>
      <c r="EN10">
        <v>2.5061472335473556</v>
      </c>
      <c r="EO10">
        <v>6.614913914132782E-2</v>
      </c>
      <c r="EP10">
        <v>0</v>
      </c>
      <c r="ET10">
        <v>9271.9472467916585</v>
      </c>
      <c r="EU10">
        <v>8306.9501081320286</v>
      </c>
      <c r="EV10">
        <v>6918.1554469501143</v>
      </c>
      <c r="EW10">
        <v>0.49726567975645647</v>
      </c>
      <c r="EX10">
        <v>1222.009404768271</v>
      </c>
      <c r="EY10">
        <v>166.28799073388765</v>
      </c>
      <c r="EZ10">
        <v>964.9971386596294</v>
      </c>
      <c r="FB10">
        <v>5023.3801688777276</v>
      </c>
      <c r="FC10">
        <v>4088.3401364255865</v>
      </c>
      <c r="FD10">
        <v>1.2158345888299305</v>
      </c>
      <c r="FE10">
        <v>809.82686688644571</v>
      </c>
      <c r="FF10">
        <v>123.9973309768651</v>
      </c>
      <c r="FH10">
        <v>1072.7530686458024</v>
      </c>
      <c r="FI10">
        <v>1072.7530686458024</v>
      </c>
      <c r="FJ10">
        <v>965.82270820602844</v>
      </c>
      <c r="FK10">
        <v>0</v>
      </c>
      <c r="FL10">
        <v>104.18054071982849</v>
      </c>
      <c r="FM10">
        <v>2.7498197199452301</v>
      </c>
      <c r="FN10">
        <v>0</v>
      </c>
    </row>
    <row r="11" spans="1:170" x14ac:dyDescent="0.25">
      <c r="A11">
        <v>2006</v>
      </c>
      <c r="C11">
        <v>170053.45360394218</v>
      </c>
      <c r="D11">
        <v>8254298</v>
      </c>
      <c r="F11">
        <v>3553292</v>
      </c>
      <c r="G11">
        <v>346162.22474830557</v>
      </c>
      <c r="H11">
        <v>108286</v>
      </c>
      <c r="I11">
        <v>12238.002563199669</v>
      </c>
      <c r="K11">
        <v>3649.35</v>
      </c>
      <c r="L11">
        <v>3502.5647619047613</v>
      </c>
      <c r="M11">
        <v>1.0419079297809797</v>
      </c>
      <c r="Q11">
        <v>2.323000192497549</v>
      </c>
      <c r="R11">
        <v>41.937209529908607</v>
      </c>
      <c r="S11">
        <v>97.42014581078773</v>
      </c>
      <c r="T11">
        <v>48.650687579016406</v>
      </c>
      <c r="U11">
        <v>113.01555661119322</v>
      </c>
      <c r="V11">
        <v>20601.806913676024</v>
      </c>
      <c r="W11">
        <v>47858.001426266732</v>
      </c>
      <c r="X11">
        <v>1.3721211386862475</v>
      </c>
      <c r="AB11">
        <v>6471.6630266552011</v>
      </c>
      <c r="AC11">
        <v>88.933963886500436</v>
      </c>
      <c r="AD11">
        <v>1464.9162510748063</v>
      </c>
      <c r="AE11">
        <v>46.298882201203782</v>
      </c>
      <c r="AF11">
        <v>1418.6173688736026</v>
      </c>
      <c r="AG11">
        <v>1516.4305245055889</v>
      </c>
      <c r="AH11">
        <v>1591.9895098882196</v>
      </c>
      <c r="AI11">
        <v>1479.2760103181422</v>
      </c>
      <c r="AJ11">
        <v>0</v>
      </c>
      <c r="AK11">
        <v>0</v>
      </c>
      <c r="AL11">
        <v>71.274204643164225</v>
      </c>
      <c r="AM11">
        <v>0</v>
      </c>
      <c r="AN11">
        <v>41.439294926913178</v>
      </c>
      <c r="AO11">
        <v>437.10429922613929</v>
      </c>
      <c r="AP11">
        <v>1413.72777300086</v>
      </c>
      <c r="AR11">
        <v>6471.663026655202</v>
      </c>
      <c r="AS11">
        <v>5780.9109707767375</v>
      </c>
      <c r="AT11">
        <v>4746.7560410582273</v>
      </c>
      <c r="AU11">
        <v>0.45769819236511278</v>
      </c>
      <c r="AV11">
        <v>896.34389235533422</v>
      </c>
      <c r="AW11">
        <v>137.35333917081158</v>
      </c>
      <c r="AX11">
        <v>690.75205587846426</v>
      </c>
      <c r="AZ11">
        <v>1</v>
      </c>
      <c r="BA11">
        <v>0.89326513864621426</v>
      </c>
      <c r="BB11">
        <v>0.7334677379689728</v>
      </c>
      <c r="BC11">
        <v>7.0723427731012197E-5</v>
      </c>
      <c r="BD11">
        <v>0.13850286837610554</v>
      </c>
      <c r="BE11">
        <v>2.1223808873404977E-2</v>
      </c>
      <c r="BF11">
        <v>0.10673486135378572</v>
      </c>
      <c r="BJ11">
        <v>8471.523710571315</v>
      </c>
      <c r="BK11">
        <v>372.62017697131495</v>
      </c>
      <c r="BL11">
        <v>4537.1194030799998</v>
      </c>
      <c r="BM11">
        <v>122.31566496000002</v>
      </c>
      <c r="BN11">
        <v>4414.8037381200002</v>
      </c>
      <c r="BO11">
        <v>3561.7841305200004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8471.523710571315</v>
      </c>
      <c r="CA11">
        <v>8471.523710571315</v>
      </c>
      <c r="CB11">
        <v>7565.9119183776866</v>
      </c>
      <c r="CC11">
        <v>0</v>
      </c>
      <c r="CD11">
        <v>879.63232513788171</v>
      </c>
      <c r="CE11">
        <v>25.979467055747858</v>
      </c>
      <c r="CF11">
        <v>0</v>
      </c>
      <c r="CH11">
        <v>1</v>
      </c>
      <c r="CI11">
        <v>1</v>
      </c>
      <c r="CJ11">
        <v>0.89309930265985704</v>
      </c>
      <c r="CK11">
        <v>0</v>
      </c>
      <c r="CL11">
        <v>0.10383401560220148</v>
      </c>
      <c r="CM11">
        <v>3.0666817379415463E-3</v>
      </c>
      <c r="CN11">
        <v>0</v>
      </c>
      <c r="CR11">
        <v>21181.890202099912</v>
      </c>
      <c r="CS11">
        <v>18921.044088167662</v>
      </c>
      <c r="CT11">
        <v>15536.233092441367</v>
      </c>
      <c r="CU11">
        <v>1.4980558809144486</v>
      </c>
      <c r="CV11">
        <v>2933.7525506185634</v>
      </c>
      <c r="CW11">
        <v>449.56038922681802</v>
      </c>
      <c r="CX11">
        <v>2260.8461139322467</v>
      </c>
      <c r="CZ11">
        <v>11614.900803189214</v>
      </c>
      <c r="DA11">
        <v>9301.5921994077635</v>
      </c>
      <c r="DB11">
        <v>3.8230888599902086</v>
      </c>
      <c r="DC11">
        <v>1973.0262634407225</v>
      </c>
      <c r="DD11">
        <v>336.4592514807369</v>
      </c>
      <c r="DF11">
        <v>2384.1338428058584</v>
      </c>
      <c r="DG11">
        <v>2384.1338428058584</v>
      </c>
      <c r="DH11">
        <v>2129.2682724576775</v>
      </c>
      <c r="DI11">
        <v>0</v>
      </c>
      <c r="DJ11">
        <v>247.55419063164013</v>
      </c>
      <c r="DK11">
        <v>7.3113797165411283</v>
      </c>
      <c r="DL11">
        <v>0</v>
      </c>
      <c r="DN11">
        <v>0.61386151573171521</v>
      </c>
      <c r="DO11">
        <v>0.59870318268674405</v>
      </c>
      <c r="DP11">
        <v>2.552033544741005</v>
      </c>
      <c r="DQ11">
        <v>0.6725264756990913</v>
      </c>
      <c r="DR11">
        <v>0.74841836501521075</v>
      </c>
      <c r="DV11">
        <v>217.42823340913492</v>
      </c>
      <c r="DW11">
        <v>194.22106106181235</v>
      </c>
      <c r="DX11">
        <v>159.47659452918802</v>
      </c>
      <c r="DY11">
        <v>1.5377269952192608E-2</v>
      </c>
      <c r="DZ11">
        <v>30.114433993114563</v>
      </c>
      <c r="EA11">
        <v>4.6146552695575656</v>
      </c>
      <c r="EB11">
        <v>23.207172347322579</v>
      </c>
      <c r="ED11">
        <v>119.22483493042616</v>
      </c>
      <c r="EE11">
        <v>95.479144708668258</v>
      </c>
      <c r="EF11">
        <v>3.9243308744533439E-2</v>
      </c>
      <c r="EG11">
        <v>20.252754161062253</v>
      </c>
      <c r="EH11">
        <v>3.4536927519510998</v>
      </c>
      <c r="EJ11">
        <v>24.472698361962969</v>
      </c>
      <c r="EK11">
        <v>24.472698361962969</v>
      </c>
      <c r="EL11">
        <v>21.856549841274155</v>
      </c>
      <c r="EM11">
        <v>0</v>
      </c>
      <c r="EN11">
        <v>2.5410985435440341</v>
      </c>
      <c r="EO11">
        <v>7.5049977144783842E-2</v>
      </c>
      <c r="EP11">
        <v>0</v>
      </c>
      <c r="ET11">
        <v>9118.3333821967644</v>
      </c>
      <c r="EU11">
        <v>8145.0893328703987</v>
      </c>
      <c r="EV11">
        <v>6688.003359886834</v>
      </c>
      <c r="EW11">
        <v>0.644879791983069</v>
      </c>
      <c r="EX11">
        <v>1262.9153282438476</v>
      </c>
      <c r="EY11">
        <v>193.52576494773251</v>
      </c>
      <c r="EZ11">
        <v>973.24404932636787</v>
      </c>
      <c r="FB11">
        <v>4999.9568836460476</v>
      </c>
      <c r="FC11">
        <v>4004.128897383885</v>
      </c>
      <c r="FD11">
        <v>1.6457548614663935</v>
      </c>
      <c r="FE11">
        <v>849.34399481019602</v>
      </c>
      <c r="FF11">
        <v>144.83823659049995</v>
      </c>
      <c r="FH11">
        <v>1026.3166789678919</v>
      </c>
      <c r="FI11">
        <v>1026.3166789678919</v>
      </c>
      <c r="FJ11">
        <v>916.6027102944048</v>
      </c>
      <c r="FK11">
        <v>0</v>
      </c>
      <c r="FL11">
        <v>106.56658205675171</v>
      </c>
      <c r="FM11">
        <v>3.1473866167356519</v>
      </c>
      <c r="FN11">
        <v>0</v>
      </c>
    </row>
    <row r="12" spans="1:170" x14ac:dyDescent="0.25">
      <c r="A12">
        <v>2007</v>
      </c>
      <c r="C12">
        <v>171929.46516906246</v>
      </c>
      <c r="D12">
        <v>8282984</v>
      </c>
      <c r="F12">
        <v>3577963</v>
      </c>
      <c r="G12">
        <v>349875.34934883786</v>
      </c>
      <c r="H12">
        <v>100273</v>
      </c>
      <c r="I12">
        <v>10785.912899786315</v>
      </c>
      <c r="K12">
        <v>3363.28</v>
      </c>
      <c r="L12">
        <v>3502.5647619047613</v>
      </c>
      <c r="M12">
        <v>0.96023349420411119</v>
      </c>
      <c r="Q12">
        <v>2.3149999035764206</v>
      </c>
      <c r="R12">
        <v>42.240254158264442</v>
      </c>
      <c r="S12">
        <v>97.786184303425685</v>
      </c>
      <c r="T12">
        <v>46.464570078060326</v>
      </c>
      <c r="U12">
        <v>107.56547525042949</v>
      </c>
      <c r="V12">
        <v>20756.947637356592</v>
      </c>
      <c r="W12">
        <v>48052.331779021326</v>
      </c>
      <c r="X12">
        <v>1.3592731156693261</v>
      </c>
      <c r="AB12">
        <v>6213.4907136715383</v>
      </c>
      <c r="AC12">
        <v>76.683404987102321</v>
      </c>
      <c r="AD12">
        <v>1276.5239036973344</v>
      </c>
      <c r="AE12">
        <v>48.283061049011181</v>
      </c>
      <c r="AF12">
        <v>1228.2408426483232</v>
      </c>
      <c r="AG12">
        <v>1375.6096302665519</v>
      </c>
      <c r="AH12">
        <v>1635.9540842648323</v>
      </c>
      <c r="AI12">
        <v>1511.1713671539123</v>
      </c>
      <c r="AJ12">
        <v>0</v>
      </c>
      <c r="AK12">
        <v>0</v>
      </c>
      <c r="AL12">
        <v>71.87093723129837</v>
      </c>
      <c r="AM12">
        <v>0</v>
      </c>
      <c r="AN12">
        <v>52.911779879621662</v>
      </c>
      <c r="AO12">
        <v>484.27231298366303</v>
      </c>
      <c r="AP12">
        <v>1417.359157351676</v>
      </c>
      <c r="AR12">
        <v>6213.4907136715392</v>
      </c>
      <c r="AS12">
        <v>5517.6809370315732</v>
      </c>
      <c r="AT12">
        <v>4504.5251513851745</v>
      </c>
      <c r="AU12">
        <v>0.48328873800597366</v>
      </c>
      <c r="AV12">
        <v>892.5400423438598</v>
      </c>
      <c r="AW12">
        <v>120.13245456453272</v>
      </c>
      <c r="AX12">
        <v>695.80977663996634</v>
      </c>
      <c r="AZ12">
        <v>1</v>
      </c>
      <c r="BA12">
        <v>0.88801628445199476</v>
      </c>
      <c r="BB12">
        <v>0.72495886112356633</v>
      </c>
      <c r="BC12">
        <v>7.778055207237919E-5</v>
      </c>
      <c r="BD12">
        <v>0.14364550998362396</v>
      </c>
      <c r="BE12">
        <v>1.9334132792732009E-2</v>
      </c>
      <c r="BF12">
        <v>0.11198371554800535</v>
      </c>
      <c r="BJ12">
        <v>7497.7988738456988</v>
      </c>
      <c r="BK12">
        <v>319.16165436569952</v>
      </c>
      <c r="BL12">
        <v>3947.6124730799997</v>
      </c>
      <c r="BM12">
        <v>127.55760912000002</v>
      </c>
      <c r="BN12">
        <v>3820.0548639600001</v>
      </c>
      <c r="BO12">
        <v>3231.0247463999999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7497.7988738457025</v>
      </c>
      <c r="CA12">
        <v>7497.7988738457025</v>
      </c>
      <c r="CB12">
        <v>6667.5808948253352</v>
      </c>
      <c r="CC12">
        <v>0</v>
      </c>
      <c r="CD12">
        <v>808.9463868754093</v>
      </c>
      <c r="CE12">
        <v>21.271592144957129</v>
      </c>
      <c r="CF12">
        <v>0</v>
      </c>
      <c r="CH12">
        <v>1</v>
      </c>
      <c r="CI12">
        <v>1</v>
      </c>
      <c r="CJ12">
        <v>0.88927177255762546</v>
      </c>
      <c r="CK12">
        <v>0</v>
      </c>
      <c r="CL12">
        <v>0.10789118253054607</v>
      </c>
      <c r="CM12">
        <v>2.8370449118284634E-3</v>
      </c>
      <c r="CN12">
        <v>0</v>
      </c>
      <c r="CR12">
        <v>20196.65854565852</v>
      </c>
      <c r="CS12">
        <v>17934.961680061308</v>
      </c>
      <c r="CT12">
        <v>14641.746577762146</v>
      </c>
      <c r="CU12">
        <v>1.5709072516986549</v>
      </c>
      <c r="CV12">
        <v>2901.1593167562351</v>
      </c>
      <c r="CW12">
        <v>390.48487829122757</v>
      </c>
      <c r="CX12">
        <v>2261.6968655972155</v>
      </c>
      <c r="CZ12">
        <v>11308.416087359396</v>
      </c>
      <c r="DA12">
        <v>9029.5558983364645</v>
      </c>
      <c r="DB12">
        <v>4.1349943253257564</v>
      </c>
      <c r="DC12">
        <v>1981.7233045234659</v>
      </c>
      <c r="DD12">
        <v>293.00189017413823</v>
      </c>
      <c r="DF12">
        <v>2095.5495833371392</v>
      </c>
      <c r="DG12">
        <v>2095.5495833371392</v>
      </c>
      <c r="DH12">
        <v>1863.5130924566115</v>
      </c>
      <c r="DI12">
        <v>0</v>
      </c>
      <c r="DJ12">
        <v>226.09132259763703</v>
      </c>
      <c r="DK12">
        <v>5.9451682828908874</v>
      </c>
      <c r="DL12">
        <v>0</v>
      </c>
      <c r="DN12">
        <v>0.6305235711727899</v>
      </c>
      <c r="DO12">
        <v>0.61669937055532265</v>
      </c>
      <c r="DP12">
        <v>2.6322332657478662</v>
      </c>
      <c r="DQ12">
        <v>0.68307979264620877</v>
      </c>
      <c r="DR12">
        <v>0.75035399951035875</v>
      </c>
      <c r="DV12">
        <v>206.53897776591108</v>
      </c>
      <c r="DW12">
        <v>183.40997563019752</v>
      </c>
      <c r="DX12">
        <v>149.7322620988005</v>
      </c>
      <c r="DY12">
        <v>1.6064715715097416E-2</v>
      </c>
      <c r="DZ12">
        <v>29.668396792680667</v>
      </c>
      <c r="EA12">
        <v>3.9932520230012489</v>
      </c>
      <c r="EB12">
        <v>23.129002135713591</v>
      </c>
      <c r="ED12">
        <v>115.6443128230665</v>
      </c>
      <c r="EE12">
        <v>92.339791788154841</v>
      </c>
      <c r="EF12">
        <v>4.228607911006195E-2</v>
      </c>
      <c r="EG12">
        <v>20.265882329289756</v>
      </c>
      <c r="EH12">
        <v>2.9963526265118174</v>
      </c>
      <c r="EJ12">
        <v>21.429914647602494</v>
      </c>
      <c r="EK12">
        <v>21.429914647602494</v>
      </c>
      <c r="EL12">
        <v>19.057018184432096</v>
      </c>
      <c r="EM12">
        <v>0</v>
      </c>
      <c r="EN12">
        <v>2.3120988328585037</v>
      </c>
      <c r="EO12">
        <v>6.0797630311898915E-2</v>
      </c>
      <c r="EP12">
        <v>0</v>
      </c>
      <c r="ET12">
        <v>8724.258914420212</v>
      </c>
      <c r="EU12">
        <v>7747.2839857806302</v>
      </c>
      <c r="EV12">
        <v>6324.7288067451991</v>
      </c>
      <c r="EW12">
        <v>0.67857767478597975</v>
      </c>
      <c r="EX12">
        <v>1253.2006209910687</v>
      </c>
      <c r="EY12">
        <v>168.67598036957639</v>
      </c>
      <c r="EZ12">
        <v>976.97492863958325</v>
      </c>
      <c r="FB12">
        <v>4884.8451656041689</v>
      </c>
      <c r="FC12">
        <v>3900.4562740528809</v>
      </c>
      <c r="FD12">
        <v>1.7861747289654937</v>
      </c>
      <c r="FE12">
        <v>856.03602033067955</v>
      </c>
      <c r="FF12">
        <v>126.5666964916424</v>
      </c>
      <c r="FH12">
        <v>905.20504130464337</v>
      </c>
      <c r="FI12">
        <v>905.20504130464337</v>
      </c>
      <c r="FJ12">
        <v>804.97329160907907</v>
      </c>
      <c r="FK12">
        <v>0</v>
      </c>
      <c r="FL12">
        <v>97.66364233896978</v>
      </c>
      <c r="FM12">
        <v>2.5681073565948127</v>
      </c>
      <c r="FN12">
        <v>0</v>
      </c>
    </row>
    <row r="13" spans="1:170" x14ac:dyDescent="0.25">
      <c r="A13">
        <v>2008</v>
      </c>
      <c r="C13">
        <v>173555.51755585955</v>
      </c>
      <c r="D13">
        <v>8307989</v>
      </c>
      <c r="F13">
        <v>3610599</v>
      </c>
      <c r="G13">
        <v>353834.55397940485</v>
      </c>
      <c r="H13">
        <v>108763</v>
      </c>
      <c r="I13">
        <v>11081.108215886345</v>
      </c>
      <c r="K13">
        <v>3444.43</v>
      </c>
      <c r="L13">
        <v>3502.5647619047613</v>
      </c>
      <c r="M13">
        <v>0.98340223069190402</v>
      </c>
      <c r="Q13">
        <v>2.3010001941506104</v>
      </c>
      <c r="R13">
        <v>42.589675308838864</v>
      </c>
      <c r="S13">
        <v>97.998851154449682</v>
      </c>
      <c r="T13">
        <v>44.277731525490886</v>
      </c>
      <c r="U13">
        <v>101.88306883670313</v>
      </c>
      <c r="V13">
        <v>20890.195877228478</v>
      </c>
      <c r="W13">
        <v>48068.344769347015</v>
      </c>
      <c r="X13">
        <v>1.3680040701342502</v>
      </c>
      <c r="AB13">
        <v>6337.3555460017187</v>
      </c>
      <c r="AC13">
        <v>78.009028374892509</v>
      </c>
      <c r="AD13">
        <v>1296.4042132416164</v>
      </c>
      <c r="AE13">
        <v>49.839896818572647</v>
      </c>
      <c r="AF13">
        <v>1246.5643164230437</v>
      </c>
      <c r="AG13">
        <v>1413.0002579535681</v>
      </c>
      <c r="AH13">
        <v>1672.3370593293209</v>
      </c>
      <c r="AI13">
        <v>1545.1299226139297</v>
      </c>
      <c r="AJ13">
        <v>8.8306104901117788E-2</v>
      </c>
      <c r="AK13">
        <v>0</v>
      </c>
      <c r="AL13">
        <v>72.595786758383483</v>
      </c>
      <c r="AM13">
        <v>0</v>
      </c>
      <c r="AN13">
        <v>54.523043852106589</v>
      </c>
      <c r="AO13">
        <v>503.33465176268271</v>
      </c>
      <c r="AP13">
        <v>1428.7933791917451</v>
      </c>
      <c r="AR13">
        <v>6337.3555460017215</v>
      </c>
      <c r="AS13">
        <v>5637.4773125526435</v>
      </c>
      <c r="AT13">
        <v>4608.6069899411241</v>
      </c>
      <c r="AU13">
        <v>0.45079657264507206</v>
      </c>
      <c r="AV13">
        <v>897.2729928361756</v>
      </c>
      <c r="AW13">
        <v>131.1465332026979</v>
      </c>
      <c r="AX13">
        <v>699.8782334490777</v>
      </c>
      <c r="AZ13">
        <v>1</v>
      </c>
      <c r="BA13">
        <v>0.8895630474937396</v>
      </c>
      <c r="BB13">
        <v>0.72721294497177513</v>
      </c>
      <c r="BC13">
        <v>7.1133230473313528E-5</v>
      </c>
      <c r="BD13">
        <v>0.14158476454777275</v>
      </c>
      <c r="BE13">
        <v>2.0694204743718237E-2</v>
      </c>
      <c r="BF13">
        <v>0.11043695250626034</v>
      </c>
      <c r="BJ13">
        <v>7654.0632992433202</v>
      </c>
      <c r="BK13">
        <v>326.44377300332002</v>
      </c>
      <c r="BL13">
        <v>4008.7718679599998</v>
      </c>
      <c r="BM13">
        <v>131.67056807999998</v>
      </c>
      <c r="BN13">
        <v>3877.1012998800002</v>
      </c>
      <c r="BO13">
        <v>3318.8476582799999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7654.063299243322</v>
      </c>
      <c r="CA13">
        <v>7654.063299243322</v>
      </c>
      <c r="CB13">
        <v>6817.0873252401216</v>
      </c>
      <c r="CC13">
        <v>0</v>
      </c>
      <c r="CD13">
        <v>813.81063452646833</v>
      </c>
      <c r="CE13">
        <v>23.165339476731567</v>
      </c>
      <c r="CF13">
        <v>0</v>
      </c>
      <c r="CH13">
        <v>1</v>
      </c>
      <c r="CI13">
        <v>1</v>
      </c>
      <c r="CJ13">
        <v>0.89064945751285551</v>
      </c>
      <c r="CK13">
        <v>0</v>
      </c>
      <c r="CL13">
        <v>0.10632400108409364</v>
      </c>
      <c r="CM13">
        <v>3.0265414030508065E-3</v>
      </c>
      <c r="CN13">
        <v>0</v>
      </c>
      <c r="CR13">
        <v>20413.079657973653</v>
      </c>
      <c r="CS13">
        <v>18158.721349279509</v>
      </c>
      <c r="CT13">
        <v>14844.65577401846</v>
      </c>
      <c r="CU13">
        <v>1.452048299980748</v>
      </c>
      <c r="CV13">
        <v>2890.18107706913</v>
      </c>
      <c r="CW13">
        <v>422.43244989193664</v>
      </c>
      <c r="CX13">
        <v>2254.3583086941458</v>
      </c>
      <c r="CZ13">
        <v>11622.83729235885</v>
      </c>
      <c r="DA13">
        <v>9304.1558716040945</v>
      </c>
      <c r="DB13">
        <v>3.913875171126139</v>
      </c>
      <c r="DC13">
        <v>1997.4096549099052</v>
      </c>
      <c r="DD13">
        <v>317.35789067372633</v>
      </c>
      <c r="DF13">
        <v>2119.8873924363584</v>
      </c>
      <c r="DG13">
        <v>2119.8873924363584</v>
      </c>
      <c r="DH13">
        <v>1888.076556061784</v>
      </c>
      <c r="DI13">
        <v>0</v>
      </c>
      <c r="DJ13">
        <v>225.39490941155975</v>
      </c>
      <c r="DK13">
        <v>6.4159269630140505</v>
      </c>
      <c r="DL13">
        <v>0</v>
      </c>
      <c r="DN13">
        <v>0.6400691474248551</v>
      </c>
      <c r="DO13">
        <v>0.6267680445570516</v>
      </c>
      <c r="DP13">
        <v>2.6954166546512477</v>
      </c>
      <c r="DQ13">
        <v>0.69110190733635102</v>
      </c>
      <c r="DR13">
        <v>0.75126304987912351</v>
      </c>
      <c r="DV13">
        <v>208.29917307705895</v>
      </c>
      <c r="DW13">
        <v>185.2952471928545</v>
      </c>
      <c r="DX13">
        <v>151.47785508855358</v>
      </c>
      <c r="DY13">
        <v>1.481699308589106E-2</v>
      </c>
      <c r="DZ13">
        <v>29.491989375611169</v>
      </c>
      <c r="EA13">
        <v>4.3105857356038602</v>
      </c>
      <c r="EB13">
        <v>23.003925884204467</v>
      </c>
      <c r="ED13">
        <v>118.60177089260816</v>
      </c>
      <c r="EE13">
        <v>94.941479027549136</v>
      </c>
      <c r="EF13">
        <v>3.9937969935563145E-2</v>
      </c>
      <c r="EG13">
        <v>20.381970108628277</v>
      </c>
      <c r="EH13">
        <v>3.2383837864952008</v>
      </c>
      <c r="EJ13">
        <v>21.631757591681765</v>
      </c>
      <c r="EK13">
        <v>21.631757591681765</v>
      </c>
      <c r="EL13">
        <v>19.266313164080959</v>
      </c>
      <c r="EM13">
        <v>0</v>
      </c>
      <c r="EN13">
        <v>2.2999750176288223</v>
      </c>
      <c r="EO13">
        <v>6.5469409971983458E-2</v>
      </c>
      <c r="EP13">
        <v>0</v>
      </c>
      <c r="ET13">
        <v>8871.3941484515708</v>
      </c>
      <c r="EU13">
        <v>7891.6644142147088</v>
      </c>
      <c r="EV13">
        <v>6451.3926647008411</v>
      </c>
      <c r="EW13">
        <v>0.63105092458141065</v>
      </c>
      <c r="EX13">
        <v>1256.0542517190047</v>
      </c>
      <c r="EY13">
        <v>183.58644687028072</v>
      </c>
      <c r="EZ13">
        <v>979.72973423686199</v>
      </c>
      <c r="FB13">
        <v>5051.2109133694776</v>
      </c>
      <c r="FC13">
        <v>4043.526765124253</v>
      </c>
      <c r="FD13">
        <v>1.7009451720498026</v>
      </c>
      <c r="FE13">
        <v>868.06148908093746</v>
      </c>
      <c r="FF13">
        <v>137.92171399223875</v>
      </c>
      <c r="FH13">
        <v>921.28953218923652</v>
      </c>
      <c r="FI13">
        <v>921.28953218923652</v>
      </c>
      <c r="FJ13">
        <v>820.54602205661604</v>
      </c>
      <c r="FK13">
        <v>0</v>
      </c>
      <c r="FL13">
        <v>97.955189219252489</v>
      </c>
      <c r="FM13">
        <v>2.7883209133680324</v>
      </c>
      <c r="FN13">
        <v>0</v>
      </c>
    </row>
    <row r="14" spans="1:170" x14ac:dyDescent="0.25">
      <c r="A14">
        <v>2009</v>
      </c>
      <c r="C14">
        <v>175033.518156615</v>
      </c>
      <c r="D14">
        <v>8335003</v>
      </c>
      <c r="F14">
        <v>3639739</v>
      </c>
      <c r="G14">
        <v>357385.39769306686</v>
      </c>
      <c r="H14">
        <v>105961</v>
      </c>
      <c r="I14">
        <v>10737.673029513388</v>
      </c>
      <c r="K14">
        <v>3504.84</v>
      </c>
      <c r="L14">
        <v>3502.5647619047613</v>
      </c>
      <c r="M14">
        <v>1.0006495920132541</v>
      </c>
      <c r="Q14">
        <v>2.2900001895740325</v>
      </c>
      <c r="R14">
        <v>42.877656755860414</v>
      </c>
      <c r="S14">
        <v>98.189842099410654</v>
      </c>
      <c r="T14">
        <v>44.251562361566592</v>
      </c>
      <c r="U14">
        <v>101.33608619693462</v>
      </c>
      <c r="V14">
        <v>20999.814655929338</v>
      </c>
      <c r="W14">
        <v>48089.57954309773</v>
      </c>
      <c r="X14">
        <v>1.394647103507616</v>
      </c>
      <c r="AB14">
        <v>6406.2521926053305</v>
      </c>
      <c r="AC14">
        <v>55.958297506448829</v>
      </c>
      <c r="AD14">
        <v>1209.0616509028378</v>
      </c>
      <c r="AE14">
        <v>34.311006018916594</v>
      </c>
      <c r="AF14">
        <v>1174.7506448839213</v>
      </c>
      <c r="AG14">
        <v>1442.273602751505</v>
      </c>
      <c r="AH14">
        <v>1770.935253654342</v>
      </c>
      <c r="AI14">
        <v>1596.5840928632842</v>
      </c>
      <c r="AJ14">
        <v>0.17024935511607911</v>
      </c>
      <c r="AK14">
        <v>0</v>
      </c>
      <c r="AL14">
        <v>97.87815993121238</v>
      </c>
      <c r="AM14">
        <v>0</v>
      </c>
      <c r="AN14">
        <v>76.302751504729159</v>
      </c>
      <c r="AO14">
        <v>522.53181427343077</v>
      </c>
      <c r="AP14">
        <v>1481.794325021496</v>
      </c>
      <c r="AR14">
        <v>6406.2521926053305</v>
      </c>
      <c r="AS14">
        <v>5705.1205111225809</v>
      </c>
      <c r="AT14">
        <v>4581.0839623711245</v>
      </c>
      <c r="AU14">
        <v>0.4815799794482985</v>
      </c>
      <c r="AV14">
        <v>956.63583022037653</v>
      </c>
      <c r="AW14">
        <v>166.91913855163165</v>
      </c>
      <c r="AX14">
        <v>701.13168148274917</v>
      </c>
      <c r="AZ14">
        <v>1</v>
      </c>
      <c r="BA14">
        <v>0.89055509205646655</v>
      </c>
      <c r="BB14">
        <v>0.71509578840168386</v>
      </c>
      <c r="BC14">
        <v>7.5173434477678099E-5</v>
      </c>
      <c r="BD14">
        <v>0.14932846873006517</v>
      </c>
      <c r="BE14">
        <v>2.6055661490239902E-2</v>
      </c>
      <c r="BF14">
        <v>0.10944490794353337</v>
      </c>
      <c r="BJ14">
        <v>7363.4948358131778</v>
      </c>
      <c r="BK14">
        <v>235.24474741317488</v>
      </c>
      <c r="BL14">
        <v>3740.6453500800017</v>
      </c>
      <c r="BM14">
        <v>90.645244919999996</v>
      </c>
      <c r="BN14">
        <v>3650.0001051600016</v>
      </c>
      <c r="BO14">
        <v>3387.6047383200012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7363.4948358131778</v>
      </c>
      <c r="CA14">
        <v>7363.4948358131778</v>
      </c>
      <c r="CB14">
        <v>6499.7551494432773</v>
      </c>
      <c r="CC14">
        <v>0</v>
      </c>
      <c r="CD14">
        <v>834.469819195333</v>
      </c>
      <c r="CE14">
        <v>29.269867174566546</v>
      </c>
      <c r="CF14">
        <v>0</v>
      </c>
      <c r="CH14">
        <v>1</v>
      </c>
      <c r="CI14">
        <v>1</v>
      </c>
      <c r="CJ14">
        <v>0.88269976341003109</v>
      </c>
      <c r="CK14">
        <v>0</v>
      </c>
      <c r="CL14">
        <v>0.11332523995763481</v>
      </c>
      <c r="CM14">
        <v>3.9749966323340494E-3</v>
      </c>
      <c r="CN14">
        <v>0</v>
      </c>
      <c r="CR14">
        <v>20469.795499072872</v>
      </c>
      <c r="CS14">
        <v>18229.48061505389</v>
      </c>
      <c r="CT14">
        <v>14637.864550830756</v>
      </c>
      <c r="CU14">
        <v>1.5387848307210243</v>
      </c>
      <c r="CV14">
        <v>3056.7232170941315</v>
      </c>
      <c r="CW14">
        <v>533.35406229827913</v>
      </c>
      <c r="CX14">
        <v>2240.3148840189838</v>
      </c>
      <c r="CZ14">
        <v>12019.259933740082</v>
      </c>
      <c r="DA14">
        <v>9454.1679227026852</v>
      </c>
      <c r="DB14">
        <v>4.2749586664094243</v>
      </c>
      <c r="DC14">
        <v>2159.4379281058536</v>
      </c>
      <c r="DD14">
        <v>401.37912426513441</v>
      </c>
      <c r="DF14">
        <v>2023.0832034421087</v>
      </c>
      <c r="DG14">
        <v>2023.0832034421087</v>
      </c>
      <c r="DH14">
        <v>1785.7750650371572</v>
      </c>
      <c r="DI14">
        <v>0</v>
      </c>
      <c r="DJ14">
        <v>229.26638948433748</v>
      </c>
      <c r="DK14">
        <v>8.0417489206139621</v>
      </c>
      <c r="DL14">
        <v>0</v>
      </c>
      <c r="DN14">
        <v>0.65933090402008443</v>
      </c>
      <c r="DO14">
        <v>0.64587070674636926</v>
      </c>
      <c r="DP14">
        <v>2.778139335053309</v>
      </c>
      <c r="DQ14">
        <v>0.70645517265993074</v>
      </c>
      <c r="DR14">
        <v>0.75255660852295614</v>
      </c>
      <c r="DV14">
        <v>208.47162049969052</v>
      </c>
      <c r="DW14">
        <v>185.65546318526265</v>
      </c>
      <c r="DX14">
        <v>149.07717782060283</v>
      </c>
      <c r="DY14">
        <v>1.5671527704088854E-2</v>
      </c>
      <c r="DZ14">
        <v>31.13074786289404</v>
      </c>
      <c r="EA14">
        <v>5.4318659740616937</v>
      </c>
      <c r="EB14">
        <v>22.816157314427851</v>
      </c>
      <c r="ED14">
        <v>122.4083843782067</v>
      </c>
      <c r="EE14">
        <v>96.284582198746918</v>
      </c>
      <c r="EF14">
        <v>4.3537687555106917E-2</v>
      </c>
      <c r="EG14">
        <v>21.992477856513581</v>
      </c>
      <c r="EH14">
        <v>4.0877866353911116</v>
      </c>
      <c r="EJ14">
        <v>20.603793225310131</v>
      </c>
      <c r="EK14">
        <v>20.603793225310131</v>
      </c>
      <c r="EL14">
        <v>18.186963405330456</v>
      </c>
      <c r="EM14">
        <v>0</v>
      </c>
      <c r="EN14">
        <v>2.334929811295761</v>
      </c>
      <c r="EO14">
        <v>8.1900008683914866E-2</v>
      </c>
      <c r="EP14">
        <v>0</v>
      </c>
      <c r="ET14">
        <v>8938.7745871237239</v>
      </c>
      <c r="EU14">
        <v>7960.4712253079715</v>
      </c>
      <c r="EV14">
        <v>6392.0800607241754</v>
      </c>
      <c r="EW14">
        <v>0.67195838573587929</v>
      </c>
      <c r="EX14">
        <v>1334.813521418406</v>
      </c>
      <c r="EY14">
        <v>232.90568477965471</v>
      </c>
      <c r="EZ14">
        <v>978.30336181575149</v>
      </c>
      <c r="FB14">
        <v>5248.5846894081742</v>
      </c>
      <c r="FC14">
        <v>4128.4572663992985</v>
      </c>
      <c r="FD14">
        <v>1.8667940229317701</v>
      </c>
      <c r="FE14">
        <v>942.98591674245029</v>
      </c>
      <c r="FF14">
        <v>175.27471224349364</v>
      </c>
      <c r="FH14">
        <v>883.44237378357013</v>
      </c>
      <c r="FI14">
        <v>883.44237378357013</v>
      </c>
      <c r="FJ14">
        <v>779.81437432515361</v>
      </c>
      <c r="FK14">
        <v>0</v>
      </c>
      <c r="FL14">
        <v>100.11631899776556</v>
      </c>
      <c r="FM14">
        <v>3.5116804606508891</v>
      </c>
      <c r="FN14">
        <v>0</v>
      </c>
    </row>
    <row r="15" spans="1:170" x14ac:dyDescent="0.25">
      <c r="A15">
        <v>2010</v>
      </c>
      <c r="C15">
        <v>176772.5222207334</v>
      </c>
      <c r="D15">
        <v>8351643</v>
      </c>
      <c r="F15">
        <v>3669439</v>
      </c>
      <c r="G15">
        <v>362402.92113927368</v>
      </c>
      <c r="H15">
        <v>107141</v>
      </c>
      <c r="I15">
        <v>12262.355576078176</v>
      </c>
      <c r="K15">
        <v>3905.88</v>
      </c>
      <c r="L15">
        <v>3502.5647619047613</v>
      </c>
      <c r="M15">
        <v>1.1151485455691927</v>
      </c>
      <c r="Q15">
        <v>2.2759999553065198</v>
      </c>
      <c r="R15">
        <v>43.393009152722847</v>
      </c>
      <c r="S15">
        <v>98.762486892212593</v>
      </c>
      <c r="T15">
        <v>50.285869113298887</v>
      </c>
      <c r="U15">
        <v>114.45063585441777</v>
      </c>
      <c r="V15">
        <v>21166.197144769405</v>
      </c>
      <c r="W15">
        <v>48174.263755504151</v>
      </c>
      <c r="X15">
        <v>1.393534424234274</v>
      </c>
      <c r="AB15">
        <v>6973.4225279449693</v>
      </c>
      <c r="AC15">
        <v>61.504987102321572</v>
      </c>
      <c r="AD15">
        <v>1334.3451418744628</v>
      </c>
      <c r="AE15">
        <v>36.273258813413577</v>
      </c>
      <c r="AF15">
        <v>1298.0718830610492</v>
      </c>
      <c r="AG15">
        <v>1563.6995700773859</v>
      </c>
      <c r="AH15">
        <v>1995.2198624247631</v>
      </c>
      <c r="AI15">
        <v>1800.3014617368867</v>
      </c>
      <c r="AJ15">
        <v>0.16061908856405849</v>
      </c>
      <c r="AK15">
        <v>0</v>
      </c>
      <c r="AL15">
        <v>109.66233877901981</v>
      </c>
      <c r="AM15">
        <v>0</v>
      </c>
      <c r="AN15">
        <v>85.095442820292263</v>
      </c>
      <c r="AO15">
        <v>585.47730008598444</v>
      </c>
      <c r="AP15">
        <v>1518.271109200344</v>
      </c>
      <c r="AR15">
        <v>6973.4225279449674</v>
      </c>
      <c r="AS15">
        <v>6271.2988057705143</v>
      </c>
      <c r="AT15">
        <v>5129.0291835284861</v>
      </c>
      <c r="AU15">
        <v>0.56116604566733541</v>
      </c>
      <c r="AV15">
        <v>971.87770962280842</v>
      </c>
      <c r="AW15">
        <v>169.8307465735522</v>
      </c>
      <c r="AX15">
        <v>702.12372217445295</v>
      </c>
      <c r="AZ15">
        <v>1</v>
      </c>
      <c r="BA15">
        <v>0.89931432960489699</v>
      </c>
      <c r="BB15">
        <v>0.73551102962349613</v>
      </c>
      <c r="BC15">
        <v>8.0472113000258454E-5</v>
      </c>
      <c r="BD15">
        <v>0.13936882581374513</v>
      </c>
      <c r="BE15">
        <v>2.4354002054655429E-2</v>
      </c>
      <c r="BF15">
        <v>0.100685670395103</v>
      </c>
      <c r="BJ15">
        <v>8058.876356347987</v>
      </c>
      <c r="BK15">
        <v>259.00487730798699</v>
      </c>
      <c r="BL15">
        <v>4127.0620600800003</v>
      </c>
      <c r="BM15">
        <v>95.829263280000006</v>
      </c>
      <c r="BN15">
        <v>4031.2327968</v>
      </c>
      <c r="BO15">
        <v>3672.8094189600001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8058.8763563479843</v>
      </c>
      <c r="CA15">
        <v>8058.8763563479843</v>
      </c>
      <c r="CB15">
        <v>7189.3105060049475</v>
      </c>
      <c r="CC15">
        <v>0</v>
      </c>
      <c r="CD15">
        <v>840.47441212330011</v>
      </c>
      <c r="CE15">
        <v>29.091438219736723</v>
      </c>
      <c r="CF15">
        <v>0</v>
      </c>
      <c r="CH15">
        <v>1</v>
      </c>
      <c r="CI15">
        <v>1</v>
      </c>
      <c r="CJ15">
        <v>0.89209837551880555</v>
      </c>
      <c r="CK15">
        <v>0</v>
      </c>
      <c r="CL15">
        <v>0.10429176165002926</v>
      </c>
      <c r="CM15">
        <v>3.6098628311652123E-3</v>
      </c>
      <c r="CN15">
        <v>0</v>
      </c>
      <c r="CR15">
        <v>22101.717455992584</v>
      </c>
      <c r="CS15">
        <v>19876.391217052817</v>
      </c>
      <c r="CT15">
        <v>16256.056962504699</v>
      </c>
      <c r="CU15">
        <v>1.7785719046184201</v>
      </c>
      <c r="CV15">
        <v>3080.2904103088408</v>
      </c>
      <c r="CW15">
        <v>538.2652723346572</v>
      </c>
      <c r="CX15">
        <v>2225.3262389397637</v>
      </c>
      <c r="CZ15">
        <v>13318.778000408289</v>
      </c>
      <c r="DA15">
        <v>10696.044634784355</v>
      </c>
      <c r="DB15">
        <v>5.0868407138609468</v>
      </c>
      <c r="DC15">
        <v>2211.7150557539881</v>
      </c>
      <c r="DD15">
        <v>405.93146915608133</v>
      </c>
      <c r="DF15">
        <v>2196.2148318443187</v>
      </c>
      <c r="DG15">
        <v>2196.2148318443187</v>
      </c>
      <c r="DH15">
        <v>1959.2396837786232</v>
      </c>
      <c r="DI15">
        <v>0</v>
      </c>
      <c r="DJ15">
        <v>229.04711377496673</v>
      </c>
      <c r="DK15">
        <v>7.9280342907285615</v>
      </c>
      <c r="DL15">
        <v>0</v>
      </c>
      <c r="DN15">
        <v>0.67008029047956807</v>
      </c>
      <c r="DO15">
        <v>0.65797288109012209</v>
      </c>
      <c r="DP15">
        <v>2.8600703185808465</v>
      </c>
      <c r="DQ15">
        <v>0.71802160223335365</v>
      </c>
      <c r="DR15">
        <v>0.75414761088971083</v>
      </c>
      <c r="DV15">
        <v>223.78656260563747</v>
      </c>
      <c r="DW15">
        <v>201.25446252427315</v>
      </c>
      <c r="DX15">
        <v>164.59748507797536</v>
      </c>
      <c r="DY15">
        <v>1.800857755394027E-2</v>
      </c>
      <c r="DZ15">
        <v>31.188870463241862</v>
      </c>
      <c r="EA15">
        <v>5.4500984055019712</v>
      </c>
      <c r="EB15">
        <v>22.532100081364295</v>
      </c>
      <c r="ED15">
        <v>134.85664870857428</v>
      </c>
      <c r="EE15">
        <v>108.30068147694384</v>
      </c>
      <c r="EF15">
        <v>5.1505798141885821E-2</v>
      </c>
      <c r="EG15">
        <v>22.394282741865439</v>
      </c>
      <c r="EH15">
        <v>4.1101786916231342</v>
      </c>
      <c r="EJ15">
        <v>22.237338294662667</v>
      </c>
      <c r="EK15">
        <v>22.237338294662667</v>
      </c>
      <c r="EL15">
        <v>19.83789336853069</v>
      </c>
      <c r="EM15">
        <v>0</v>
      </c>
      <c r="EN15">
        <v>2.3191711851580266</v>
      </c>
      <c r="EO15">
        <v>8.0273740973949556E-2</v>
      </c>
      <c r="EP15">
        <v>0</v>
      </c>
      <c r="ET15">
        <v>9710.7723594028103</v>
      </c>
      <c r="EU15">
        <v>8733.0367343421003</v>
      </c>
      <c r="EV15">
        <v>7142.380176503747</v>
      </c>
      <c r="EW15">
        <v>0.78144637062564926</v>
      </c>
      <c r="EX15">
        <v>1353.3789414745413</v>
      </c>
      <c r="EY15">
        <v>236.49616999318721</v>
      </c>
      <c r="EZ15">
        <v>977.735625060708</v>
      </c>
      <c r="FB15">
        <v>5851.8357917166932</v>
      </c>
      <c r="FC15">
        <v>4699.4924625751455</v>
      </c>
      <c r="FD15">
        <v>2.234991570189147</v>
      </c>
      <c r="FE15">
        <v>971.75531598643022</v>
      </c>
      <c r="FF15">
        <v>178.35302158492908</v>
      </c>
      <c r="FH15">
        <v>964.94502415249121</v>
      </c>
      <c r="FI15">
        <v>964.94502415249121</v>
      </c>
      <c r="FJ15">
        <v>860.8258885113919</v>
      </c>
      <c r="FK15">
        <v>0</v>
      </c>
      <c r="FL15">
        <v>100.63581646429331</v>
      </c>
      <c r="FM15">
        <v>3.4833191768058955</v>
      </c>
      <c r="FN15">
        <v>0</v>
      </c>
    </row>
    <row r="16" spans="1:170" x14ac:dyDescent="0.25">
      <c r="A16">
        <v>2011</v>
      </c>
      <c r="C16">
        <v>179150.59628162673</v>
      </c>
      <c r="D16">
        <v>8375164</v>
      </c>
      <c r="F16">
        <v>3687875</v>
      </c>
      <c r="G16">
        <v>365100.23076133378</v>
      </c>
      <c r="H16">
        <v>96509</v>
      </c>
      <c r="I16">
        <v>10001.267201061475</v>
      </c>
      <c r="K16">
        <v>3409.28</v>
      </c>
      <c r="L16">
        <v>3502.5647619047613</v>
      </c>
      <c r="M16">
        <v>0.97336672745658781</v>
      </c>
      <c r="Q16">
        <v>2.2709999661051419</v>
      </c>
      <c r="R16">
        <v>43.593203758318495</v>
      </c>
      <c r="S16">
        <v>99.000164257555852</v>
      </c>
      <c r="T16">
        <v>45.632061275559536</v>
      </c>
      <c r="U16">
        <v>103.63040961010347</v>
      </c>
      <c r="V16">
        <v>21390.697099379395</v>
      </c>
      <c r="W16">
        <v>48578.272387655961</v>
      </c>
      <c r="X16">
        <v>1.403409542931664</v>
      </c>
      <c r="AB16">
        <v>6464.0223559759233</v>
      </c>
      <c r="AC16">
        <v>39.994926913155631</v>
      </c>
      <c r="AD16">
        <v>1147.7836629406706</v>
      </c>
      <c r="AE16">
        <v>26.04557179707653</v>
      </c>
      <c r="AF16">
        <v>1121.7380911435939</v>
      </c>
      <c r="AG16">
        <v>1389.5603611349959</v>
      </c>
      <c r="AH16">
        <v>1903.9124677558036</v>
      </c>
      <c r="AI16">
        <v>1712.788650042992</v>
      </c>
      <c r="AJ16">
        <v>0.5231298366294066</v>
      </c>
      <c r="AK16">
        <v>0</v>
      </c>
      <c r="AL16">
        <v>103.1184006878762</v>
      </c>
      <c r="AM16">
        <v>0</v>
      </c>
      <c r="AN16">
        <v>87.482287188306202</v>
      </c>
      <c r="AO16">
        <v>584.98761822871882</v>
      </c>
      <c r="AP16">
        <v>1485.2656061908849</v>
      </c>
      <c r="AR16">
        <v>6464.0223559759197</v>
      </c>
      <c r="AS16">
        <v>5777.6687923951422</v>
      </c>
      <c r="AT16">
        <v>4631.7228755289507</v>
      </c>
      <c r="AU16">
        <v>0.52806725900448992</v>
      </c>
      <c r="AV16">
        <v>976.53475944845331</v>
      </c>
      <c r="AW16">
        <v>168.88309015873469</v>
      </c>
      <c r="AX16">
        <v>686.35356358077763</v>
      </c>
      <c r="AZ16">
        <v>1</v>
      </c>
      <c r="BA16">
        <v>0.89381943226940563</v>
      </c>
      <c r="BB16">
        <v>0.71653880826185146</v>
      </c>
      <c r="BC16">
        <v>8.1693290945427708E-5</v>
      </c>
      <c r="BD16">
        <v>0.15107230539598263</v>
      </c>
      <c r="BE16">
        <v>2.6126625320626262E-2</v>
      </c>
      <c r="BF16">
        <v>0.10618056773059442</v>
      </c>
      <c r="BJ16">
        <v>6983.0333969518833</v>
      </c>
      <c r="BK16">
        <v>168.64588027188341</v>
      </c>
      <c r="BL16">
        <v>3550.5953661599992</v>
      </c>
      <c r="BM16">
        <v>68.809035600000016</v>
      </c>
      <c r="BN16">
        <v>3481.786330559999</v>
      </c>
      <c r="BO16">
        <v>3263.7921505200011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6983.0333969518824</v>
      </c>
      <c r="CA16">
        <v>6983.0333969518824</v>
      </c>
      <c r="CB16">
        <v>6105.0587484377647</v>
      </c>
      <c r="CC16">
        <v>0</v>
      </c>
      <c r="CD16">
        <v>849.32462869266556</v>
      </c>
      <c r="CE16">
        <v>28.650019821451988</v>
      </c>
      <c r="CF16">
        <v>0</v>
      </c>
      <c r="CH16">
        <v>1</v>
      </c>
      <c r="CI16">
        <v>1</v>
      </c>
      <c r="CJ16">
        <v>0.87427030652647941</v>
      </c>
      <c r="CK16">
        <v>0</v>
      </c>
      <c r="CL16">
        <v>0.12162688912004897</v>
      </c>
      <c r="CM16">
        <v>4.1028043534716329E-3</v>
      </c>
      <c r="CN16">
        <v>0</v>
      </c>
      <c r="CR16">
        <v>20384.796122428212</v>
      </c>
      <c r="CS16">
        <v>18220.326897076367</v>
      </c>
      <c r="CT16">
        <v>14606.497520225519</v>
      </c>
      <c r="CU16">
        <v>1.6653010804927548</v>
      </c>
      <c r="CV16">
        <v>3079.5781452423175</v>
      </c>
      <c r="CW16">
        <v>532.58593052803701</v>
      </c>
      <c r="CX16">
        <v>2164.4692253518474</v>
      </c>
      <c r="CZ16">
        <v>12535.594573696861</v>
      </c>
      <c r="DA16">
        <v>9893.6700212801716</v>
      </c>
      <c r="DB16">
        <v>4.910956882997203</v>
      </c>
      <c r="DC16">
        <v>2234.8479808701786</v>
      </c>
      <c r="DD16">
        <v>402.16561466351391</v>
      </c>
      <c r="DF16">
        <v>1893.5114115722149</v>
      </c>
      <c r="DG16">
        <v>1893.5114115722149</v>
      </c>
      <c r="DH16">
        <v>1655.4408022066273</v>
      </c>
      <c r="DI16">
        <v>0</v>
      </c>
      <c r="DJ16">
        <v>230.30190250284119</v>
      </c>
      <c r="DK16">
        <v>7.7687068627467006</v>
      </c>
      <c r="DL16">
        <v>0</v>
      </c>
      <c r="DN16">
        <v>0.68800053064406441</v>
      </c>
      <c r="DO16">
        <v>0.67734718796073268</v>
      </c>
      <c r="DP16">
        <v>2.9489903901005539</v>
      </c>
      <c r="DQ16">
        <v>0.72569938980857684</v>
      </c>
      <c r="DR16">
        <v>0.75511873598460133</v>
      </c>
      <c r="DV16">
        <v>205.90668990604641</v>
      </c>
      <c r="DW16">
        <v>184.04340067229495</v>
      </c>
      <c r="DX16">
        <v>147.54013419842107</v>
      </c>
      <c r="DY16">
        <v>1.6821195126104613E-2</v>
      </c>
      <c r="DZ16">
        <v>31.10679834056214</v>
      </c>
      <c r="EA16">
        <v>5.3796469381856529</v>
      </c>
      <c r="EB16">
        <v>21.863289233751463</v>
      </c>
      <c r="ED16">
        <v>126.6219573240771</v>
      </c>
      <c r="EE16">
        <v>99.935895010649645</v>
      </c>
      <c r="EF16">
        <v>4.9605542776888785E-2</v>
      </c>
      <c r="EG16">
        <v>22.574184574644395</v>
      </c>
      <c r="EH16">
        <v>4.0622721960061803</v>
      </c>
      <c r="EJ16">
        <v>19.126346160862042</v>
      </c>
      <c r="EK16">
        <v>19.126346160862042</v>
      </c>
      <c r="EL16">
        <v>16.721596520788413</v>
      </c>
      <c r="EM16">
        <v>0</v>
      </c>
      <c r="EN16">
        <v>2.3262779837788421</v>
      </c>
      <c r="EO16">
        <v>7.8471656294790262E-2</v>
      </c>
      <c r="EP16">
        <v>0</v>
      </c>
      <c r="ET16">
        <v>8976.1322882751829</v>
      </c>
      <c r="EU16">
        <v>8023.041465881206</v>
      </c>
      <c r="EV16">
        <v>6431.7471326414252</v>
      </c>
      <c r="EW16">
        <v>0.73328978659071253</v>
      </c>
      <c r="EX16">
        <v>1356.0449983290491</v>
      </c>
      <c r="EY16">
        <v>234.51604512414141</v>
      </c>
      <c r="EZ16">
        <v>953.09082239397867</v>
      </c>
      <c r="FB16">
        <v>5519.8567859056029</v>
      </c>
      <c r="FC16">
        <v>4356.5258339691754</v>
      </c>
      <c r="FD16">
        <v>2.1624645338148971</v>
      </c>
      <c r="FE16">
        <v>984.08102784036362</v>
      </c>
      <c r="FF16">
        <v>177.08745956224936</v>
      </c>
      <c r="FH16">
        <v>833.77870534259171</v>
      </c>
      <c r="FI16">
        <v>833.77870534259171</v>
      </c>
      <c r="FJ16">
        <v>728.94796429511894</v>
      </c>
      <c r="FK16">
        <v>0</v>
      </c>
      <c r="FL16">
        <v>101.40991014536139</v>
      </c>
      <c r="FM16">
        <v>3.4208309021115273</v>
      </c>
      <c r="FN16">
        <v>0</v>
      </c>
    </row>
    <row r="17" spans="1:170" x14ac:dyDescent="0.25">
      <c r="A17">
        <v>2012</v>
      </c>
      <c r="C17">
        <v>180086.79197412098</v>
      </c>
      <c r="D17">
        <v>8408121</v>
      </c>
      <c r="F17">
        <v>3712195</v>
      </c>
      <c r="G17">
        <v>367796.69383798243</v>
      </c>
      <c r="H17">
        <v>102785</v>
      </c>
      <c r="I17">
        <v>10037.093402578728</v>
      </c>
      <c r="K17">
        <v>3552.85</v>
      </c>
      <c r="L17">
        <v>3502.5647619047613</v>
      </c>
      <c r="M17">
        <v>1.0143566904578496</v>
      </c>
      <c r="Q17">
        <v>2.2649998181668796</v>
      </c>
      <c r="R17">
        <v>43.743030557954903</v>
      </c>
      <c r="S17">
        <v>99.077956259836128</v>
      </c>
      <c r="T17">
        <v>43.113179661018421</v>
      </c>
      <c r="U17">
        <v>97.651344092802731</v>
      </c>
      <c r="V17">
        <v>21418.196999558044</v>
      </c>
      <c r="W17">
        <v>48512.212309461378</v>
      </c>
      <c r="X17">
        <v>1.424270384273419</v>
      </c>
      <c r="AB17">
        <v>6583.8594153052436</v>
      </c>
      <c r="AC17">
        <v>42.070249355116083</v>
      </c>
      <c r="AD17">
        <v>1045.5659501289772</v>
      </c>
      <c r="AE17">
        <v>27.117024935511601</v>
      </c>
      <c r="AF17">
        <v>1018.4489251934656</v>
      </c>
      <c r="AG17">
        <v>1414.4495270851239</v>
      </c>
      <c r="AH17">
        <v>2013.1235597592427</v>
      </c>
      <c r="AI17">
        <v>1810.6328460877037</v>
      </c>
      <c r="AJ17">
        <v>0.6351676698194324</v>
      </c>
      <c r="AK17">
        <v>0</v>
      </c>
      <c r="AL17">
        <v>107.8962166809974</v>
      </c>
      <c r="AM17">
        <v>0</v>
      </c>
      <c r="AN17">
        <v>93.959329320722205</v>
      </c>
      <c r="AO17">
        <v>654.32785898538259</v>
      </c>
      <c r="AP17">
        <v>1508.2815993121239</v>
      </c>
      <c r="AR17">
        <v>6583.8594153052427</v>
      </c>
      <c r="AS17">
        <v>5884.6797889510035</v>
      </c>
      <c r="AT17">
        <v>4734.1379297710828</v>
      </c>
      <c r="AU17">
        <v>0.61289051304098596</v>
      </c>
      <c r="AV17">
        <v>975.76894787423771</v>
      </c>
      <c r="AW17">
        <v>174.16002079264206</v>
      </c>
      <c r="AX17">
        <v>699.17962635423908</v>
      </c>
      <c r="AZ17">
        <v>1</v>
      </c>
      <c r="BA17">
        <v>0.89380398604367473</v>
      </c>
      <c r="BB17">
        <v>0.71905209864685382</v>
      </c>
      <c r="BC17">
        <v>9.3089854199532752E-5</v>
      </c>
      <c r="BD17">
        <v>0.14820622469640002</v>
      </c>
      <c r="BE17">
        <v>2.6452572846221323E-2</v>
      </c>
      <c r="BF17">
        <v>0.10619601395632527</v>
      </c>
      <c r="BJ17">
        <v>6731.1385274143959</v>
      </c>
      <c r="BK17">
        <v>176.71954989439584</v>
      </c>
      <c r="BL17">
        <v>3232.1672834400015</v>
      </c>
      <c r="BM17">
        <v>71.639676359999996</v>
      </c>
      <c r="BN17">
        <v>3160.5276070800014</v>
      </c>
      <c r="BO17">
        <v>3322.2516940799987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6731.1385274143931</v>
      </c>
      <c r="CA17">
        <v>6731.1385274143931</v>
      </c>
      <c r="CB17">
        <v>5929.8402600281006</v>
      </c>
      <c r="CC17">
        <v>0</v>
      </c>
      <c r="CD17">
        <v>774.50496875974613</v>
      </c>
      <c r="CE17">
        <v>26.793298626547276</v>
      </c>
      <c r="CF17">
        <v>0</v>
      </c>
      <c r="CH17">
        <v>1</v>
      </c>
      <c r="CI17">
        <v>1</v>
      </c>
      <c r="CJ17">
        <v>0.88095650325382735</v>
      </c>
      <c r="CK17">
        <v>0</v>
      </c>
      <c r="CL17">
        <v>0.11506299649091516</v>
      </c>
      <c r="CM17">
        <v>3.9805002552576029E-3</v>
      </c>
      <c r="CN17">
        <v>0</v>
      </c>
      <c r="CR17">
        <v>20626.687175646744</v>
      </c>
      <c r="CS17">
        <v>18436.215216469009</v>
      </c>
      <c r="CT17">
        <v>14831.662701780941</v>
      </c>
      <c r="CU17">
        <v>1.9201353018003275</v>
      </c>
      <c r="CV17">
        <v>3057.0034342962545</v>
      </c>
      <c r="CW17">
        <v>545.62894509001467</v>
      </c>
      <c r="CX17">
        <v>2190.4719591777375</v>
      </c>
      <c r="CZ17">
        <v>13026.875656443</v>
      </c>
      <c r="DA17">
        <v>10342.04470317316</v>
      </c>
      <c r="DB17">
        <v>5.8279818360681679</v>
      </c>
      <c r="DC17">
        <v>2265.4735194278578</v>
      </c>
      <c r="DD17">
        <v>413.52945200591302</v>
      </c>
      <c r="DF17">
        <v>1813.2502542065797</v>
      </c>
      <c r="DG17">
        <v>1813.2502542065797</v>
      </c>
      <c r="DH17">
        <v>1597.394603469942</v>
      </c>
      <c r="DI17">
        <v>0</v>
      </c>
      <c r="DJ17">
        <v>208.63800763692265</v>
      </c>
      <c r="DK17">
        <v>7.217643099715203</v>
      </c>
      <c r="DL17">
        <v>0</v>
      </c>
      <c r="DN17">
        <v>0.70659164603405877</v>
      </c>
      <c r="DO17">
        <v>0.69729503098336509</v>
      </c>
      <c r="DP17">
        <v>3.0351933171604237</v>
      </c>
      <c r="DQ17">
        <v>0.74107653724287925</v>
      </c>
      <c r="DR17">
        <v>0.75789500488778383</v>
      </c>
      <c r="DV17">
        <v>208.1864418110562</v>
      </c>
      <c r="DW17">
        <v>186.07787153097161</v>
      </c>
      <c r="DX17">
        <v>149.69689789406107</v>
      </c>
      <c r="DY17">
        <v>1.9380045514510731E-2</v>
      </c>
      <c r="DZ17">
        <v>30.854526573793404</v>
      </c>
      <c r="EA17">
        <v>5.5070670176025809</v>
      </c>
      <c r="EB17">
        <v>22.108570280084624</v>
      </c>
      <c r="ED17">
        <v>131.48106953558334</v>
      </c>
      <c r="EE17">
        <v>104.38290305515297</v>
      </c>
      <c r="EF17">
        <v>5.8822184631907817E-2</v>
      </c>
      <c r="EG17">
        <v>22.865565711575215</v>
      </c>
      <c r="EH17">
        <v>4.1737785842232613</v>
      </c>
      <c r="EJ17">
        <v>18.301248054120677</v>
      </c>
      <c r="EK17">
        <v>18.301248054120677</v>
      </c>
      <c r="EL17">
        <v>16.122603490939067</v>
      </c>
      <c r="EM17">
        <v>0</v>
      </c>
      <c r="EN17">
        <v>2.1057964406306553</v>
      </c>
      <c r="EO17">
        <v>7.284812255096007E-2</v>
      </c>
      <c r="EP17">
        <v>0</v>
      </c>
      <c r="ET17">
        <v>9106.7058858929322</v>
      </c>
      <c r="EU17">
        <v>8139.6100205384973</v>
      </c>
      <c r="EV17">
        <v>6548.1959790109695</v>
      </c>
      <c r="EW17">
        <v>0.84774192315579988</v>
      </c>
      <c r="EX17">
        <v>1349.6704987686769</v>
      </c>
      <c r="EY17">
        <v>240.8958008356953</v>
      </c>
      <c r="EZ17">
        <v>967.09586535443555</v>
      </c>
      <c r="FB17">
        <v>5751.3804424876162</v>
      </c>
      <c r="FC17">
        <v>4566.0245180696011</v>
      </c>
      <c r="FD17">
        <v>2.5730606198392096</v>
      </c>
      <c r="FE17">
        <v>1000.2091396463608</v>
      </c>
      <c r="FF17">
        <v>182.5737241518159</v>
      </c>
      <c r="FH17">
        <v>800.55205288011359</v>
      </c>
      <c r="FI17">
        <v>800.55205288011359</v>
      </c>
      <c r="FJ17">
        <v>705.25153717793808</v>
      </c>
      <c r="FK17">
        <v>0</v>
      </c>
      <c r="FL17">
        <v>92.113918051339425</v>
      </c>
      <c r="FM17">
        <v>3.1865976508362901</v>
      </c>
      <c r="FN17">
        <v>0</v>
      </c>
    </row>
    <row r="18" spans="1:170" x14ac:dyDescent="0.25">
      <c r="A18">
        <v>2013</v>
      </c>
      <c r="C18">
        <v>179942.95889106288</v>
      </c>
      <c r="D18">
        <v>8451860</v>
      </c>
      <c r="F18">
        <v>3759724</v>
      </c>
      <c r="G18">
        <v>374629.76408457599</v>
      </c>
      <c r="H18">
        <v>126512</v>
      </c>
      <c r="I18">
        <v>14222.16098810814</v>
      </c>
      <c r="K18">
        <v>3635.43</v>
      </c>
      <c r="L18">
        <v>3502.5647619047613</v>
      </c>
      <c r="M18">
        <v>1.037933699196752</v>
      </c>
      <c r="Q18">
        <v>2.2480001191576831</v>
      </c>
      <c r="R18">
        <v>44.325126550200309</v>
      </c>
      <c r="S18">
        <v>99.642889766529677</v>
      </c>
      <c r="T18">
        <v>50.007775816489158</v>
      </c>
      <c r="U18">
        <v>112.41748599427832</v>
      </c>
      <c r="V18">
        <v>21290.338326837271</v>
      </c>
      <c r="W18">
        <v>47860.683095637571</v>
      </c>
      <c r="X18">
        <v>1.4209107641039851</v>
      </c>
      <c r="AB18">
        <v>6811.4963026655187</v>
      </c>
      <c r="AC18">
        <v>31.866208082545143</v>
      </c>
      <c r="AD18">
        <v>1124.4922613929489</v>
      </c>
      <c r="AE18">
        <v>30.65124677558039</v>
      </c>
      <c r="AF18">
        <v>1093.8410146173685</v>
      </c>
      <c r="AG18">
        <v>1429.039036973345</v>
      </c>
      <c r="AH18">
        <v>2075.5796216680992</v>
      </c>
      <c r="AI18">
        <v>1855.6717110920033</v>
      </c>
      <c r="AJ18">
        <v>1.05116079105761</v>
      </c>
      <c r="AK18">
        <v>0</v>
      </c>
      <c r="AL18">
        <v>119.2210662080825</v>
      </c>
      <c r="AM18">
        <v>0</v>
      </c>
      <c r="AN18">
        <v>99.635683576956083</v>
      </c>
      <c r="AO18">
        <v>732.59991401547722</v>
      </c>
      <c r="AP18">
        <v>1517.55494411006</v>
      </c>
      <c r="AR18">
        <v>6811.4963026655196</v>
      </c>
      <c r="AS18">
        <v>6111.6390629334091</v>
      </c>
      <c r="AT18">
        <v>4968.8697173489554</v>
      </c>
      <c r="AU18">
        <v>0.77834623101175116</v>
      </c>
      <c r="AV18">
        <v>970.1774222640687</v>
      </c>
      <c r="AW18">
        <v>171.81357708937347</v>
      </c>
      <c r="AX18">
        <v>699.85723973211043</v>
      </c>
      <c r="AZ18">
        <v>1</v>
      </c>
      <c r="BA18">
        <v>0.89725352424279559</v>
      </c>
      <c r="BB18">
        <v>0.72948284731572188</v>
      </c>
      <c r="BC18">
        <v>1.142694932840474E-4</v>
      </c>
      <c r="BD18">
        <v>0.14243234953888359</v>
      </c>
      <c r="BE18">
        <v>2.5224057894906036E-2</v>
      </c>
      <c r="BF18">
        <v>0.10274647575720443</v>
      </c>
      <c r="BJ18">
        <v>6963.8981988364621</v>
      </c>
      <c r="BK18">
        <v>132.25055667646205</v>
      </c>
      <c r="BL18">
        <v>3475.128183119999</v>
      </c>
      <c r="BM18">
        <v>80.976633839999991</v>
      </c>
      <c r="BN18">
        <v>3394.151549279999</v>
      </c>
      <c r="BO18">
        <v>3356.519459040001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6963.8981988364612</v>
      </c>
      <c r="CA18">
        <v>6963.8981988364612</v>
      </c>
      <c r="CB18">
        <v>6153.716897934497</v>
      </c>
      <c r="CC18">
        <v>0</v>
      </c>
      <c r="CD18">
        <v>784.21788623658699</v>
      </c>
      <c r="CE18">
        <v>25.963414665376888</v>
      </c>
      <c r="CF18">
        <v>0</v>
      </c>
      <c r="CH18">
        <v>1</v>
      </c>
      <c r="CI18">
        <v>1</v>
      </c>
      <c r="CJ18">
        <v>0.88365980119621357</v>
      </c>
      <c r="CK18">
        <v>0</v>
      </c>
      <c r="CL18">
        <v>0.11261191129525923</v>
      </c>
      <c r="CM18">
        <v>3.7282875085271772E-3</v>
      </c>
      <c r="CN18">
        <v>0</v>
      </c>
      <c r="CR18">
        <v>21070.084399812327</v>
      </c>
      <c r="CS18">
        <v>18905.207483824754</v>
      </c>
      <c r="CT18">
        <v>15370.265161157668</v>
      </c>
      <c r="CU18">
        <v>2.4076678678186663</v>
      </c>
      <c r="CV18">
        <v>3001.0616260478482</v>
      </c>
      <c r="CW18">
        <v>531.47302875142259</v>
      </c>
      <c r="CX18">
        <v>2164.8769159875683</v>
      </c>
      <c r="CZ18">
        <v>13638.866885617052</v>
      </c>
      <c r="DA18">
        <v>10968.632317731372</v>
      </c>
      <c r="DB18">
        <v>7.5932995867353954</v>
      </c>
      <c r="DC18">
        <v>2258.0419370221284</v>
      </c>
      <c r="DD18">
        <v>404.59933127681546</v>
      </c>
      <c r="DF18">
        <v>1852.236546841327</v>
      </c>
      <c r="DG18">
        <v>1852.236546841327</v>
      </c>
      <c r="DH18">
        <v>1636.746978750168</v>
      </c>
      <c r="DI18">
        <v>0</v>
      </c>
      <c r="DJ18">
        <v>208.58389771073277</v>
      </c>
      <c r="DK18">
        <v>6.9056703804260327</v>
      </c>
      <c r="DL18">
        <v>0</v>
      </c>
      <c r="DN18">
        <v>0.72143439299920042</v>
      </c>
      <c r="DO18">
        <v>0.71362674636546286</v>
      </c>
      <c r="DP18">
        <v>3.1537986149289283</v>
      </c>
      <c r="DQ18">
        <v>0.75241438477082667</v>
      </c>
      <c r="DR18">
        <v>0.76127914191117341</v>
      </c>
      <c r="DV18">
        <v>211.45597492386079</v>
      </c>
      <c r="DW18">
        <v>189.72961872263028</v>
      </c>
      <c r="DX18">
        <v>154.25350666937987</v>
      </c>
      <c r="DY18">
        <v>2.4162967106433807E-2</v>
      </c>
      <c r="DZ18">
        <v>30.118171332440749</v>
      </c>
      <c r="EA18">
        <v>5.3337777537032638</v>
      </c>
      <c r="EB18">
        <v>21.726356201230491</v>
      </c>
      <c r="ED18">
        <v>136.8774723171305</v>
      </c>
      <c r="EE18">
        <v>110.07942807993278</v>
      </c>
      <c r="EF18">
        <v>7.6205132192844194E-2</v>
      </c>
      <c r="EG18">
        <v>22.661345353520758</v>
      </c>
      <c r="EH18">
        <v>4.0604937514841275</v>
      </c>
      <c r="EJ18">
        <v>18.588747789041928</v>
      </c>
      <c r="EK18">
        <v>18.588747789041928</v>
      </c>
      <c r="EL18">
        <v>16.426129175751342</v>
      </c>
      <c r="EM18">
        <v>0</v>
      </c>
      <c r="EN18">
        <v>2.0933144171095357</v>
      </c>
      <c r="EO18">
        <v>6.930419618104719E-2</v>
      </c>
      <c r="EP18">
        <v>0</v>
      </c>
      <c r="ET18">
        <v>9372.8128482961147</v>
      </c>
      <c r="EU18">
        <v>8409.7893602018412</v>
      </c>
      <c r="EV18">
        <v>6837.3062039324304</v>
      </c>
      <c r="EW18">
        <v>1.0710265748210059</v>
      </c>
      <c r="EX18">
        <v>1334.9917557710512</v>
      </c>
      <c r="EY18">
        <v>236.4203739235403</v>
      </c>
      <c r="EZ18">
        <v>963.02348809427076</v>
      </c>
      <c r="FB18">
        <v>6067.1112823283493</v>
      </c>
      <c r="FC18">
        <v>4879.2845802166939</v>
      </c>
      <c r="FD18">
        <v>3.3778021282225623</v>
      </c>
      <c r="FE18">
        <v>1004.4670005926014</v>
      </c>
      <c r="FF18">
        <v>179.98189939083156</v>
      </c>
      <c r="FH18">
        <v>823.94859815903965</v>
      </c>
      <c r="FI18">
        <v>823.94859815903965</v>
      </c>
      <c r="FJ18">
        <v>728.09025444511587</v>
      </c>
      <c r="FK18">
        <v>0</v>
      </c>
      <c r="FL18">
        <v>92.786426447738961</v>
      </c>
      <c r="FM18">
        <v>3.0719172661848257</v>
      </c>
      <c r="FN18">
        <v>0</v>
      </c>
    </row>
    <row r="19" spans="1:170" x14ac:dyDescent="0.25">
      <c r="A19">
        <v>2014</v>
      </c>
      <c r="C19">
        <v>180490.87846750137</v>
      </c>
      <c r="D19">
        <v>8507786</v>
      </c>
      <c r="F19">
        <v>3827164</v>
      </c>
      <c r="G19">
        <v>381689.05997537746</v>
      </c>
      <c r="H19">
        <v>147434</v>
      </c>
      <c r="I19">
        <v>14542.968640338921</v>
      </c>
      <c r="K19">
        <v>3126.98</v>
      </c>
      <c r="L19">
        <v>3502.5647619047613</v>
      </c>
      <c r="M19">
        <v>0.89276864599628092</v>
      </c>
      <c r="Q19">
        <v>2.2230001118321554</v>
      </c>
      <c r="R19">
        <v>44.863500324923244</v>
      </c>
      <c r="S19">
        <v>99.731566239486327</v>
      </c>
      <c r="T19">
        <v>44.372708078750598</v>
      </c>
      <c r="U19">
        <v>98.640535021358161</v>
      </c>
      <c r="V19">
        <v>21214.7882501395</v>
      </c>
      <c r="W19">
        <v>47160.476652555612</v>
      </c>
      <c r="X19">
        <v>1.3973368239479851</v>
      </c>
      <c r="AB19">
        <v>6135.1783319002589</v>
      </c>
      <c r="AC19">
        <v>26.360189165950125</v>
      </c>
      <c r="AD19">
        <v>979.98581255374029</v>
      </c>
      <c r="AE19">
        <v>26.196130696474629</v>
      </c>
      <c r="AF19">
        <v>953.7896818572658</v>
      </c>
      <c r="AG19">
        <v>1251.5374032674119</v>
      </c>
      <c r="AH19">
        <v>1851.9679277730006</v>
      </c>
      <c r="AI19">
        <v>1628.6104901117797</v>
      </c>
      <c r="AJ19">
        <v>1.586930352536543</v>
      </c>
      <c r="AK19">
        <v>0</v>
      </c>
      <c r="AL19">
        <v>117.079105760963</v>
      </c>
      <c r="AM19">
        <v>0</v>
      </c>
      <c r="AN19">
        <v>104.69140154772138</v>
      </c>
      <c r="AO19">
        <v>684.14118658641439</v>
      </c>
      <c r="AP19">
        <v>1445.877214101462</v>
      </c>
      <c r="AR19">
        <v>6135.1783319002589</v>
      </c>
      <c r="AS19">
        <v>5454.881350912392</v>
      </c>
      <c r="AT19">
        <v>4267.5191558673569</v>
      </c>
      <c r="AU19">
        <v>0.49519919747778735</v>
      </c>
      <c r="AV19">
        <v>1005.2580675872438</v>
      </c>
      <c r="AW19">
        <v>181.60892826031304</v>
      </c>
      <c r="AX19">
        <v>680.29698098786662</v>
      </c>
      <c r="AZ19">
        <v>1</v>
      </c>
      <c r="BA19">
        <v>0.88911536972762173</v>
      </c>
      <c r="BB19">
        <v>0.69558192525197082</v>
      </c>
      <c r="BC19">
        <v>8.0714719391768432E-5</v>
      </c>
      <c r="BD19">
        <v>0.16385148290805812</v>
      </c>
      <c r="BE19">
        <v>2.960124684820091E-2</v>
      </c>
      <c r="BF19">
        <v>0.11088463027237826</v>
      </c>
      <c r="BJ19">
        <v>6078.3288962300694</v>
      </c>
      <c r="BK19">
        <v>110.46251843006908</v>
      </c>
      <c r="BL19">
        <v>3028.261833</v>
      </c>
      <c r="BM19">
        <v>69.206792759999999</v>
      </c>
      <c r="BN19">
        <v>2959.0550402399999</v>
      </c>
      <c r="BO19">
        <v>2939.6045448000004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6078.3288962300703</v>
      </c>
      <c r="CA19">
        <v>6078.3288962300703</v>
      </c>
      <c r="CB19">
        <v>5257.0668346366438</v>
      </c>
      <c r="CC19">
        <v>0</v>
      </c>
      <c r="CD19">
        <v>795.72370485256624</v>
      </c>
      <c r="CE19">
        <v>25.538356740860401</v>
      </c>
      <c r="CF19">
        <v>0</v>
      </c>
      <c r="CH19">
        <v>1</v>
      </c>
      <c r="CI19">
        <v>1</v>
      </c>
      <c r="CJ19">
        <v>0.86488686683229765</v>
      </c>
      <c r="CK19">
        <v>0</v>
      </c>
      <c r="CL19">
        <v>0.13091159074101663</v>
      </c>
      <c r="CM19">
        <v>4.2015424266857162E-3</v>
      </c>
      <c r="CN19">
        <v>0</v>
      </c>
      <c r="CR19">
        <v>18643.602416828759</v>
      </c>
      <c r="CS19">
        <v>16576.313455893483</v>
      </c>
      <c r="CT19">
        <v>12968.152862730039</v>
      </c>
      <c r="CU19">
        <v>1.504813137526029</v>
      </c>
      <c r="CV19">
        <v>3054.781902745648</v>
      </c>
      <c r="CW19">
        <v>551.87387728026317</v>
      </c>
      <c r="CX19">
        <v>2067.2889609352742</v>
      </c>
      <c r="CZ19">
        <v>12127.69357740825</v>
      </c>
      <c r="DA19">
        <v>9386.0357864219131</v>
      </c>
      <c r="DB19">
        <v>4.910360715769496</v>
      </c>
      <c r="DC19">
        <v>2314.5039997897748</v>
      </c>
      <c r="DD19">
        <v>422.24343048079157</v>
      </c>
      <c r="DF19">
        <v>1588.2070630446119</v>
      </c>
      <c r="DG19">
        <v>1588.2070630446119</v>
      </c>
      <c r="DH19">
        <v>1373.6194306375801</v>
      </c>
      <c r="DI19">
        <v>0</v>
      </c>
      <c r="DJ19">
        <v>207.91471304928825</v>
      </c>
      <c r="DK19">
        <v>6.6729193577438553</v>
      </c>
      <c r="DL19">
        <v>0</v>
      </c>
      <c r="DN19">
        <v>0.73162791049275278</v>
      </c>
      <c r="DO19">
        <v>0.72377584423738628</v>
      </c>
      <c r="DP19">
        <v>3.2631033005482122</v>
      </c>
      <c r="DQ19">
        <v>0.75766587385812756</v>
      </c>
      <c r="DR19">
        <v>0.76510856531511429</v>
      </c>
      <c r="DV19">
        <v>186.9378284109136</v>
      </c>
      <c r="DW19">
        <v>166.20929642364814</v>
      </c>
      <c r="DX19">
        <v>130.03057458848582</v>
      </c>
      <c r="DY19">
        <v>1.5088634363893448E-2</v>
      </c>
      <c r="DZ19">
        <v>30.630040396740309</v>
      </c>
      <c r="EA19">
        <v>5.5335928040580784</v>
      </c>
      <c r="EB19">
        <v>20.728531987265441</v>
      </c>
      <c r="ED19">
        <v>121.60336024690426</v>
      </c>
      <c r="EE19">
        <v>94.112988899453754</v>
      </c>
      <c r="EF19">
        <v>4.9235772593585886E-2</v>
      </c>
      <c r="EG19">
        <v>23.207336323505992</v>
      </c>
      <c r="EH19">
        <v>4.2337992513509164</v>
      </c>
      <c r="EJ19">
        <v>15.924818218845935</v>
      </c>
      <c r="EK19">
        <v>15.924818218845935</v>
      </c>
      <c r="EL19">
        <v>13.773166134171554</v>
      </c>
      <c r="EM19">
        <v>0</v>
      </c>
      <c r="EN19">
        <v>2.0847432852906445</v>
      </c>
      <c r="EO19">
        <v>6.6908799383738879E-2</v>
      </c>
      <c r="EP19">
        <v>0</v>
      </c>
      <c r="ET19">
        <v>8386.6853256534687</v>
      </c>
      <c r="EU19">
        <v>7456.7308241076034</v>
      </c>
      <c r="EV19">
        <v>5833.6267253004908</v>
      </c>
      <c r="EW19">
        <v>0.67692895268718178</v>
      </c>
      <c r="EX19">
        <v>1374.1708272915712</v>
      </c>
      <c r="EY19">
        <v>248.25634256285255</v>
      </c>
      <c r="EZ19">
        <v>929.95450154586524</v>
      </c>
      <c r="FB19">
        <v>5455.5523919487487</v>
      </c>
      <c r="FC19">
        <v>4222.2381080701416</v>
      </c>
      <c r="FD19">
        <v>2.2088890997501873</v>
      </c>
      <c r="FE19">
        <v>1041.1623406902145</v>
      </c>
      <c r="FF19">
        <v>189.94305408864167</v>
      </c>
      <c r="FH19">
        <v>714.44308733553839</v>
      </c>
      <c r="FI19">
        <v>714.44308733553839</v>
      </c>
      <c r="FJ19">
        <v>617.91244333562736</v>
      </c>
      <c r="FK19">
        <v>0</v>
      </c>
      <c r="FL19">
        <v>93.528881057018395</v>
      </c>
      <c r="FM19">
        <v>3.0017629428925936</v>
      </c>
      <c r="FN19">
        <v>0</v>
      </c>
    </row>
    <row r="20" spans="1:170" x14ac:dyDescent="0.25">
      <c r="A20">
        <v>2015</v>
      </c>
      <c r="C20">
        <v>181370.8</v>
      </c>
      <c r="D20">
        <v>8584926</v>
      </c>
      <c r="F20">
        <v>3877564</v>
      </c>
      <c r="G20">
        <v>384637.11879438272</v>
      </c>
      <c r="H20">
        <v>131829</v>
      </c>
      <c r="I20">
        <v>10565.980017121185</v>
      </c>
      <c r="K20">
        <v>3316.42</v>
      </c>
      <c r="L20">
        <v>3502.5647619047613</v>
      </c>
      <c r="M20">
        <v>0.94685472659082748</v>
      </c>
      <c r="Q20">
        <v>2.213999820505864</v>
      </c>
      <c r="R20">
        <v>44.803778016768312</v>
      </c>
      <c r="S20">
        <v>99.195556487109627</v>
      </c>
      <c r="T20">
        <v>36.201056556540422</v>
      </c>
      <c r="U20">
        <v>80.149132718303122</v>
      </c>
      <c r="V20">
        <v>21126.65851749916</v>
      </c>
      <c r="W20">
        <v>46774.418165631825</v>
      </c>
      <c r="X20">
        <v>1.3673747183251523</v>
      </c>
      <c r="AB20">
        <v>6495.1389509888204</v>
      </c>
      <c r="AC20">
        <v>21.493637145313841</v>
      </c>
      <c r="AD20">
        <v>1020.9733447979363</v>
      </c>
      <c r="AE20">
        <v>26.477042132416159</v>
      </c>
      <c r="AF20">
        <v>994.49630266552015</v>
      </c>
      <c r="AG20">
        <v>1357.578159931212</v>
      </c>
      <c r="AH20">
        <v>1999.8453998280308</v>
      </c>
      <c r="AI20">
        <v>1733.244196044712</v>
      </c>
      <c r="AJ20">
        <v>2.3753224419604471</v>
      </c>
      <c r="AK20">
        <v>0</v>
      </c>
      <c r="AL20">
        <v>127.42760103181432</v>
      </c>
      <c r="AM20">
        <v>0</v>
      </c>
      <c r="AN20">
        <v>136.79828030954428</v>
      </c>
      <c r="AO20">
        <v>751.79742046431636</v>
      </c>
      <c r="AP20">
        <v>1480.249269131556</v>
      </c>
      <c r="AR20">
        <v>6495.1389509888213</v>
      </c>
      <c r="AS20">
        <v>5816.9026607432879</v>
      </c>
      <c r="AT20">
        <v>4656.127309205981</v>
      </c>
      <c r="AU20">
        <v>0.85986911244864828</v>
      </c>
      <c r="AV20">
        <v>983.90241556960052</v>
      </c>
      <c r="AW20">
        <v>176.01306685525734</v>
      </c>
      <c r="AX20">
        <v>678.23629024553361</v>
      </c>
      <c r="AZ20">
        <v>1</v>
      </c>
      <c r="BA20">
        <v>0.89557786286584695</v>
      </c>
      <c r="BB20">
        <v>0.71686338727166588</v>
      </c>
      <c r="BC20">
        <v>1.323865615404181E-4</v>
      </c>
      <c r="BD20">
        <v>0.15148288943376817</v>
      </c>
      <c r="BE20">
        <v>2.7099199598872487E-2</v>
      </c>
      <c r="BF20">
        <v>0.10442213713415303</v>
      </c>
      <c r="BJ20">
        <v>6434.1524883564216</v>
      </c>
      <c r="BK20">
        <v>90.187015316421594</v>
      </c>
      <c r="BL20">
        <v>3155.2929504000003</v>
      </c>
      <c r="BM20">
        <v>69.948924479999988</v>
      </c>
      <c r="BN20">
        <v>3085.3440259200001</v>
      </c>
      <c r="BO20">
        <v>3188.672522639999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6434.1524883564234</v>
      </c>
      <c r="CA20">
        <v>6434.1524883564234</v>
      </c>
      <c r="CB20">
        <v>5663.5936480813634</v>
      </c>
      <c r="CC20">
        <v>0</v>
      </c>
      <c r="CD20">
        <v>746.40926094639099</v>
      </c>
      <c r="CE20">
        <v>24.149579328668107</v>
      </c>
      <c r="CF20">
        <v>0</v>
      </c>
      <c r="CH20">
        <v>1</v>
      </c>
      <c r="CI20">
        <v>1</v>
      </c>
      <c r="CJ20">
        <v>0.88023926357519455</v>
      </c>
      <c r="CK20">
        <v>0</v>
      </c>
      <c r="CL20">
        <v>0.11600739371613153</v>
      </c>
      <c r="CM20">
        <v>3.7533427086738217E-3</v>
      </c>
      <c r="CN20">
        <v>0</v>
      </c>
      <c r="CR20">
        <v>19480.90760075139</v>
      </c>
      <c r="CS20">
        <v>17446.669595767969</v>
      </c>
      <c r="CT20">
        <v>13965.149409800988</v>
      </c>
      <c r="CU20">
        <v>2.5790103729500737</v>
      </c>
      <c r="CV20">
        <v>2951.0241721540774</v>
      </c>
      <c r="CW20">
        <v>527.91700343995421</v>
      </c>
      <c r="CX20">
        <v>2034.2380049834269</v>
      </c>
      <c r="CZ20">
        <v>12963.407977156863</v>
      </c>
      <c r="DA20">
        <v>10281.352789837934</v>
      </c>
      <c r="DB20">
        <v>8.7191871944099102</v>
      </c>
      <c r="DC20">
        <v>2266.7624937494024</v>
      </c>
      <c r="DD20">
        <v>406.57350637511627</v>
      </c>
      <c r="DF20">
        <v>1659.3285084028073</v>
      </c>
      <c r="DG20">
        <v>1659.3285084028073</v>
      </c>
      <c r="DH20">
        <v>1460.6061042658132</v>
      </c>
      <c r="DI20">
        <v>0</v>
      </c>
      <c r="DJ20">
        <v>192.49437557868575</v>
      </c>
      <c r="DK20">
        <v>6.2280285583082851</v>
      </c>
      <c r="DL20">
        <v>0</v>
      </c>
      <c r="DN20">
        <v>0.74303051972173484</v>
      </c>
      <c r="DO20">
        <v>0.73621502270661709</v>
      </c>
      <c r="DP20">
        <v>3.3808267255769979</v>
      </c>
      <c r="DQ20">
        <v>0.76812738951399251</v>
      </c>
      <c r="DR20">
        <v>0.77014663995637023</v>
      </c>
      <c r="DV20">
        <v>196.3889138853001</v>
      </c>
      <c r="DW20">
        <v>175.88156378794193</v>
      </c>
      <c r="DX20">
        <v>140.78402203041975</v>
      </c>
      <c r="DY20">
        <v>2.5999253033932159E-2</v>
      </c>
      <c r="DZ20">
        <v>29.749560128104733</v>
      </c>
      <c r="EA20">
        <v>5.3219823763835281</v>
      </c>
      <c r="EB20">
        <v>20.507350097358184</v>
      </c>
      <c r="ED20">
        <v>130.68536975082594</v>
      </c>
      <c r="EE20">
        <v>103.64731197585436</v>
      </c>
      <c r="EF20">
        <v>8.7898969502156685E-2</v>
      </c>
      <c r="EG20">
        <v>22.851451960390648</v>
      </c>
      <c r="EH20">
        <v>4.0987068450787927</v>
      </c>
      <c r="EJ20">
        <v>16.727851197835012</v>
      </c>
      <c r="EK20">
        <v>16.727851197835012</v>
      </c>
      <c r="EL20">
        <v>14.724511419577729</v>
      </c>
      <c r="EM20">
        <v>0</v>
      </c>
      <c r="EN20">
        <v>1.9405544199321088</v>
      </c>
      <c r="EO20">
        <v>6.2785358325174692E-2</v>
      </c>
      <c r="EP20">
        <v>0</v>
      </c>
      <c r="ET20">
        <v>8798.9653026712149</v>
      </c>
      <c r="EU20">
        <v>7880.1585411970273</v>
      </c>
      <c r="EV20">
        <v>6307.6560713587469</v>
      </c>
      <c r="EW20">
        <v>1.1648647615340866</v>
      </c>
      <c r="EX20">
        <v>1332.8926880761062</v>
      </c>
      <c r="EY20">
        <v>238.44491700064071</v>
      </c>
      <c r="EZ20">
        <v>918.80676147418819</v>
      </c>
      <c r="FB20">
        <v>5855.1982963552946</v>
      </c>
      <c r="FC20">
        <v>4643.7911578009107</v>
      </c>
      <c r="FD20">
        <v>3.9382059174773167</v>
      </c>
      <c r="FE20">
        <v>1023.8313809941876</v>
      </c>
      <c r="FF20">
        <v>183.63755164271905</v>
      </c>
      <c r="FH20">
        <v>749.47093176533178</v>
      </c>
      <c r="FI20">
        <v>749.47093176533178</v>
      </c>
      <c r="FJ20">
        <v>659.7137410481306</v>
      </c>
      <c r="FK20">
        <v>0</v>
      </c>
      <c r="FL20">
        <v>86.944169460096802</v>
      </c>
      <c r="FM20">
        <v>2.8130212571043836</v>
      </c>
      <c r="FN20">
        <v>0</v>
      </c>
    </row>
    <row r="21" spans="1:170" x14ac:dyDescent="0.25">
      <c r="A21">
        <v>2016</v>
      </c>
      <c r="C21">
        <v>184174.18897079112</v>
      </c>
      <c r="D21">
        <v>8700471</v>
      </c>
      <c r="F21">
        <v>3931528</v>
      </c>
      <c r="G21">
        <v>390501.7041811219</v>
      </c>
      <c r="H21">
        <v>136465</v>
      </c>
      <c r="I21">
        <v>13582.79532135412</v>
      </c>
      <c r="K21">
        <v>3419.3</v>
      </c>
      <c r="L21">
        <v>3502.5647619047613</v>
      </c>
      <c r="M21">
        <v>0.976227488265062</v>
      </c>
      <c r="Q21">
        <v>2.2129998819797292</v>
      </c>
      <c r="R21">
        <v>44.882823490949157</v>
      </c>
      <c r="S21">
        <v>99.325683088387493</v>
      </c>
      <c r="T21">
        <v>44.976585932258551</v>
      </c>
      <c r="U21">
        <v>99.533179359939325</v>
      </c>
      <c r="V21">
        <v>21168.301000117248</v>
      </c>
      <c r="W21">
        <v>46845.44761497085</v>
      </c>
      <c r="X21">
        <v>1.3459443726971341</v>
      </c>
      <c r="AB21">
        <v>6774.3005159071372</v>
      </c>
      <c r="AC21">
        <v>20.54436801375752</v>
      </c>
      <c r="AD21">
        <v>1015.1190885640583</v>
      </c>
      <c r="AE21">
        <v>26.47919174548581</v>
      </c>
      <c r="AF21">
        <v>988.63989681857242</v>
      </c>
      <c r="AG21">
        <v>1500.4076526225281</v>
      </c>
      <c r="AH21">
        <v>2060.449871023216</v>
      </c>
      <c r="AI21">
        <v>1780.9061908856409</v>
      </c>
      <c r="AJ21">
        <v>3.625795356835769</v>
      </c>
      <c r="AK21">
        <v>0</v>
      </c>
      <c r="AL21">
        <v>131.1207222699914</v>
      </c>
      <c r="AM21">
        <v>0</v>
      </c>
      <c r="AN21">
        <v>144.79716251074808</v>
      </c>
      <c r="AO21">
        <v>788.71281169389499</v>
      </c>
      <c r="AP21">
        <v>1533.86388650043</v>
      </c>
      <c r="AR21">
        <v>6774.3005159071381</v>
      </c>
      <c r="AS21">
        <v>6095.8539218496244</v>
      </c>
      <c r="AT21">
        <v>4938.4216670322894</v>
      </c>
      <c r="AU21">
        <v>0.52450558899398159</v>
      </c>
      <c r="AV21">
        <v>976.57370013057698</v>
      </c>
      <c r="AW21">
        <v>180.33404909776468</v>
      </c>
      <c r="AX21">
        <v>678.44659405751395</v>
      </c>
      <c r="AZ21">
        <v>1</v>
      </c>
      <c r="BA21">
        <v>0.89984994133867946</v>
      </c>
      <c r="BB21">
        <v>0.72899359209649583</v>
      </c>
      <c r="BC21">
        <v>7.7425792930555537E-5</v>
      </c>
      <c r="BD21">
        <v>0.14415860321481549</v>
      </c>
      <c r="BE21">
        <v>2.6620320234437719E-2</v>
      </c>
      <c r="BF21">
        <v>0.10015005866132055</v>
      </c>
      <c r="BJ21">
        <v>6747.7924359029112</v>
      </c>
      <c r="BK21">
        <v>86.513137742910075</v>
      </c>
      <c r="BL21">
        <v>3137.1296057999998</v>
      </c>
      <c r="BM21">
        <v>69.954603480000003</v>
      </c>
      <c r="BN21">
        <v>3067.1750023199997</v>
      </c>
      <c r="BO21">
        <v>3524.1496923600007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6747.7924359029139</v>
      </c>
      <c r="CA21">
        <v>6747.7924359029139</v>
      </c>
      <c r="CB21">
        <v>5989.7662593708756</v>
      </c>
      <c r="CC21">
        <v>0</v>
      </c>
      <c r="CD21">
        <v>734.67407826692317</v>
      </c>
      <c r="CE21">
        <v>23.352098265114961</v>
      </c>
      <c r="CF21">
        <v>0</v>
      </c>
      <c r="CH21">
        <v>1</v>
      </c>
      <c r="CI21">
        <v>1</v>
      </c>
      <c r="CJ21">
        <v>0.88766308630081514</v>
      </c>
      <c r="CK21">
        <v>0</v>
      </c>
      <c r="CL21">
        <v>0.10887621177526889</v>
      </c>
      <c r="CM21">
        <v>3.4607019239159872E-3</v>
      </c>
      <c r="CN21">
        <v>0</v>
      </c>
      <c r="CR21">
        <v>20039.311687466048</v>
      </c>
      <c r="CS21">
        <v>18032.373446433841</v>
      </c>
      <c r="CT21">
        <v>14608.529810187163</v>
      </c>
      <c r="CU21">
        <v>1.5515595971846077</v>
      </c>
      <c r="CV21">
        <v>2888.8391822514327</v>
      </c>
      <c r="CW21">
        <v>533.45289439805674</v>
      </c>
      <c r="CX21">
        <v>2006.9382410322112</v>
      </c>
      <c r="CZ21">
        <v>13554.943392975209</v>
      </c>
      <c r="DA21">
        <v>10889.587530295552</v>
      </c>
      <c r="DB21">
        <v>5.4393814207864777</v>
      </c>
      <c r="DC21">
        <v>2245.0067097789065</v>
      </c>
      <c r="DD21">
        <v>414.90977147996193</v>
      </c>
      <c r="DF21">
        <v>1716.3282153663699</v>
      </c>
      <c r="DG21">
        <v>1716.3282153663699</v>
      </c>
      <c r="DH21">
        <v>1523.521200757282</v>
      </c>
      <c r="DI21">
        <v>0</v>
      </c>
      <c r="DJ21">
        <v>186.86731425209825</v>
      </c>
      <c r="DK21">
        <v>5.9397003569896896</v>
      </c>
      <c r="DL21">
        <v>0</v>
      </c>
      <c r="DN21">
        <v>0.7517004588021049</v>
      </c>
      <c r="DO21">
        <v>0.74542665632935678</v>
      </c>
      <c r="DP21">
        <v>3.5057508784429179</v>
      </c>
      <c r="DQ21">
        <v>0.77713107866020015</v>
      </c>
      <c r="DR21">
        <v>0.77778146081322175</v>
      </c>
      <c r="DV21">
        <v>201.75357535304897</v>
      </c>
      <c r="DW21">
        <v>181.54794294630997</v>
      </c>
      <c r="DX21">
        <v>147.07706361493021</v>
      </c>
      <c r="DY21">
        <v>1.56209305482844E-2</v>
      </c>
      <c r="DZ21">
        <v>29.084513616490565</v>
      </c>
      <c r="EA21">
        <v>5.3707447843409248</v>
      </c>
      <c r="EB21">
        <v>20.20563240673901</v>
      </c>
      <c r="ED21">
        <v>136.46967200731956</v>
      </c>
      <c r="EE21">
        <v>109.63516375321753</v>
      </c>
      <c r="EF21">
        <v>5.4763090991743854E-2</v>
      </c>
      <c r="EG21">
        <v>22.60247943909059</v>
      </c>
      <c r="EH21">
        <v>4.1772657240196764</v>
      </c>
      <c r="EJ21">
        <v>17.279802786143957</v>
      </c>
      <c r="EK21">
        <v>17.279802786143957</v>
      </c>
      <c r="EL21">
        <v>15.33864307181797</v>
      </c>
      <c r="EM21">
        <v>0</v>
      </c>
      <c r="EN21">
        <v>1.881359467579091</v>
      </c>
      <c r="EO21">
        <v>5.9800246746897233E-2</v>
      </c>
      <c r="EP21">
        <v>0</v>
      </c>
      <c r="ET21">
        <v>9055.2701112388058</v>
      </c>
      <c r="EU21">
        <v>8148.3842784041371</v>
      </c>
      <c r="EV21">
        <v>6601.2338857960121</v>
      </c>
      <c r="EW21">
        <v>0.70111146856302431</v>
      </c>
      <c r="EX21">
        <v>1305.3950909690532</v>
      </c>
      <c r="EY21">
        <v>241.05419017050951</v>
      </c>
      <c r="EZ21">
        <v>906.88583283466915</v>
      </c>
      <c r="FB21">
        <v>6125.1442005722483</v>
      </c>
      <c r="FC21">
        <v>4920.7357031369693</v>
      </c>
      <c r="FD21">
        <v>2.4579221468012267</v>
      </c>
      <c r="FE21">
        <v>1014.4630951225104</v>
      </c>
      <c r="FF21">
        <v>187.48748016596704</v>
      </c>
      <c r="FH21">
        <v>775.56633840891061</v>
      </c>
      <c r="FI21">
        <v>775.56633840891061</v>
      </c>
      <c r="FJ21">
        <v>688.441609583076</v>
      </c>
      <c r="FK21">
        <v>0</v>
      </c>
      <c r="FL21">
        <v>84.440724906378421</v>
      </c>
      <c r="FM21">
        <v>2.6840039194561949</v>
      </c>
      <c r="FN21">
        <v>0</v>
      </c>
    </row>
    <row r="22" spans="1:170" x14ac:dyDescent="0.25">
      <c r="A22">
        <v>2017</v>
      </c>
      <c r="C22">
        <v>187776.48687637359</v>
      </c>
      <c r="D22">
        <v>8772865</v>
      </c>
      <c r="F22">
        <v>3960661</v>
      </c>
      <c r="G22">
        <v>394634.02304698993</v>
      </c>
      <c r="H22">
        <v>112783</v>
      </c>
      <c r="I22">
        <v>11958.021112271585</v>
      </c>
      <c r="K22">
        <v>3498.07</v>
      </c>
      <c r="L22">
        <v>3502.5647619047613</v>
      </c>
      <c r="M22">
        <v>0.99871672268457445</v>
      </c>
      <c r="Q22">
        <v>2.215000223447551</v>
      </c>
      <c r="R22">
        <v>44.983482938240805</v>
      </c>
      <c r="S22">
        <v>99.638424759652466</v>
      </c>
      <c r="T22">
        <v>47.867627081044681</v>
      </c>
      <c r="U22">
        <v>106.02680468041801</v>
      </c>
      <c r="V22">
        <v>21404.237598136253</v>
      </c>
      <c r="W22">
        <v>47410.391062596267</v>
      </c>
      <c r="X22">
        <v>1.3386354505335438</v>
      </c>
      <c r="AB22">
        <v>6807.335425623387</v>
      </c>
      <c r="AC22">
        <v>22.476182287188305</v>
      </c>
      <c r="AD22">
        <v>1027.6671539122956</v>
      </c>
      <c r="AE22">
        <v>32.025537403267407</v>
      </c>
      <c r="AF22">
        <v>995.64161650902815</v>
      </c>
      <c r="AG22">
        <v>1468.812381771281</v>
      </c>
      <c r="AH22">
        <v>2063.8866723989677</v>
      </c>
      <c r="AI22">
        <v>1788.0606190885635</v>
      </c>
      <c r="AJ22">
        <v>5.9241616509028372</v>
      </c>
      <c r="AK22">
        <v>0</v>
      </c>
      <c r="AL22">
        <v>121.6362854686157</v>
      </c>
      <c r="AM22">
        <v>0</v>
      </c>
      <c r="AN22">
        <v>148.26560619088556</v>
      </c>
      <c r="AO22">
        <v>825.19045571797074</v>
      </c>
      <c r="AP22">
        <v>1547.568185726569</v>
      </c>
      <c r="AR22">
        <v>6807.335425623387</v>
      </c>
      <c r="AS22">
        <v>6122.8272570937224</v>
      </c>
      <c r="AT22">
        <v>4980.9757285567566</v>
      </c>
      <c r="AU22">
        <v>0.68099742046431655</v>
      </c>
      <c r="AV22">
        <v>959.84099052644285</v>
      </c>
      <c r="AW22">
        <v>181.32954059005937</v>
      </c>
      <c r="AX22">
        <v>684.50816852966454</v>
      </c>
      <c r="AZ22">
        <v>1</v>
      </c>
      <c r="BA22">
        <v>0.89944550610021101</v>
      </c>
      <c r="BB22">
        <v>0.73170710962881924</v>
      </c>
      <c r="BC22">
        <v>1.0003876375784049E-4</v>
      </c>
      <c r="BD22">
        <v>0.14100098357332594</v>
      </c>
      <c r="BE22">
        <v>2.6637374134308063E-2</v>
      </c>
      <c r="BF22">
        <v>0.10055449389978902</v>
      </c>
      <c r="BJ22">
        <v>6715.7981362899172</v>
      </c>
      <c r="BK22">
        <v>92.354650569916814</v>
      </c>
      <c r="BL22">
        <v>3173.5046012399998</v>
      </c>
      <c r="BM22">
        <v>84.607332119999995</v>
      </c>
      <c r="BN22">
        <v>3088.8972691199997</v>
      </c>
      <c r="BO22">
        <v>3449.9388844800001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6715.7981362899154</v>
      </c>
      <c r="CA22">
        <v>6715.7981362899154</v>
      </c>
      <c r="CB22">
        <v>5964.2707422406584</v>
      </c>
      <c r="CC22">
        <v>0</v>
      </c>
      <c r="CD22">
        <v>728.21407645095724</v>
      </c>
      <c r="CE22">
        <v>23.313317598299832</v>
      </c>
      <c r="CF22">
        <v>0</v>
      </c>
      <c r="CH22">
        <v>1</v>
      </c>
      <c r="CI22">
        <v>1</v>
      </c>
      <c r="CJ22">
        <v>0.88809559507331592</v>
      </c>
      <c r="CK22">
        <v>0</v>
      </c>
      <c r="CL22">
        <v>0.10843299063977715</v>
      </c>
      <c r="CM22">
        <v>3.471414286906943E-3</v>
      </c>
      <c r="CN22">
        <v>0</v>
      </c>
      <c r="CR22">
        <v>19988.913719199896</v>
      </c>
      <c r="CS22">
        <v>17978.9386165592</v>
      </c>
      <c r="CT22">
        <v>14626.030282095608</v>
      </c>
      <c r="CU22">
        <v>1.9996662173308952</v>
      </c>
      <c r="CV22">
        <v>2818.4564949695337</v>
      </c>
      <c r="CW22">
        <v>532.45217327673095</v>
      </c>
      <c r="CX22">
        <v>2009.9751026406952</v>
      </c>
      <c r="CZ22">
        <v>13706.463357104214</v>
      </c>
      <c r="DA22">
        <v>11071.586243383896</v>
      </c>
      <c r="DB22">
        <v>7.2810451659699842</v>
      </c>
      <c r="DC22">
        <v>2209.5905094579339</v>
      </c>
      <c r="DD22">
        <v>418.0055590964123</v>
      </c>
      <c r="DF22">
        <v>1695.6255878223142</v>
      </c>
      <c r="DG22">
        <v>1695.6255878223142</v>
      </c>
      <c r="DH22">
        <v>1505.8776154385994</v>
      </c>
      <c r="DI22">
        <v>0</v>
      </c>
      <c r="DJ22">
        <v>183.86175349290363</v>
      </c>
      <c r="DK22">
        <v>5.8862188908113646</v>
      </c>
      <c r="DL22">
        <v>0</v>
      </c>
      <c r="DN22">
        <v>0.76236220888368267</v>
      </c>
      <c r="DO22">
        <v>0.7569782114383512</v>
      </c>
      <c r="DP22">
        <v>3.6411302560727066</v>
      </c>
      <c r="DQ22">
        <v>0.78397183472644605</v>
      </c>
      <c r="DR22">
        <v>0.78505747572404516</v>
      </c>
      <c r="DV22">
        <v>200.61450958721093</v>
      </c>
      <c r="DW22">
        <v>180.44181910671455</v>
      </c>
      <c r="DX22">
        <v>146.79106295966119</v>
      </c>
      <c r="DY22">
        <v>2.0069227530990025E-2</v>
      </c>
      <c r="DZ22">
        <v>28.286843170877169</v>
      </c>
      <c r="EA22">
        <v>5.3438437486452699</v>
      </c>
      <c r="EB22">
        <v>20.172690480496371</v>
      </c>
      <c r="ED22">
        <v>137.56202378918482</v>
      </c>
      <c r="EE22">
        <v>111.11763629433872</v>
      </c>
      <c r="EF22">
        <v>7.3074671579095127E-2</v>
      </c>
      <c r="EG22">
        <v>22.176088339291816</v>
      </c>
      <c r="EH22">
        <v>4.1952244839751751</v>
      </c>
      <c r="EJ22">
        <v>17.017787986035483</v>
      </c>
      <c r="EK22">
        <v>17.017787986035483</v>
      </c>
      <c r="EL22">
        <v>15.11342254828971</v>
      </c>
      <c r="EM22">
        <v>0</v>
      </c>
      <c r="EN22">
        <v>1.8452896453994976</v>
      </c>
      <c r="EO22">
        <v>5.9075792346276905E-2</v>
      </c>
      <c r="EP22">
        <v>0</v>
      </c>
      <c r="ET22">
        <v>9024.3393691798483</v>
      </c>
      <c r="EU22">
        <v>8116.9014911320273</v>
      </c>
      <c r="EV22">
        <v>6603.17327613215</v>
      </c>
      <c r="EW22">
        <v>0.90278375422396229</v>
      </c>
      <c r="EX22">
        <v>1272.4407271538462</v>
      </c>
      <c r="EY22">
        <v>240.38470409180923</v>
      </c>
      <c r="EZ22">
        <v>907.43787804782107</v>
      </c>
      <c r="FB22">
        <v>6188.0189500706701</v>
      </c>
      <c r="FC22">
        <v>4998.458296384033</v>
      </c>
      <c r="FD22">
        <v>3.287153242195775</v>
      </c>
      <c r="FE22">
        <v>997.55769144745409</v>
      </c>
      <c r="FF22">
        <v>188.71580899698731</v>
      </c>
      <c r="FH22">
        <v>765.51937551642641</v>
      </c>
      <c r="FI22">
        <v>765.51937551642641</v>
      </c>
      <c r="FJ22">
        <v>679.85438533941397</v>
      </c>
      <c r="FK22">
        <v>0</v>
      </c>
      <c r="FL22">
        <v>83.007555279940718</v>
      </c>
      <c r="FM22">
        <v>2.6574348970718038</v>
      </c>
      <c r="FN22">
        <v>0</v>
      </c>
    </row>
    <row r="23" spans="1:170" x14ac:dyDescent="0.25">
      <c r="A23">
        <v>2018</v>
      </c>
      <c r="C23">
        <v>189855.77242406705</v>
      </c>
      <c r="D23">
        <v>8822267</v>
      </c>
      <c r="F23">
        <v>4001028</v>
      </c>
      <c r="G23">
        <v>400349.33934024512</v>
      </c>
      <c r="H23">
        <v>124636</v>
      </c>
      <c r="I23">
        <v>13598.927800752865</v>
      </c>
      <c r="K23">
        <v>3193.65</v>
      </c>
      <c r="L23">
        <v>3502.5647619047613</v>
      </c>
      <c r="M23">
        <v>0.91180326906025067</v>
      </c>
      <c r="Q23">
        <v>2.2050000649832993</v>
      </c>
      <c r="R23">
        <v>45.379417709784242</v>
      </c>
      <c r="S23">
        <v>100.06161899897855</v>
      </c>
      <c r="T23">
        <v>49.482605455860075</v>
      </c>
      <c r="U23">
        <v>109.10914824571442</v>
      </c>
      <c r="V23">
        <v>21520.066489040404</v>
      </c>
      <c r="W23">
        <v>47451.748006779009</v>
      </c>
      <c r="X23">
        <v>1.3212634330017423</v>
      </c>
      <c r="AB23">
        <v>6361.1334479793632</v>
      </c>
      <c r="AC23">
        <v>19.278933791917453</v>
      </c>
      <c r="AD23">
        <v>914.03009458297515</v>
      </c>
      <c r="AE23">
        <v>29.457867583834911</v>
      </c>
      <c r="AF23">
        <v>884.57222699914018</v>
      </c>
      <c r="AG23">
        <v>1344.2398108340501</v>
      </c>
      <c r="AH23">
        <v>1934.406534823732</v>
      </c>
      <c r="AI23">
        <v>1647.2213241616512</v>
      </c>
      <c r="AJ23">
        <v>6.3310404127257076</v>
      </c>
      <c r="AK23">
        <v>0</v>
      </c>
      <c r="AL23">
        <v>110.8962166809974</v>
      </c>
      <c r="AM23">
        <v>0</v>
      </c>
      <c r="AN23">
        <v>169.95795356835788</v>
      </c>
      <c r="AO23">
        <v>776.34978503869297</v>
      </c>
      <c r="AP23">
        <v>1542.7862424763539</v>
      </c>
      <c r="AR23">
        <v>6361.1334479793622</v>
      </c>
      <c r="AS23">
        <v>5678.7404031718725</v>
      </c>
      <c r="AT23">
        <v>4584.4161261298805</v>
      </c>
      <c r="AU23">
        <v>0.65380768128403466</v>
      </c>
      <c r="AV23">
        <v>914.65570749192079</v>
      </c>
      <c r="AW23">
        <v>179.01476186878725</v>
      </c>
      <c r="AX23">
        <v>682.39304480749024</v>
      </c>
      <c r="AZ23">
        <v>1</v>
      </c>
      <c r="BA23">
        <v>0.89272461419210525</v>
      </c>
      <c r="BB23">
        <v>0.72069170747960609</v>
      </c>
      <c r="BC23">
        <v>1.0278163264940136E-4</v>
      </c>
      <c r="BD23">
        <v>0.14378816526517998</v>
      </c>
      <c r="BE23">
        <v>2.8141959814669815E-2</v>
      </c>
      <c r="BF23">
        <v>0.10727538580789481</v>
      </c>
      <c r="BJ23">
        <v>6057.9007648086008</v>
      </c>
      <c r="BK23">
        <v>78.419899968599267</v>
      </c>
      <c r="BL23">
        <v>2822.1373872000004</v>
      </c>
      <c r="BM23">
        <v>77.823880200000019</v>
      </c>
      <c r="BN23">
        <v>2744.3135070000003</v>
      </c>
      <c r="BO23">
        <v>3157.3434776400009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6057.9007648085963</v>
      </c>
      <c r="CA23">
        <v>6057.9007648085963</v>
      </c>
      <c r="CB23">
        <v>5374.9483997395482</v>
      </c>
      <c r="CC23">
        <v>0</v>
      </c>
      <c r="CD23">
        <v>660.98309136536841</v>
      </c>
      <c r="CE23">
        <v>21.969273703679768</v>
      </c>
      <c r="CF23">
        <v>0</v>
      </c>
      <c r="CH23">
        <v>1</v>
      </c>
      <c r="CI23">
        <v>1</v>
      </c>
      <c r="CJ23">
        <v>0.88726253671297528</v>
      </c>
      <c r="CK23">
        <v>0</v>
      </c>
      <c r="CL23">
        <v>0.10911091432945463</v>
      </c>
      <c r="CM23">
        <v>3.6265489575701068E-3</v>
      </c>
      <c r="CN23">
        <v>0</v>
      </c>
      <c r="CR23">
        <v>18490.243507418589</v>
      </c>
      <c r="CS23">
        <v>16506.695501478338</v>
      </c>
      <c r="CT23">
        <v>13325.765165075203</v>
      </c>
      <c r="CU23">
        <v>1.9004574157774761</v>
      </c>
      <c r="CV23">
        <v>2658.6781892381255</v>
      </c>
      <c r="CW23">
        <v>520.3516897492334</v>
      </c>
      <c r="CX23">
        <v>1983.5480059402512</v>
      </c>
      <c r="CZ23">
        <v>12883.227384961574</v>
      </c>
      <c r="DA23">
        <v>10350.82897017703</v>
      </c>
      <c r="DB23">
        <v>7.1506497629874524</v>
      </c>
      <c r="DC23">
        <v>2111.5185323958935</v>
      </c>
      <c r="DD23">
        <v>413.72923262566275</v>
      </c>
      <c r="DF23">
        <v>1514.0860710818813</v>
      </c>
      <c r="DG23">
        <v>1514.0860710818813</v>
      </c>
      <c r="DH23">
        <v>1343.391848229892</v>
      </c>
      <c r="DI23">
        <v>0</v>
      </c>
      <c r="DJ23">
        <v>165.20331558923567</v>
      </c>
      <c r="DK23">
        <v>5.4909072627534137</v>
      </c>
      <c r="DL23">
        <v>0</v>
      </c>
      <c r="DN23">
        <v>0.78048494829311876</v>
      </c>
      <c r="DO23">
        <v>0.77675306760657714</v>
      </c>
      <c r="DP23">
        <v>3.7625940490027374</v>
      </c>
      <c r="DQ23">
        <v>0.79419861378596301</v>
      </c>
      <c r="DR23">
        <v>0.79509539562568932</v>
      </c>
      <c r="DV23">
        <v>184.7885702069976</v>
      </c>
      <c r="DW23">
        <v>164.96530504515266</v>
      </c>
      <c r="DX23">
        <v>133.17559018519614</v>
      </c>
      <c r="DY23">
        <v>1.8992870940823737E-2</v>
      </c>
      <c r="DZ23">
        <v>26.570409472040083</v>
      </c>
      <c r="EA23">
        <v>5.2003125169756172</v>
      </c>
      <c r="EB23">
        <v>19.823265161844919</v>
      </c>
      <c r="ED23">
        <v>128.75293757832449</v>
      </c>
      <c r="EE23">
        <v>103.44454820666748</v>
      </c>
      <c r="EF23">
        <v>7.1462463175420418E-2</v>
      </c>
      <c r="EG23">
        <v>21.102182370419655</v>
      </c>
      <c r="EH23">
        <v>4.1347445380619527</v>
      </c>
      <c r="EJ23">
        <v>15.131536809306846</v>
      </c>
      <c r="EK23">
        <v>15.131536809306846</v>
      </c>
      <c r="EL23">
        <v>13.425645733791352</v>
      </c>
      <c r="EM23">
        <v>0</v>
      </c>
      <c r="EN23">
        <v>1.6510158164732684</v>
      </c>
      <c r="EO23">
        <v>5.4875259042225434E-2</v>
      </c>
      <c r="EP23">
        <v>0</v>
      </c>
      <c r="ET23">
        <v>8385.597715417136</v>
      </c>
      <c r="EU23">
        <v>7486.0294852659617</v>
      </c>
      <c r="EV23">
        <v>6043.4307357610587</v>
      </c>
      <c r="EW23">
        <v>0.86188542393166323</v>
      </c>
      <c r="EX23">
        <v>1205.7497101517149</v>
      </c>
      <c r="EY23">
        <v>235.98715392925604</v>
      </c>
      <c r="EZ23">
        <v>899.56823015117436</v>
      </c>
      <c r="FB23">
        <v>5842.7333357285643</v>
      </c>
      <c r="FC23">
        <v>4694.2533628702759</v>
      </c>
      <c r="FD23">
        <v>3.242924967007478</v>
      </c>
      <c r="FE23">
        <v>957.60474837531876</v>
      </c>
      <c r="FF23">
        <v>187.63229951596227</v>
      </c>
      <c r="FH23">
        <v>686.66032946051132</v>
      </c>
      <c r="FI23">
        <v>686.66032946051132</v>
      </c>
      <c r="FJ23">
        <v>609.24798577730064</v>
      </c>
      <c r="FK23">
        <v>0</v>
      </c>
      <c r="FL23">
        <v>74.922136381200929</v>
      </c>
      <c r="FM23">
        <v>2.4902073020097628</v>
      </c>
      <c r="FN23">
        <v>0</v>
      </c>
    </row>
    <row r="24" spans="1:170" x14ac:dyDescent="0.25">
      <c r="A24">
        <v>2019</v>
      </c>
      <c r="C24">
        <v>190896.98766537075</v>
      </c>
      <c r="D24">
        <v>8858775</v>
      </c>
      <c r="F24">
        <v>4023059</v>
      </c>
      <c r="G24">
        <v>402259.04800020246</v>
      </c>
      <c r="H24">
        <v>107159</v>
      </c>
      <c r="I24">
        <v>9873.6821307505015</v>
      </c>
      <c r="K24">
        <v>3279.5</v>
      </c>
      <c r="L24">
        <v>3502.5647619047613</v>
      </c>
      <c r="M24">
        <v>0.93631387938036159</v>
      </c>
      <c r="Q24">
        <v>2.2019997718154269</v>
      </c>
      <c r="R24">
        <v>45.407976610784509</v>
      </c>
      <c r="S24">
        <v>99.988354135547738</v>
      </c>
      <c r="T24">
        <v>41.844002544155188</v>
      </c>
      <c r="U24">
        <v>92.140484054073866</v>
      </c>
      <c r="V24">
        <v>21548.914795259025</v>
      </c>
      <c r="W24">
        <v>47450.705462030448</v>
      </c>
      <c r="X24">
        <v>1.3062908643277522</v>
      </c>
      <c r="AB24">
        <v>6515.3549441100595</v>
      </c>
      <c r="AC24">
        <v>19.733190025795352</v>
      </c>
      <c r="AD24">
        <v>919.67549441100596</v>
      </c>
      <c r="AE24">
        <v>30.085726569217545</v>
      </c>
      <c r="AF24">
        <v>889.58976784178844</v>
      </c>
      <c r="AG24">
        <v>1426.371797076526</v>
      </c>
      <c r="AH24">
        <v>1968.5296646603617</v>
      </c>
      <c r="AI24">
        <v>1683.2563198624252</v>
      </c>
      <c r="AJ24">
        <v>0</v>
      </c>
      <c r="AK24">
        <v>0</v>
      </c>
      <c r="AL24">
        <v>112.7681857265692</v>
      </c>
      <c r="AM24">
        <v>0</v>
      </c>
      <c r="AN24">
        <v>172.50515907136719</v>
      </c>
      <c r="AO24">
        <v>766.5645743766122</v>
      </c>
      <c r="AP24">
        <v>1586.985382631126</v>
      </c>
      <c r="AR24">
        <v>6515.3549441100586</v>
      </c>
      <c r="AS24">
        <v>5817.954470358758</v>
      </c>
      <c r="AT24">
        <v>4712.1683000636931</v>
      </c>
      <c r="AU24">
        <v>0.71849622623483378</v>
      </c>
      <c r="AV24">
        <v>922.57377276453747</v>
      </c>
      <c r="AW24">
        <v>182.49390130429347</v>
      </c>
      <c r="AX24">
        <v>697.40047375130075</v>
      </c>
      <c r="AZ24">
        <v>1</v>
      </c>
      <c r="BA24">
        <v>0.89296047878684537</v>
      </c>
      <c r="BB24">
        <v>0.72324045895972822</v>
      </c>
      <c r="BC24">
        <v>1.1027737282131667E-4</v>
      </c>
      <c r="BD24">
        <v>0.14159992520415987</v>
      </c>
      <c r="BE24">
        <v>2.8009817250136106E-2</v>
      </c>
      <c r="BF24">
        <v>0.10703952121315467</v>
      </c>
      <c r="BJ24">
        <v>6271.1626263640228</v>
      </c>
      <c r="BK24">
        <v>81.545343964023431</v>
      </c>
      <c r="BL24">
        <v>2839.3626225600001</v>
      </c>
      <c r="BM24">
        <v>79.482602520000015</v>
      </c>
      <c r="BN24">
        <v>2759.8800200400001</v>
      </c>
      <c r="BO24">
        <v>3350.2546598399999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6271.1626263640273</v>
      </c>
      <c r="CA24">
        <v>6271.1626263640273</v>
      </c>
      <c r="CB24">
        <v>5590.2883273268635</v>
      </c>
      <c r="CC24">
        <v>0</v>
      </c>
      <c r="CD24">
        <v>657.94373666721049</v>
      </c>
      <c r="CE24">
        <v>22.930562369953833</v>
      </c>
      <c r="CF24">
        <v>0</v>
      </c>
      <c r="CH24">
        <v>1</v>
      </c>
      <c r="CI24">
        <v>1</v>
      </c>
      <c r="CJ24">
        <v>0.89142774002148151</v>
      </c>
      <c r="CK24">
        <v>0</v>
      </c>
      <c r="CL24">
        <v>0.10491575101261268</v>
      </c>
      <c r="CM24">
        <v>3.6565089659058641E-3</v>
      </c>
      <c r="CN24">
        <v>0</v>
      </c>
      <c r="CR24">
        <v>18834.816491629874</v>
      </c>
      <c r="CS24">
        <v>16818.746752228184</v>
      </c>
      <c r="CT24">
        <v>13622.101323828643</v>
      </c>
      <c r="CU24">
        <v>2.0770540802685509</v>
      </c>
      <c r="CV24">
        <v>2667.0086064488664</v>
      </c>
      <c r="CW24">
        <v>527.55976787040242</v>
      </c>
      <c r="CX24">
        <v>2016.0697394016911</v>
      </c>
      <c r="CZ24">
        <v>13286.783786736476</v>
      </c>
      <c r="DA24">
        <v>10707.070190770351</v>
      </c>
      <c r="DB24">
        <v>8.0463020459954713</v>
      </c>
      <c r="DC24">
        <v>2147.0590103466416</v>
      </c>
      <c r="DD24">
        <v>424.60828357348635</v>
      </c>
      <c r="DF24">
        <v>1558.804538129823</v>
      </c>
      <c r="DG24">
        <v>1558.804538129823</v>
      </c>
      <c r="DH24">
        <v>1389.5616065602974</v>
      </c>
      <c r="DI24">
        <v>0</v>
      </c>
      <c r="DJ24">
        <v>163.54314879975919</v>
      </c>
      <c r="DK24">
        <v>5.6997827697664469</v>
      </c>
      <c r="DL24">
        <v>0</v>
      </c>
      <c r="DN24">
        <v>0.78999844533459151</v>
      </c>
      <c r="DO24">
        <v>0.78600723458434885</v>
      </c>
      <c r="DP24">
        <v>3.8739010805896448</v>
      </c>
      <c r="DQ24">
        <v>0.80504390017903227</v>
      </c>
      <c r="DR24">
        <v>0.80485342028164908</v>
      </c>
      <c r="DV24">
        <v>188.37010224307457</v>
      </c>
      <c r="DW24">
        <v>168.20705668810288</v>
      </c>
      <c r="DX24">
        <v>136.23687920057213</v>
      </c>
      <c r="DY24">
        <v>2.077295999344907E-2</v>
      </c>
      <c r="DZ24">
        <v>26.673192388319301</v>
      </c>
      <c r="EA24">
        <v>5.2762121392179715</v>
      </c>
      <c r="EB24">
        <v>20.163045554971692</v>
      </c>
      <c r="ED24">
        <v>132.88331327790877</v>
      </c>
      <c r="EE24">
        <v>107.08317266884372</v>
      </c>
      <c r="EF24">
        <v>8.0472392165667803E-2</v>
      </c>
      <c r="EG24">
        <v>21.473090830518249</v>
      </c>
      <c r="EH24">
        <v>4.2465773863811416</v>
      </c>
      <c r="EJ24">
        <v>15.589860955373387</v>
      </c>
      <c r="EK24">
        <v>15.589860955373387</v>
      </c>
      <c r="EL24">
        <v>13.897234518697635</v>
      </c>
      <c r="EM24">
        <v>0</v>
      </c>
      <c r="EN24">
        <v>1.6356219703152062</v>
      </c>
      <c r="EO24">
        <v>5.7004466360548553E-2</v>
      </c>
      <c r="EP24">
        <v>0</v>
      </c>
      <c r="ET24">
        <v>8553.5051968246171</v>
      </c>
      <c r="EU24">
        <v>7637.9420958622804</v>
      </c>
      <c r="EV24">
        <v>6186.2410242658543</v>
      </c>
      <c r="EW24">
        <v>0.9432580815192978</v>
      </c>
      <c r="EX24">
        <v>1211.1756961037579</v>
      </c>
      <c r="EY24">
        <v>239.58211741114695</v>
      </c>
      <c r="EZ24">
        <v>915.56310096233722</v>
      </c>
      <c r="FB24">
        <v>6033.9623812868331</v>
      </c>
      <c r="FC24">
        <v>4862.4301999554546</v>
      </c>
      <c r="FD24">
        <v>3.6540885012725233</v>
      </c>
      <c r="FE24">
        <v>975.04960619342398</v>
      </c>
      <c r="FF24">
        <v>192.82848663668128</v>
      </c>
      <c r="FH24">
        <v>707.90404162697746</v>
      </c>
      <c r="FI24">
        <v>707.90404162697746</v>
      </c>
      <c r="FJ24">
        <v>631.04529997960935</v>
      </c>
      <c r="FK24">
        <v>0</v>
      </c>
      <c r="FL24">
        <v>74.270284172158171</v>
      </c>
      <c r="FM24">
        <v>2.5884574752100411</v>
      </c>
      <c r="FN24">
        <v>0</v>
      </c>
    </row>
    <row r="25" spans="1:170" x14ac:dyDescent="0.25">
      <c r="A25">
        <v>2020</v>
      </c>
      <c r="C25">
        <v>174615.23583211296</v>
      </c>
      <c r="D25">
        <v>8901064</v>
      </c>
      <c r="F25">
        <v>4066270</v>
      </c>
      <c r="G25">
        <v>406373.13212897722</v>
      </c>
      <c r="H25">
        <v>128808</v>
      </c>
      <c r="I25">
        <v>12121.93392178614</v>
      </c>
      <c r="K25">
        <v>3322.79</v>
      </c>
      <c r="L25">
        <v>3502.5647619047613</v>
      </c>
      <c r="M25">
        <v>0.94867339389122485</v>
      </c>
      <c r="Q25">
        <v>2.188999746696604</v>
      </c>
      <c r="R25">
        <v>45.654444471916754</v>
      </c>
      <c r="S25">
        <v>99.937567384599944</v>
      </c>
      <c r="T25">
        <v>42.991575806823555</v>
      </c>
      <c r="U25">
        <v>94.108548551224615</v>
      </c>
      <c r="V25">
        <v>19617.344154823844</v>
      </c>
      <c r="W25">
        <v>42942.361385769502</v>
      </c>
      <c r="X25">
        <v>1.2761398942587057</v>
      </c>
      <c r="AB25">
        <v>6706.5405846947542</v>
      </c>
      <c r="AC25">
        <v>13.55700773860705</v>
      </c>
      <c r="AD25">
        <v>942.50791057609626</v>
      </c>
      <c r="AE25">
        <v>30.725709372312981</v>
      </c>
      <c r="AF25">
        <v>911.78220120378319</v>
      </c>
      <c r="AG25">
        <v>1439.2746345657779</v>
      </c>
      <c r="AH25">
        <v>2056.0695614789338</v>
      </c>
      <c r="AI25">
        <v>1690.89475494411</v>
      </c>
      <c r="AJ25">
        <v>2.2957867583834911E-2</v>
      </c>
      <c r="AK25">
        <v>0</v>
      </c>
      <c r="AL25">
        <v>109.42811693895101</v>
      </c>
      <c r="AM25">
        <v>0</v>
      </c>
      <c r="AN25">
        <v>255.72373172828887</v>
      </c>
      <c r="AO25">
        <v>835.36233877901964</v>
      </c>
      <c r="AP25">
        <v>1675.492863284609</v>
      </c>
      <c r="AR25">
        <v>6706.5405846947551</v>
      </c>
      <c r="AS25">
        <v>6021.7298461832424</v>
      </c>
      <c r="AT25">
        <v>4919.317258253338</v>
      </c>
      <c r="AU25">
        <v>0.70550300945829769</v>
      </c>
      <c r="AV25">
        <v>922.07886362098316</v>
      </c>
      <c r="AW25">
        <v>179.62822129946341</v>
      </c>
      <c r="AX25">
        <v>684.81073851151234</v>
      </c>
      <c r="AZ25">
        <v>1</v>
      </c>
      <c r="BA25">
        <v>0.89788912333217741</v>
      </c>
      <c r="BB25">
        <v>0.73351039871135559</v>
      </c>
      <c r="BC25">
        <v>1.0519626334154337E-4</v>
      </c>
      <c r="BD25">
        <v>0.13748949282813461</v>
      </c>
      <c r="BE25">
        <v>2.6784035529345728E-2</v>
      </c>
      <c r="BF25">
        <v>0.10211087666782249</v>
      </c>
      <c r="BJ25">
        <v>6347.2335194241732</v>
      </c>
      <c r="BK25">
        <v>56.769145064173912</v>
      </c>
      <c r="BL25">
        <v>2909.9035969199999</v>
      </c>
      <c r="BM25">
        <v>81.173354399999994</v>
      </c>
      <c r="BN25">
        <v>2828.73024252</v>
      </c>
      <c r="BO25">
        <v>3380.5607774399996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6347.2335194241759</v>
      </c>
      <c r="CA25">
        <v>6347.2335194241759</v>
      </c>
      <c r="CB25">
        <v>5652.2078216212331</v>
      </c>
      <c r="CC25">
        <v>0</v>
      </c>
      <c r="CD25">
        <v>671.41617063622004</v>
      </c>
      <c r="CE25">
        <v>23.609527166722479</v>
      </c>
      <c r="CF25">
        <v>0</v>
      </c>
      <c r="CH25">
        <v>1</v>
      </c>
      <c r="CI25">
        <v>1</v>
      </c>
      <c r="CJ25">
        <v>0.8904994285028297</v>
      </c>
      <c r="CK25">
        <v>0</v>
      </c>
      <c r="CL25">
        <v>0.10578091519423587</v>
      </c>
      <c r="CM25">
        <v>3.7196563029343764E-3</v>
      </c>
      <c r="CN25">
        <v>0</v>
      </c>
      <c r="CR25">
        <v>19181.477619538295</v>
      </c>
      <c r="CS25">
        <v>17222.840124023023</v>
      </c>
      <c r="CT25">
        <v>14069.813296580483</v>
      </c>
      <c r="CU25">
        <v>2.0178197709448713</v>
      </c>
      <c r="CV25">
        <v>2637.2516296045351</v>
      </c>
      <c r="CW25">
        <v>513.75737806706377</v>
      </c>
      <c r="CX25">
        <v>1958.6374955152728</v>
      </c>
      <c r="CZ25">
        <v>14047.477053577988</v>
      </c>
      <c r="DA25">
        <v>11470.172015399756</v>
      </c>
      <c r="DB25">
        <v>8.0271259982277829</v>
      </c>
      <c r="DC25">
        <v>2150.5180976826882</v>
      </c>
      <c r="DD25">
        <v>418.75981449731745</v>
      </c>
      <c r="DF25">
        <v>1560.9473840704568</v>
      </c>
      <c r="DG25">
        <v>1560.9473840704568</v>
      </c>
      <c r="DH25">
        <v>1390.0227534377286</v>
      </c>
      <c r="DI25">
        <v>0</v>
      </c>
      <c r="DJ25">
        <v>165.11844285702134</v>
      </c>
      <c r="DK25">
        <v>5.8061877757066007</v>
      </c>
      <c r="DL25">
        <v>0</v>
      </c>
      <c r="DN25">
        <v>0.8156306946137224</v>
      </c>
      <c r="DO25">
        <v>0.81523270946228243</v>
      </c>
      <c r="DP25">
        <v>3.9781184195994737</v>
      </c>
      <c r="DQ25">
        <v>0.81543910089655169</v>
      </c>
      <c r="DR25">
        <v>0.81509255608715403</v>
      </c>
      <c r="DV25">
        <v>191.93460598976017</v>
      </c>
      <c r="DW25">
        <v>172.33599510925265</v>
      </c>
      <c r="DX25">
        <v>140.78602936605594</v>
      </c>
      <c r="DY25">
        <v>2.0190803356054179E-2</v>
      </c>
      <c r="DZ25">
        <v>26.388991633699973</v>
      </c>
      <c r="EA25">
        <v>5.1407833061407109</v>
      </c>
      <c r="EB25">
        <v>19.598610880507508</v>
      </c>
      <c r="ED25">
        <v>140.56252739790682</v>
      </c>
      <c r="EE25">
        <v>114.77337617452626</v>
      </c>
      <c r="EF25">
        <v>8.0321406737229997E-2</v>
      </c>
      <c r="EG25">
        <v>21.518615611350928</v>
      </c>
      <c r="EH25">
        <v>4.1902142052924036</v>
      </c>
      <c r="EJ25">
        <v>15.619225331584303</v>
      </c>
      <c r="EK25">
        <v>15.619225331584303</v>
      </c>
      <c r="EL25">
        <v>13.908911231432739</v>
      </c>
      <c r="EM25">
        <v>0</v>
      </c>
      <c r="EN25">
        <v>1.65221595019998</v>
      </c>
      <c r="EO25">
        <v>5.8098149951579824E-2</v>
      </c>
      <c r="EP25">
        <v>0</v>
      </c>
      <c r="ET25">
        <v>8762.6678113987273</v>
      </c>
      <c r="EU25">
        <v>7867.904119227891</v>
      </c>
      <c r="EV25">
        <v>6427.5079601142425</v>
      </c>
      <c r="EW25">
        <v>0.921799910662366</v>
      </c>
      <c r="EX25">
        <v>1204.7747532106312</v>
      </c>
      <c r="EY25">
        <v>234.6996059923577</v>
      </c>
      <c r="EZ25">
        <v>894.76369217083356</v>
      </c>
      <c r="FB25">
        <v>6417.3041019200136</v>
      </c>
      <c r="FC25">
        <v>5239.9147294143222</v>
      </c>
      <c r="FD25">
        <v>3.667029203791107</v>
      </c>
      <c r="FE25">
        <v>982.42044154094197</v>
      </c>
      <c r="FF25">
        <v>191.3019017609588</v>
      </c>
      <c r="FH25">
        <v>713.08705559517114</v>
      </c>
      <c r="FI25">
        <v>713.08705559517114</v>
      </c>
      <c r="FJ25">
        <v>635.00361548026535</v>
      </c>
      <c r="FK25">
        <v>0</v>
      </c>
      <c r="FL25">
        <v>75.431001354020154</v>
      </c>
      <c r="FM25">
        <v>2.6524387608854942</v>
      </c>
      <c r="FN25">
        <v>0</v>
      </c>
    </row>
    <row r="26" spans="1:170" x14ac:dyDescent="0.25">
      <c r="A26">
        <v>2021</v>
      </c>
      <c r="C26">
        <v>181977.70582877137</v>
      </c>
      <c r="D26">
        <v>8932664</v>
      </c>
      <c r="F26">
        <v>4086306</v>
      </c>
      <c r="G26">
        <v>414843.97684468987</v>
      </c>
      <c r="H26">
        <v>166552</v>
      </c>
      <c r="I26">
        <v>22177.845197889081</v>
      </c>
      <c r="K26">
        <v>3633.44</v>
      </c>
      <c r="L26">
        <v>3502.5647619047613</v>
      </c>
      <c r="M26">
        <v>1.0373655441060472</v>
      </c>
      <c r="Q26">
        <v>2.1859997758366605</v>
      </c>
      <c r="R26">
        <v>46.44123822912065</v>
      </c>
      <c r="S26">
        <v>101.52053635843468</v>
      </c>
      <c r="T26">
        <v>60.91431748258578</v>
      </c>
      <c r="U26">
        <v>133.15868436217568</v>
      </c>
      <c r="V26">
        <v>20372.165104247888</v>
      </c>
      <c r="W26">
        <v>44533.54835119332</v>
      </c>
      <c r="X26">
        <v>1.2677036935459844</v>
      </c>
      <c r="AB26">
        <v>7511.3960447119516</v>
      </c>
      <c r="AC26">
        <v>11.327773000859846</v>
      </c>
      <c r="AD26">
        <v>994.68624247635421</v>
      </c>
      <c r="AE26">
        <v>32.353826311263973</v>
      </c>
      <c r="AF26">
        <v>962.33241616509019</v>
      </c>
      <c r="AG26">
        <v>1585.1760963026661</v>
      </c>
      <c r="AH26">
        <v>2470.7452278589849</v>
      </c>
      <c r="AI26">
        <v>2063.3971625107479</v>
      </c>
      <c r="AJ26">
        <v>0</v>
      </c>
      <c r="AK26">
        <v>0</v>
      </c>
      <c r="AL26">
        <v>119.61934651762679</v>
      </c>
      <c r="AM26">
        <v>0</v>
      </c>
      <c r="AN26">
        <v>287.72871883061009</v>
      </c>
      <c r="AO26">
        <v>903.55941530524501</v>
      </c>
      <c r="AP26">
        <v>1833.6300085984519</v>
      </c>
      <c r="AR26">
        <v>7511.3960447119516</v>
      </c>
      <c r="AS26">
        <v>6739.9855880385985</v>
      </c>
      <c r="AT26">
        <v>5480.9244282583359</v>
      </c>
      <c r="AU26">
        <v>0.59635043469953175</v>
      </c>
      <c r="AV26">
        <v>1055.4282057697728</v>
      </c>
      <c r="AW26">
        <v>203.03660357579056</v>
      </c>
      <c r="AX26">
        <v>771.41045667335436</v>
      </c>
      <c r="AZ26">
        <v>1</v>
      </c>
      <c r="BA26">
        <v>0.89730132027635134</v>
      </c>
      <c r="BB26">
        <v>0.72968119316740387</v>
      </c>
      <c r="BC26">
        <v>7.9392756173383297E-5</v>
      </c>
      <c r="BD26">
        <v>0.14051025927634289</v>
      </c>
      <c r="BE26">
        <v>2.7030475076431231E-2</v>
      </c>
      <c r="BF26">
        <v>0.10269867972364868</v>
      </c>
      <c r="BJ26">
        <v>6840.7587992749086</v>
      </c>
      <c r="BK26">
        <v>46.472618434906394</v>
      </c>
      <c r="BL26">
        <v>3071.0328087599996</v>
      </c>
      <c r="BM26">
        <v>85.474628999999993</v>
      </c>
      <c r="BN26">
        <v>2985.5581797599998</v>
      </c>
      <c r="BO26">
        <v>3723.253372080002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6840.7587992749059</v>
      </c>
      <c r="CA26">
        <v>6840.7587992749059</v>
      </c>
      <c r="CB26">
        <v>6039.7358398967226</v>
      </c>
      <c r="CC26">
        <v>0</v>
      </c>
      <c r="CD26">
        <v>773.81545086203676</v>
      </c>
      <c r="CE26">
        <v>27.207508516146099</v>
      </c>
      <c r="CF26">
        <v>0</v>
      </c>
      <c r="CH26">
        <v>1</v>
      </c>
      <c r="CI26">
        <v>1</v>
      </c>
      <c r="CJ26">
        <v>0.8829043702778866</v>
      </c>
      <c r="CK26">
        <v>0</v>
      </c>
      <c r="CL26">
        <v>0.11311836501881317</v>
      </c>
      <c r="CM26">
        <v>3.977264703300165E-3</v>
      </c>
      <c r="CN26">
        <v>0</v>
      </c>
      <c r="CR26">
        <v>21378.119015071319</v>
      </c>
      <c r="CS26">
        <v>19182.614417248464</v>
      </c>
      <c r="CT26">
        <v>15599.211390592003</v>
      </c>
      <c r="CU26">
        <v>1.697267790409126</v>
      </c>
      <c r="CV26">
        <v>3003.8450456481864</v>
      </c>
      <c r="CW26">
        <v>577.86071321786574</v>
      </c>
      <c r="CX26">
        <v>2195.5045978228532</v>
      </c>
      <c r="CZ26">
        <v>15823.213440822545</v>
      </c>
      <c r="DA26">
        <v>12857.309344823736</v>
      </c>
      <c r="DB26">
        <v>6.8840036177861545</v>
      </c>
      <c r="DC26">
        <v>2482.1484450340895</v>
      </c>
      <c r="DD26">
        <v>476.87164734693152</v>
      </c>
      <c r="DF26">
        <v>1674.0691468712589</v>
      </c>
      <c r="DG26">
        <v>1674.0691468712589</v>
      </c>
      <c r="DH26">
        <v>1478.0429659200076</v>
      </c>
      <c r="DI26">
        <v>0</v>
      </c>
      <c r="DJ26">
        <v>189.3679648225162</v>
      </c>
      <c r="DK26">
        <v>6.6582161287348764</v>
      </c>
      <c r="DL26">
        <v>0</v>
      </c>
      <c r="DN26">
        <v>0.82487262146054285</v>
      </c>
      <c r="DO26">
        <v>0.82422816275046251</v>
      </c>
      <c r="DP26">
        <v>4.0559325150021062</v>
      </c>
      <c r="DQ26">
        <v>0.82632373085625588</v>
      </c>
      <c r="DR26">
        <v>0.82523631809373554</v>
      </c>
      <c r="DV26">
        <v>210.57925599991327</v>
      </c>
      <c r="DW26">
        <v>188.95304443153393</v>
      </c>
      <c r="DX26">
        <v>153.65572277432088</v>
      </c>
      <c r="DY26">
        <v>1.6718467526773573E-2</v>
      </c>
      <c r="DZ26">
        <v>29.588545858767191</v>
      </c>
      <c r="EA26">
        <v>5.6920573309190861</v>
      </c>
      <c r="EB26">
        <v>21.626211568379318</v>
      </c>
      <c r="ED26">
        <v>155.8621930931898</v>
      </c>
      <c r="EE26">
        <v>126.64737407837292</v>
      </c>
      <c r="EF26">
        <v>6.7808976042847788E-2</v>
      </c>
      <c r="EG26">
        <v>24.449717604627921</v>
      </c>
      <c r="EH26">
        <v>4.6972924341461217</v>
      </c>
      <c r="EJ26">
        <v>16.489955696852181</v>
      </c>
      <c r="EK26">
        <v>16.489955696852181</v>
      </c>
      <c r="EL26">
        <v>14.559053950439525</v>
      </c>
      <c r="EM26">
        <v>0</v>
      </c>
      <c r="EN26">
        <v>1.8653168276605825</v>
      </c>
      <c r="EO26">
        <v>6.5584918752073645E-2</v>
      </c>
      <c r="EP26">
        <v>0</v>
      </c>
      <c r="ET26">
        <v>9779.5613940029543</v>
      </c>
      <c r="EU26">
        <v>8775.2133505624861</v>
      </c>
      <c r="EV26">
        <v>7135.9620266299553</v>
      </c>
      <c r="EW26">
        <v>0.77642633323670895</v>
      </c>
      <c r="EX26">
        <v>1374.1287070802682</v>
      </c>
      <c r="EY26">
        <v>264.34619051902587</v>
      </c>
      <c r="EZ26">
        <v>1004.3480434404688</v>
      </c>
      <c r="FB26">
        <v>7238.4332403540302</v>
      </c>
      <c r="FC26">
        <v>5881.6608706662755</v>
      </c>
      <c r="FD26">
        <v>3.1491328104786285</v>
      </c>
      <c r="FE26">
        <v>1135.4751599112503</v>
      </c>
      <c r="FF26">
        <v>218.14807696602605</v>
      </c>
      <c r="FH26">
        <v>765.81396090515727</v>
      </c>
      <c r="FI26">
        <v>765.81396090515727</v>
      </c>
      <c r="FJ26">
        <v>676.14049290298192</v>
      </c>
      <c r="FK26">
        <v>0</v>
      </c>
      <c r="FL26">
        <v>86.627623166172711</v>
      </c>
      <c r="FM26">
        <v>3.0458448360025741</v>
      </c>
      <c r="FN26">
        <v>0</v>
      </c>
    </row>
    <row r="27" spans="1:170" x14ac:dyDescent="0.25">
      <c r="A27">
        <v>2022</v>
      </c>
      <c r="H27" s="1">
        <f>AVERAGE(H24:H26)</f>
        <v>134173</v>
      </c>
    </row>
    <row r="28" spans="1:170" x14ac:dyDescent="0.25">
      <c r="A28">
        <v>2023</v>
      </c>
      <c r="H28" s="1">
        <f>AVERAGE(H25:H27)</f>
        <v>143177.66666666666</v>
      </c>
    </row>
    <row r="29" spans="1:170" x14ac:dyDescent="0.25">
      <c r="A29">
        <v>2024</v>
      </c>
      <c r="H29" s="1">
        <f>AVERAGE(H26:H28)</f>
        <v>147967.55555555553</v>
      </c>
    </row>
    <row r="108" spans="1:170" x14ac:dyDescent="0.25">
      <c r="A108" t="s">
        <v>68</v>
      </c>
      <c r="C108" t="s">
        <v>372</v>
      </c>
      <c r="D108" t="s">
        <v>373</v>
      </c>
      <c r="F108" t="s">
        <v>374</v>
      </c>
      <c r="G108" t="s">
        <v>375</v>
      </c>
      <c r="H108" t="s">
        <v>376</v>
      </c>
      <c r="I108" t="s">
        <v>377</v>
      </c>
      <c r="K108" t="s">
        <v>378</v>
      </c>
      <c r="L108" t="s">
        <v>379</v>
      </c>
      <c r="M108" t="s">
        <v>380</v>
      </c>
      <c r="AB108" t="s">
        <v>381</v>
      </c>
      <c r="AC108" t="s">
        <v>382</v>
      </c>
      <c r="AE108" t="s">
        <v>383</v>
      </c>
      <c r="AF108" t="s">
        <v>384</v>
      </c>
      <c r="AG108" t="s">
        <v>385</v>
      </c>
      <c r="AI108" t="s">
        <v>386</v>
      </c>
      <c r="AJ108" t="s">
        <v>387</v>
      </c>
      <c r="AK108" t="s">
        <v>388</v>
      </c>
      <c r="AL108" t="s">
        <v>389</v>
      </c>
      <c r="AM108" t="s">
        <v>390</v>
      </c>
      <c r="AN108" t="s">
        <v>391</v>
      </c>
      <c r="AO108" t="s">
        <v>392</v>
      </c>
      <c r="AP108" t="s">
        <v>393</v>
      </c>
      <c r="AR108" t="s">
        <v>394</v>
      </c>
      <c r="AS108" t="s">
        <v>395</v>
      </c>
      <c r="AT108" t="s">
        <v>396</v>
      </c>
      <c r="AU108" t="s">
        <v>397</v>
      </c>
      <c r="AV108" t="s">
        <v>398</v>
      </c>
      <c r="AW108" t="s">
        <v>399</v>
      </c>
      <c r="AX108" t="s">
        <v>400</v>
      </c>
      <c r="BJ108" t="s">
        <v>401</v>
      </c>
      <c r="BK108" t="s">
        <v>402</v>
      </c>
      <c r="BM108" t="s">
        <v>403</v>
      </c>
      <c r="BN108" t="s">
        <v>404</v>
      </c>
      <c r="BO108" t="s">
        <v>405</v>
      </c>
      <c r="BQ108" t="s">
        <v>406</v>
      </c>
      <c r="BR108" t="s">
        <v>407</v>
      </c>
      <c r="BS108" t="s">
        <v>408</v>
      </c>
      <c r="BT108" t="s">
        <v>409</v>
      </c>
      <c r="BU108" t="s">
        <v>410</v>
      </c>
      <c r="BV108" t="s">
        <v>411</v>
      </c>
      <c r="BW108" t="s">
        <v>412</v>
      </c>
      <c r="BX108" t="s">
        <v>413</v>
      </c>
      <c r="BZ108" t="s">
        <v>414</v>
      </c>
      <c r="CA108" t="s">
        <v>415</v>
      </c>
      <c r="CB108" t="s">
        <v>416</v>
      </c>
      <c r="CC108" t="s">
        <v>417</v>
      </c>
      <c r="CD108" t="s">
        <v>418</v>
      </c>
      <c r="CE108" t="s">
        <v>419</v>
      </c>
      <c r="CF108" t="s">
        <v>420</v>
      </c>
      <c r="CR108" t="s">
        <v>421</v>
      </c>
      <c r="CS108" t="s">
        <v>422</v>
      </c>
      <c r="CT108" t="s">
        <v>423</v>
      </c>
      <c r="CU108" t="s">
        <v>424</v>
      </c>
      <c r="CV108" t="s">
        <v>425</v>
      </c>
      <c r="CW108" t="s">
        <v>426</v>
      </c>
      <c r="CX108" t="s">
        <v>427</v>
      </c>
      <c r="CZ108" t="s">
        <v>428</v>
      </c>
      <c r="DA108" t="s">
        <v>429</v>
      </c>
      <c r="DB108" t="s">
        <v>430</v>
      </c>
      <c r="DC108" t="s">
        <v>431</v>
      </c>
      <c r="DD108" t="s">
        <v>432</v>
      </c>
      <c r="DF108" t="s">
        <v>433</v>
      </c>
      <c r="DG108" t="s">
        <v>434</v>
      </c>
      <c r="DH108" t="s">
        <v>435</v>
      </c>
      <c r="DI108" t="s">
        <v>436</v>
      </c>
      <c r="DJ108" t="s">
        <v>437</v>
      </c>
      <c r="DK108" t="s">
        <v>438</v>
      </c>
      <c r="DL108" t="s">
        <v>439</v>
      </c>
      <c r="DN108" t="s">
        <v>440</v>
      </c>
      <c r="DO108" t="s">
        <v>441</v>
      </c>
      <c r="DP108" t="s">
        <v>442</v>
      </c>
      <c r="DQ108" t="s">
        <v>443</v>
      </c>
      <c r="DR108" t="s">
        <v>444</v>
      </c>
      <c r="DV108" t="s">
        <v>445</v>
      </c>
      <c r="DW108" t="s">
        <v>446</v>
      </c>
      <c r="DX108" t="s">
        <v>447</v>
      </c>
      <c r="DY108" t="s">
        <v>448</v>
      </c>
      <c r="DZ108" t="s">
        <v>449</v>
      </c>
      <c r="EA108" t="s">
        <v>450</v>
      </c>
      <c r="EB108" t="s">
        <v>451</v>
      </c>
      <c r="ED108" t="s">
        <v>452</v>
      </c>
      <c r="EE108" t="s">
        <v>453</v>
      </c>
      <c r="EF108" t="s">
        <v>454</v>
      </c>
      <c r="EG108" t="s">
        <v>455</v>
      </c>
      <c r="EH108" t="s">
        <v>456</v>
      </c>
      <c r="EJ108" t="s">
        <v>457</v>
      </c>
      <c r="EK108" t="s">
        <v>458</v>
      </c>
      <c r="EL108" t="s">
        <v>459</v>
      </c>
      <c r="EM108" t="s">
        <v>460</v>
      </c>
      <c r="EN108" t="s">
        <v>461</v>
      </c>
      <c r="EO108" t="s">
        <v>462</v>
      </c>
      <c r="EP108" t="s">
        <v>463</v>
      </c>
      <c r="ET108" t="s">
        <v>464</v>
      </c>
      <c r="EU108" t="s">
        <v>465</v>
      </c>
      <c r="EV108" t="s">
        <v>466</v>
      </c>
      <c r="EW108" t="s">
        <v>467</v>
      </c>
      <c r="EX108" t="s">
        <v>468</v>
      </c>
      <c r="EY108" t="s">
        <v>469</v>
      </c>
      <c r="EZ108" t="s">
        <v>470</v>
      </c>
      <c r="FB108" t="s">
        <v>471</v>
      </c>
      <c r="FC108" t="s">
        <v>472</v>
      </c>
      <c r="FD108" t="s">
        <v>473</v>
      </c>
      <c r="FE108" t="s">
        <v>474</v>
      </c>
      <c r="FF108" t="s">
        <v>475</v>
      </c>
      <c r="FH108" t="s">
        <v>476</v>
      </c>
      <c r="FI108" t="s">
        <v>477</v>
      </c>
      <c r="FJ108" t="s">
        <v>478</v>
      </c>
      <c r="FK108" t="s">
        <v>479</v>
      </c>
      <c r="FL108" t="s">
        <v>480</v>
      </c>
      <c r="FM108" t="s">
        <v>481</v>
      </c>
      <c r="FN108" t="s">
        <v>482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8AA5-8941-884E-9909-1F13428CC304}">
  <dimension ref="A1:D116"/>
  <sheetViews>
    <sheetView topLeftCell="A32" workbookViewId="0">
      <selection activeCell="H68" sqref="H68"/>
    </sheetView>
  </sheetViews>
  <sheetFormatPr defaultColWidth="11" defaultRowHeight="15.75" x14ac:dyDescent="0.25"/>
  <cols>
    <col min="1" max="1" width="11.125" bestFit="1" customWidth="1"/>
    <col min="2" max="2" width="8" bestFit="1" customWidth="1"/>
    <col min="3" max="3" width="7.375" bestFit="1" customWidth="1"/>
    <col min="4" max="4" width="22.125" bestFit="1" customWidth="1"/>
  </cols>
  <sheetData>
    <row r="1" spans="1:4" x14ac:dyDescent="0.25">
      <c r="A1" t="s">
        <v>67</v>
      </c>
      <c r="B1" t="s">
        <v>68</v>
      </c>
      <c r="C1" t="s">
        <v>69</v>
      </c>
      <c r="D1" t="s">
        <v>70</v>
      </c>
    </row>
    <row r="2" spans="1:4" x14ac:dyDescent="0.25">
      <c r="A2" t="s">
        <v>33</v>
      </c>
      <c r="B2" t="s">
        <v>71</v>
      </c>
      <c r="C2">
        <v>1909</v>
      </c>
      <c r="D2">
        <v>5830495</v>
      </c>
    </row>
    <row r="3" spans="1:4" x14ac:dyDescent="0.25">
      <c r="A3" t="s">
        <v>33</v>
      </c>
      <c r="B3" t="s">
        <v>71</v>
      </c>
      <c r="C3">
        <v>1910</v>
      </c>
      <c r="D3">
        <v>5914229</v>
      </c>
    </row>
    <row r="4" spans="1:4" x14ac:dyDescent="0.25">
      <c r="A4" t="s">
        <v>33</v>
      </c>
      <c r="B4" t="s">
        <v>71</v>
      </c>
      <c r="C4">
        <v>1911</v>
      </c>
      <c r="D4">
        <v>5999652</v>
      </c>
    </row>
    <row r="5" spans="1:4" x14ac:dyDescent="0.25">
      <c r="A5" t="s">
        <v>33</v>
      </c>
      <c r="B5" t="s">
        <v>71</v>
      </c>
      <c r="C5">
        <v>1912</v>
      </c>
      <c r="D5">
        <v>6086795</v>
      </c>
    </row>
    <row r="6" spans="1:4" x14ac:dyDescent="0.25">
      <c r="A6" t="s">
        <v>33</v>
      </c>
      <c r="B6" t="s">
        <v>71</v>
      </c>
      <c r="C6">
        <v>1913</v>
      </c>
      <c r="D6">
        <v>6175690</v>
      </c>
    </row>
    <row r="7" spans="1:4" x14ac:dyDescent="0.25">
      <c r="A7" t="s">
        <v>33</v>
      </c>
      <c r="B7" t="s">
        <v>71</v>
      </c>
      <c r="C7">
        <v>1914</v>
      </c>
      <c r="D7">
        <v>6265882</v>
      </c>
    </row>
    <row r="8" spans="1:4" x14ac:dyDescent="0.25">
      <c r="A8" t="s">
        <v>33</v>
      </c>
      <c r="B8" t="s">
        <v>71</v>
      </c>
      <c r="C8">
        <v>1915</v>
      </c>
      <c r="D8">
        <v>6357392</v>
      </c>
    </row>
    <row r="9" spans="1:4" x14ac:dyDescent="0.25">
      <c r="A9" t="s">
        <v>33</v>
      </c>
      <c r="B9" t="s">
        <v>71</v>
      </c>
      <c r="C9">
        <v>1916</v>
      </c>
      <c r="D9">
        <v>6450239</v>
      </c>
    </row>
    <row r="10" spans="1:4" x14ac:dyDescent="0.25">
      <c r="A10" t="s">
        <v>33</v>
      </c>
      <c r="B10" t="s">
        <v>71</v>
      </c>
      <c r="C10">
        <v>1917</v>
      </c>
      <c r="D10">
        <v>6544441</v>
      </c>
    </row>
    <row r="11" spans="1:4" x14ac:dyDescent="0.25">
      <c r="A11" t="s">
        <v>33</v>
      </c>
      <c r="B11" t="s">
        <v>71</v>
      </c>
      <c r="C11">
        <v>1918</v>
      </c>
      <c r="D11">
        <v>6640214</v>
      </c>
    </row>
    <row r="12" spans="1:4" x14ac:dyDescent="0.25">
      <c r="A12" t="s">
        <v>33</v>
      </c>
      <c r="B12" t="s">
        <v>71</v>
      </c>
      <c r="C12">
        <v>1919</v>
      </c>
      <c r="D12">
        <v>6736779</v>
      </c>
    </row>
    <row r="13" spans="1:4" x14ac:dyDescent="0.25">
      <c r="A13" t="s">
        <v>33</v>
      </c>
      <c r="B13" t="s">
        <v>71</v>
      </c>
      <c r="C13">
        <v>1920</v>
      </c>
      <c r="D13">
        <v>6834137</v>
      </c>
    </row>
    <row r="14" spans="1:4" x14ac:dyDescent="0.25">
      <c r="A14" t="s">
        <v>33</v>
      </c>
      <c r="B14" t="s">
        <v>71</v>
      </c>
      <c r="C14">
        <v>1921</v>
      </c>
      <c r="D14">
        <v>6932291</v>
      </c>
    </row>
    <row r="15" spans="1:4" x14ac:dyDescent="0.25">
      <c r="A15" t="s">
        <v>33</v>
      </c>
      <c r="B15" t="s">
        <v>71</v>
      </c>
      <c r="C15">
        <v>1922</v>
      </c>
      <c r="D15">
        <v>7031246</v>
      </c>
    </row>
    <row r="16" spans="1:4" x14ac:dyDescent="0.25">
      <c r="A16" t="s">
        <v>33</v>
      </c>
      <c r="B16" t="s">
        <v>71</v>
      </c>
      <c r="C16">
        <v>1923</v>
      </c>
      <c r="D16">
        <v>7131002</v>
      </c>
    </row>
    <row r="17" spans="1:4" x14ac:dyDescent="0.25">
      <c r="A17" t="s">
        <v>33</v>
      </c>
      <c r="B17" t="s">
        <v>71</v>
      </c>
      <c r="C17">
        <v>1924</v>
      </c>
      <c r="D17">
        <v>7232174</v>
      </c>
    </row>
    <row r="18" spans="1:4" x14ac:dyDescent="0.25">
      <c r="A18" t="s">
        <v>33</v>
      </c>
      <c r="B18" t="s">
        <v>71</v>
      </c>
      <c r="C18">
        <v>1925</v>
      </c>
      <c r="D18">
        <v>7334781</v>
      </c>
    </row>
    <row r="19" spans="1:4" x14ac:dyDescent="0.25">
      <c r="A19" t="s">
        <v>33</v>
      </c>
      <c r="B19" t="s">
        <v>71</v>
      </c>
      <c r="C19">
        <v>1926</v>
      </c>
      <c r="D19">
        <v>7438843</v>
      </c>
    </row>
    <row r="20" spans="1:4" x14ac:dyDescent="0.25">
      <c r="A20" t="s">
        <v>33</v>
      </c>
      <c r="B20" t="s">
        <v>71</v>
      </c>
      <c r="C20">
        <v>1927</v>
      </c>
      <c r="D20">
        <v>7544382</v>
      </c>
    </row>
    <row r="21" spans="1:4" x14ac:dyDescent="0.25">
      <c r="A21" t="s">
        <v>33</v>
      </c>
      <c r="B21" t="s">
        <v>71</v>
      </c>
      <c r="C21">
        <v>1928</v>
      </c>
      <c r="D21">
        <v>7651419</v>
      </c>
    </row>
    <row r="22" spans="1:4" x14ac:dyDescent="0.25">
      <c r="A22" t="s">
        <v>33</v>
      </c>
      <c r="B22" t="s">
        <v>71</v>
      </c>
      <c r="C22">
        <v>1929</v>
      </c>
      <c r="D22">
        <v>7756463</v>
      </c>
    </row>
    <row r="23" spans="1:4" x14ac:dyDescent="0.25">
      <c r="A23" t="s">
        <v>33</v>
      </c>
      <c r="B23" t="s">
        <v>71</v>
      </c>
      <c r="C23">
        <v>1930</v>
      </c>
      <c r="D23">
        <v>7859443</v>
      </c>
    </row>
    <row r="24" spans="1:4" x14ac:dyDescent="0.25">
      <c r="A24" t="s">
        <v>33</v>
      </c>
      <c r="B24" t="s">
        <v>71</v>
      </c>
      <c r="C24">
        <v>1931</v>
      </c>
      <c r="D24">
        <v>7960289</v>
      </c>
    </row>
    <row r="25" spans="1:4" x14ac:dyDescent="0.25">
      <c r="A25" t="s">
        <v>33</v>
      </c>
      <c r="B25" t="s">
        <v>71</v>
      </c>
      <c r="C25">
        <v>1932</v>
      </c>
      <c r="D25">
        <v>8058927</v>
      </c>
    </row>
    <row r="26" spans="1:4" x14ac:dyDescent="0.25">
      <c r="A26" t="s">
        <v>33</v>
      </c>
      <c r="B26" t="s">
        <v>71</v>
      </c>
      <c r="C26">
        <v>1933</v>
      </c>
      <c r="D26">
        <v>8155281</v>
      </c>
    </row>
    <row r="27" spans="1:4" x14ac:dyDescent="0.25">
      <c r="A27" t="s">
        <v>33</v>
      </c>
      <c r="B27" t="s">
        <v>71</v>
      </c>
      <c r="C27">
        <v>1934</v>
      </c>
      <c r="D27">
        <v>8252788</v>
      </c>
    </row>
    <row r="28" spans="1:4" x14ac:dyDescent="0.25">
      <c r="A28" t="s">
        <v>33</v>
      </c>
      <c r="B28" t="s">
        <v>71</v>
      </c>
      <c r="C28">
        <v>1935</v>
      </c>
      <c r="D28">
        <v>8351461</v>
      </c>
    </row>
    <row r="29" spans="1:4" x14ac:dyDescent="0.25">
      <c r="A29" t="s">
        <v>33</v>
      </c>
      <c r="B29" t="s">
        <v>71</v>
      </c>
      <c r="C29">
        <v>1936</v>
      </c>
      <c r="D29">
        <v>8451313</v>
      </c>
    </row>
    <row r="30" spans="1:4" x14ac:dyDescent="0.25">
      <c r="A30" t="s">
        <v>33</v>
      </c>
      <c r="B30" t="s">
        <v>71</v>
      </c>
      <c r="C30">
        <v>1937</v>
      </c>
      <c r="D30">
        <v>8552359</v>
      </c>
    </row>
    <row r="31" spans="1:4" x14ac:dyDescent="0.25">
      <c r="A31" t="s">
        <v>33</v>
      </c>
      <c r="B31" t="s">
        <v>71</v>
      </c>
      <c r="C31">
        <v>1938</v>
      </c>
      <c r="D31">
        <v>8654613</v>
      </c>
    </row>
    <row r="32" spans="1:4" x14ac:dyDescent="0.25">
      <c r="A32" t="s">
        <v>33</v>
      </c>
      <c r="B32" t="s">
        <v>71</v>
      </c>
      <c r="C32">
        <v>1939</v>
      </c>
      <c r="D32">
        <v>8760124</v>
      </c>
    </row>
    <row r="33" spans="1:4" x14ac:dyDescent="0.25">
      <c r="A33" t="s">
        <v>33</v>
      </c>
      <c r="B33" t="s">
        <v>71</v>
      </c>
      <c r="C33">
        <v>1940</v>
      </c>
      <c r="D33">
        <v>8868956</v>
      </c>
    </row>
    <row r="34" spans="1:4" x14ac:dyDescent="0.25">
      <c r="A34" t="s">
        <v>33</v>
      </c>
      <c r="B34" t="s">
        <v>71</v>
      </c>
      <c r="C34">
        <v>1941</v>
      </c>
      <c r="D34">
        <v>8981176</v>
      </c>
    </row>
    <row r="35" spans="1:4" x14ac:dyDescent="0.25">
      <c r="A35" t="s">
        <v>33</v>
      </c>
      <c r="B35" t="s">
        <v>71</v>
      </c>
      <c r="C35">
        <v>1942</v>
      </c>
      <c r="D35">
        <v>9096853</v>
      </c>
    </row>
    <row r="36" spans="1:4" x14ac:dyDescent="0.25">
      <c r="A36" t="s">
        <v>33</v>
      </c>
      <c r="B36" t="s">
        <v>71</v>
      </c>
      <c r="C36">
        <v>1943</v>
      </c>
      <c r="D36">
        <v>9216054</v>
      </c>
    </row>
    <row r="37" spans="1:4" x14ac:dyDescent="0.25">
      <c r="A37" t="s">
        <v>33</v>
      </c>
      <c r="B37" t="s">
        <v>71</v>
      </c>
      <c r="C37">
        <v>1944</v>
      </c>
      <c r="D37">
        <v>9336818</v>
      </c>
    </row>
    <row r="38" spans="1:4" x14ac:dyDescent="0.25">
      <c r="A38" t="s">
        <v>33</v>
      </c>
      <c r="B38" t="s">
        <v>71</v>
      </c>
      <c r="C38">
        <v>1945</v>
      </c>
      <c r="D38">
        <v>9459164</v>
      </c>
    </row>
    <row r="39" spans="1:4" x14ac:dyDescent="0.25">
      <c r="A39" t="s">
        <v>33</v>
      </c>
      <c r="B39" t="s">
        <v>71</v>
      </c>
      <c r="C39">
        <v>1946</v>
      </c>
      <c r="D39">
        <v>9583114</v>
      </c>
    </row>
    <row r="40" spans="1:4" x14ac:dyDescent="0.25">
      <c r="A40" t="s">
        <v>33</v>
      </c>
      <c r="B40" t="s">
        <v>71</v>
      </c>
      <c r="C40">
        <v>1947</v>
      </c>
      <c r="D40">
        <v>9708687</v>
      </c>
    </row>
    <row r="41" spans="1:4" x14ac:dyDescent="0.25">
      <c r="A41" t="s">
        <v>33</v>
      </c>
      <c r="B41" t="s">
        <v>71</v>
      </c>
      <c r="C41">
        <v>1948</v>
      </c>
      <c r="D41">
        <v>9835906</v>
      </c>
    </row>
    <row r="42" spans="1:4" x14ac:dyDescent="0.25">
      <c r="A42" t="s">
        <v>33</v>
      </c>
      <c r="B42" t="s">
        <v>71</v>
      </c>
      <c r="C42">
        <v>1949</v>
      </c>
      <c r="D42">
        <v>9964193</v>
      </c>
    </row>
    <row r="43" spans="1:4" x14ac:dyDescent="0.25">
      <c r="A43" t="s">
        <v>33</v>
      </c>
      <c r="B43" t="s">
        <v>71</v>
      </c>
      <c r="C43">
        <v>1950</v>
      </c>
      <c r="D43">
        <v>10113759</v>
      </c>
    </row>
    <row r="44" spans="1:4" x14ac:dyDescent="0.25">
      <c r="A44" t="s">
        <v>33</v>
      </c>
      <c r="B44" t="s">
        <v>71</v>
      </c>
      <c r="C44">
        <v>1951</v>
      </c>
      <c r="D44">
        <v>10264537</v>
      </c>
    </row>
    <row r="45" spans="1:4" x14ac:dyDescent="0.25">
      <c r="A45" t="s">
        <v>33</v>
      </c>
      <c r="B45" t="s">
        <v>71</v>
      </c>
      <c r="C45">
        <v>1952</v>
      </c>
      <c r="D45">
        <v>10382295</v>
      </c>
    </row>
    <row r="46" spans="1:4" x14ac:dyDescent="0.25">
      <c r="A46" t="s">
        <v>33</v>
      </c>
      <c r="B46" t="s">
        <v>71</v>
      </c>
      <c r="C46">
        <v>1953</v>
      </c>
      <c r="D46">
        <v>10493533</v>
      </c>
    </row>
    <row r="47" spans="1:4" x14ac:dyDescent="0.25">
      <c r="A47" t="s">
        <v>33</v>
      </c>
      <c r="B47" t="s">
        <v>71</v>
      </c>
      <c r="C47">
        <v>1954</v>
      </c>
      <c r="D47">
        <v>10615730</v>
      </c>
    </row>
    <row r="48" spans="1:4" x14ac:dyDescent="0.25">
      <c r="A48" t="s">
        <v>33</v>
      </c>
      <c r="B48" t="s">
        <v>71</v>
      </c>
      <c r="C48">
        <v>1955</v>
      </c>
      <c r="D48">
        <v>10751230</v>
      </c>
    </row>
    <row r="49" spans="1:4" x14ac:dyDescent="0.25">
      <c r="A49" t="s">
        <v>33</v>
      </c>
      <c r="B49" t="s">
        <v>71</v>
      </c>
      <c r="C49">
        <v>1956</v>
      </c>
      <c r="D49">
        <v>10889768</v>
      </c>
    </row>
    <row r="50" spans="1:4" x14ac:dyDescent="0.25">
      <c r="A50" t="s">
        <v>33</v>
      </c>
      <c r="B50" t="s">
        <v>71</v>
      </c>
      <c r="C50">
        <v>1957</v>
      </c>
      <c r="D50">
        <v>11026877</v>
      </c>
    </row>
    <row r="51" spans="1:4" x14ac:dyDescent="0.25">
      <c r="A51" t="s">
        <v>33</v>
      </c>
      <c r="B51" t="s">
        <v>71</v>
      </c>
      <c r="C51">
        <v>1958</v>
      </c>
      <c r="D51">
        <v>11187365</v>
      </c>
    </row>
    <row r="52" spans="1:4" x14ac:dyDescent="0.25">
      <c r="A52" t="s">
        <v>33</v>
      </c>
      <c r="B52" t="s">
        <v>71</v>
      </c>
      <c r="C52">
        <v>1959</v>
      </c>
      <c r="D52">
        <v>11348108</v>
      </c>
    </row>
    <row r="53" spans="1:4" x14ac:dyDescent="0.25">
      <c r="A53" t="s">
        <v>33</v>
      </c>
      <c r="B53" t="s">
        <v>71</v>
      </c>
      <c r="C53">
        <v>1960</v>
      </c>
      <c r="D53">
        <v>11486909</v>
      </c>
    </row>
    <row r="54" spans="1:4" x14ac:dyDescent="0.25">
      <c r="A54" t="s">
        <v>33</v>
      </c>
      <c r="B54" t="s">
        <v>71</v>
      </c>
      <c r="C54">
        <v>1961</v>
      </c>
      <c r="D54">
        <v>11639371</v>
      </c>
    </row>
    <row r="55" spans="1:4" x14ac:dyDescent="0.25">
      <c r="A55" t="s">
        <v>33</v>
      </c>
      <c r="B55" t="s">
        <v>71</v>
      </c>
      <c r="C55">
        <v>1962</v>
      </c>
      <c r="D55">
        <v>11807552</v>
      </c>
    </row>
    <row r="56" spans="1:4" x14ac:dyDescent="0.25">
      <c r="A56" t="s">
        <v>33</v>
      </c>
      <c r="B56" t="s">
        <v>71</v>
      </c>
      <c r="C56">
        <v>1963</v>
      </c>
      <c r="D56">
        <v>11969156</v>
      </c>
    </row>
    <row r="57" spans="1:4" x14ac:dyDescent="0.25">
      <c r="A57" t="s">
        <v>33</v>
      </c>
      <c r="B57" t="s">
        <v>71</v>
      </c>
      <c r="C57">
        <v>1964</v>
      </c>
      <c r="D57">
        <v>12131887</v>
      </c>
    </row>
    <row r="58" spans="1:4" x14ac:dyDescent="0.25">
      <c r="A58" t="s">
        <v>33</v>
      </c>
      <c r="B58" t="s">
        <v>71</v>
      </c>
      <c r="C58">
        <v>1965</v>
      </c>
      <c r="D58">
        <v>12301136</v>
      </c>
    </row>
    <row r="59" spans="1:4" x14ac:dyDescent="0.25">
      <c r="A59" t="s">
        <v>33</v>
      </c>
      <c r="B59" t="s">
        <v>71</v>
      </c>
      <c r="C59">
        <v>1966</v>
      </c>
      <c r="D59">
        <v>12464282</v>
      </c>
    </row>
    <row r="60" spans="1:4" x14ac:dyDescent="0.25">
      <c r="A60" t="s">
        <v>33</v>
      </c>
      <c r="B60" t="s">
        <v>71</v>
      </c>
      <c r="C60">
        <v>1967</v>
      </c>
      <c r="D60">
        <v>12607834</v>
      </c>
    </row>
    <row r="61" spans="1:4" x14ac:dyDescent="0.25">
      <c r="A61" t="s">
        <v>33</v>
      </c>
      <c r="B61" t="s">
        <v>71</v>
      </c>
      <c r="C61">
        <v>1968</v>
      </c>
      <c r="D61">
        <v>12740849</v>
      </c>
    </row>
    <row r="62" spans="1:4" x14ac:dyDescent="0.25">
      <c r="A62" t="s">
        <v>33</v>
      </c>
      <c r="B62" t="s">
        <v>71</v>
      </c>
      <c r="C62">
        <v>1969</v>
      </c>
      <c r="D62">
        <v>12890638</v>
      </c>
    </row>
    <row r="63" spans="1:4" x14ac:dyDescent="0.25">
      <c r="A63" t="s">
        <v>33</v>
      </c>
      <c r="B63" t="s">
        <v>71</v>
      </c>
      <c r="C63">
        <v>1970</v>
      </c>
      <c r="D63">
        <v>13052082</v>
      </c>
    </row>
    <row r="64" spans="1:4" x14ac:dyDescent="0.25">
      <c r="A64" t="s">
        <v>33</v>
      </c>
      <c r="B64" t="s">
        <v>71</v>
      </c>
      <c r="C64">
        <v>1971</v>
      </c>
      <c r="D64">
        <v>13208353</v>
      </c>
    </row>
    <row r="65" spans="1:4" x14ac:dyDescent="0.25">
      <c r="A65" t="s">
        <v>33</v>
      </c>
      <c r="B65" t="s">
        <v>71</v>
      </c>
      <c r="C65">
        <v>1972</v>
      </c>
      <c r="D65">
        <v>13342780</v>
      </c>
    </row>
    <row r="66" spans="1:4" x14ac:dyDescent="0.25">
      <c r="A66" t="s">
        <v>33</v>
      </c>
      <c r="B66" t="s">
        <v>71</v>
      </c>
      <c r="C66">
        <v>1973</v>
      </c>
      <c r="D66">
        <v>13453743</v>
      </c>
    </row>
    <row r="67" spans="1:4" x14ac:dyDescent="0.25">
      <c r="A67" t="s">
        <v>33</v>
      </c>
      <c r="B67" t="s">
        <v>71</v>
      </c>
      <c r="C67">
        <v>1974</v>
      </c>
      <c r="D67">
        <v>13559670</v>
      </c>
    </row>
    <row r="68" spans="1:4" x14ac:dyDescent="0.25">
      <c r="A68" t="s">
        <v>33</v>
      </c>
      <c r="B68" t="s">
        <v>71</v>
      </c>
      <c r="C68">
        <v>1975</v>
      </c>
      <c r="D68">
        <v>13680031</v>
      </c>
    </row>
    <row r="69" spans="1:4" x14ac:dyDescent="0.25">
      <c r="A69" t="s">
        <v>33</v>
      </c>
      <c r="B69" t="s">
        <v>71</v>
      </c>
      <c r="C69">
        <v>1976</v>
      </c>
      <c r="D69">
        <v>13786640</v>
      </c>
    </row>
    <row r="70" spans="1:4" x14ac:dyDescent="0.25">
      <c r="A70" t="s">
        <v>33</v>
      </c>
      <c r="B70" t="s">
        <v>71</v>
      </c>
      <c r="C70">
        <v>1977</v>
      </c>
      <c r="D70">
        <v>13868607</v>
      </c>
    </row>
    <row r="71" spans="1:4" x14ac:dyDescent="0.25">
      <c r="A71" t="s">
        <v>33</v>
      </c>
      <c r="B71" t="s">
        <v>71</v>
      </c>
      <c r="C71">
        <v>1978</v>
      </c>
      <c r="D71">
        <v>13953922</v>
      </c>
    </row>
    <row r="72" spans="1:4" x14ac:dyDescent="0.25">
      <c r="A72" t="s">
        <v>33</v>
      </c>
      <c r="B72" t="s">
        <v>71</v>
      </c>
      <c r="C72">
        <v>1979</v>
      </c>
      <c r="D72">
        <v>14050176</v>
      </c>
    </row>
    <row r="73" spans="1:4" x14ac:dyDescent="0.25">
      <c r="A73" t="s">
        <v>33</v>
      </c>
      <c r="B73" t="s">
        <v>71</v>
      </c>
      <c r="C73">
        <v>1980</v>
      </c>
      <c r="D73">
        <v>14162687</v>
      </c>
    </row>
    <row r="74" spans="1:4" x14ac:dyDescent="0.25">
      <c r="A74" t="s">
        <v>33</v>
      </c>
      <c r="B74" t="s">
        <v>71</v>
      </c>
      <c r="C74">
        <v>1981</v>
      </c>
      <c r="D74">
        <v>14262690</v>
      </c>
    </row>
    <row r="75" spans="1:4" x14ac:dyDescent="0.25">
      <c r="A75" t="s">
        <v>33</v>
      </c>
      <c r="B75" t="s">
        <v>71</v>
      </c>
      <c r="C75">
        <v>1982</v>
      </c>
      <c r="D75">
        <v>14333902</v>
      </c>
    </row>
    <row r="76" spans="1:4" x14ac:dyDescent="0.25">
      <c r="A76" t="s">
        <v>33</v>
      </c>
      <c r="B76" t="s">
        <v>71</v>
      </c>
      <c r="C76">
        <v>1983</v>
      </c>
      <c r="D76">
        <v>14396901</v>
      </c>
    </row>
    <row r="77" spans="1:4" x14ac:dyDescent="0.25">
      <c r="A77" t="s">
        <v>33</v>
      </c>
      <c r="B77" t="s">
        <v>71</v>
      </c>
      <c r="C77">
        <v>1984</v>
      </c>
      <c r="D77">
        <v>14462810</v>
      </c>
    </row>
    <row r="78" spans="1:4" x14ac:dyDescent="0.25">
      <c r="A78" t="s">
        <v>33</v>
      </c>
      <c r="B78" t="s">
        <v>71</v>
      </c>
      <c r="C78">
        <v>1985</v>
      </c>
      <c r="D78">
        <v>14538958</v>
      </c>
    </row>
    <row r="79" spans="1:4" x14ac:dyDescent="0.25">
      <c r="A79" t="s">
        <v>33</v>
      </c>
      <c r="B79" t="s">
        <v>71</v>
      </c>
      <c r="C79">
        <v>1986</v>
      </c>
      <c r="D79">
        <v>14626489</v>
      </c>
    </row>
    <row r="80" spans="1:4" x14ac:dyDescent="0.25">
      <c r="A80" t="s">
        <v>33</v>
      </c>
      <c r="B80" t="s">
        <v>71</v>
      </c>
      <c r="C80">
        <v>1987</v>
      </c>
      <c r="D80">
        <v>14724947</v>
      </c>
    </row>
    <row r="81" spans="1:4" x14ac:dyDescent="0.25">
      <c r="A81" t="s">
        <v>33</v>
      </c>
      <c r="B81" t="s">
        <v>71</v>
      </c>
      <c r="C81">
        <v>1988</v>
      </c>
      <c r="D81">
        <v>14825916</v>
      </c>
    </row>
    <row r="82" spans="1:4" x14ac:dyDescent="0.25">
      <c r="A82" t="s">
        <v>33</v>
      </c>
      <c r="B82" t="s">
        <v>71</v>
      </c>
      <c r="C82">
        <v>1989</v>
      </c>
      <c r="D82">
        <v>14921107</v>
      </c>
    </row>
    <row r="83" spans="1:4" x14ac:dyDescent="0.25">
      <c r="A83" t="s">
        <v>33</v>
      </c>
      <c r="B83" t="s">
        <v>71</v>
      </c>
      <c r="C83">
        <v>1990</v>
      </c>
      <c r="D83">
        <v>15030884</v>
      </c>
    </row>
    <row r="84" spans="1:4" x14ac:dyDescent="0.25">
      <c r="A84" t="s">
        <v>33</v>
      </c>
      <c r="B84" t="s">
        <v>71</v>
      </c>
      <c r="C84">
        <v>1991</v>
      </c>
      <c r="D84">
        <v>15155091</v>
      </c>
    </row>
    <row r="85" spans="1:4" x14ac:dyDescent="0.25">
      <c r="A85" t="s">
        <v>33</v>
      </c>
      <c r="B85" t="s">
        <v>71</v>
      </c>
      <c r="C85">
        <v>1992</v>
      </c>
      <c r="D85">
        <v>15276786</v>
      </c>
    </row>
    <row r="86" spans="1:4" x14ac:dyDescent="0.25">
      <c r="A86" t="s">
        <v>33</v>
      </c>
      <c r="B86" t="s">
        <v>71</v>
      </c>
      <c r="C86">
        <v>1993</v>
      </c>
      <c r="D86">
        <v>15389718</v>
      </c>
    </row>
    <row r="87" spans="1:4" x14ac:dyDescent="0.25">
      <c r="A87" t="s">
        <v>33</v>
      </c>
      <c r="B87" t="s">
        <v>71</v>
      </c>
      <c r="C87">
        <v>1994</v>
      </c>
      <c r="D87">
        <v>15485453</v>
      </c>
    </row>
    <row r="88" spans="1:4" x14ac:dyDescent="0.25">
      <c r="A88" t="s">
        <v>33</v>
      </c>
      <c r="B88" t="s">
        <v>71</v>
      </c>
      <c r="C88">
        <v>1995</v>
      </c>
      <c r="D88">
        <v>15565033</v>
      </c>
    </row>
    <row r="89" spans="1:4" x14ac:dyDescent="0.25">
      <c r="A89" t="s">
        <v>33</v>
      </c>
      <c r="B89" t="s">
        <v>71</v>
      </c>
      <c r="C89">
        <v>1996</v>
      </c>
      <c r="D89">
        <v>15640031</v>
      </c>
    </row>
    <row r="90" spans="1:4" x14ac:dyDescent="0.25">
      <c r="A90" t="s">
        <v>33</v>
      </c>
      <c r="B90" t="s">
        <v>71</v>
      </c>
      <c r="C90">
        <v>1997</v>
      </c>
      <c r="D90">
        <v>15723620</v>
      </c>
    </row>
    <row r="91" spans="1:4" x14ac:dyDescent="0.25">
      <c r="A91" t="s">
        <v>33</v>
      </c>
      <c r="B91" t="s">
        <v>71</v>
      </c>
      <c r="C91">
        <v>1998</v>
      </c>
      <c r="D91">
        <v>15827109</v>
      </c>
    </row>
    <row r="92" spans="1:4" x14ac:dyDescent="0.25">
      <c r="A92" t="s">
        <v>33</v>
      </c>
      <c r="B92" t="s">
        <v>71</v>
      </c>
      <c r="C92">
        <v>1999</v>
      </c>
      <c r="D92">
        <v>15940182</v>
      </c>
    </row>
    <row r="93" spans="1:4" x14ac:dyDescent="0.25">
      <c r="A93" t="s">
        <v>33</v>
      </c>
      <c r="B93" t="s">
        <v>71</v>
      </c>
      <c r="C93">
        <v>2000</v>
      </c>
      <c r="D93">
        <v>16058758</v>
      </c>
    </row>
    <row r="94" spans="1:4" x14ac:dyDescent="0.25">
      <c r="A94" t="s">
        <v>33</v>
      </c>
      <c r="B94" t="s">
        <v>71</v>
      </c>
      <c r="C94">
        <v>2001</v>
      </c>
      <c r="D94">
        <v>16182705</v>
      </c>
    </row>
    <row r="95" spans="1:4" x14ac:dyDescent="0.25">
      <c r="A95" t="s">
        <v>33</v>
      </c>
      <c r="B95" t="s">
        <v>71</v>
      </c>
      <c r="C95">
        <v>2002</v>
      </c>
      <c r="D95">
        <v>16288060</v>
      </c>
    </row>
    <row r="96" spans="1:4" x14ac:dyDescent="0.25">
      <c r="A96" t="s">
        <v>33</v>
      </c>
      <c r="B96" t="s">
        <v>71</v>
      </c>
      <c r="C96">
        <v>2003</v>
      </c>
      <c r="D96">
        <v>16366914</v>
      </c>
    </row>
    <row r="97" spans="1:4" x14ac:dyDescent="0.25">
      <c r="A97" t="s">
        <v>33</v>
      </c>
      <c r="B97" t="s">
        <v>71</v>
      </c>
      <c r="C97">
        <v>2004</v>
      </c>
      <c r="D97">
        <v>16425561</v>
      </c>
    </row>
    <row r="98" spans="1:4" x14ac:dyDescent="0.25">
      <c r="A98" t="s">
        <v>33</v>
      </c>
      <c r="B98" t="s">
        <v>71</v>
      </c>
      <c r="C98">
        <v>2005</v>
      </c>
      <c r="D98">
        <v>16465707</v>
      </c>
    </row>
    <row r="99" spans="1:4" x14ac:dyDescent="0.25">
      <c r="A99" t="s">
        <v>33</v>
      </c>
      <c r="B99" t="s">
        <v>71</v>
      </c>
      <c r="C99">
        <v>2006</v>
      </c>
      <c r="D99">
        <v>16493851</v>
      </c>
    </row>
    <row r="100" spans="1:4" x14ac:dyDescent="0.25">
      <c r="A100" t="s">
        <v>33</v>
      </c>
      <c r="B100" t="s">
        <v>71</v>
      </c>
      <c r="C100">
        <v>2007</v>
      </c>
      <c r="D100">
        <v>16531360</v>
      </c>
    </row>
    <row r="101" spans="1:4" x14ac:dyDescent="0.25">
      <c r="A101" t="s">
        <v>33</v>
      </c>
      <c r="B101" t="s">
        <v>71</v>
      </c>
      <c r="C101">
        <v>2008</v>
      </c>
      <c r="D101">
        <v>16597257</v>
      </c>
    </row>
    <row r="102" spans="1:4" x14ac:dyDescent="0.25">
      <c r="A102" t="s">
        <v>33</v>
      </c>
      <c r="B102" t="s">
        <v>71</v>
      </c>
      <c r="C102">
        <v>2009</v>
      </c>
      <c r="D102">
        <v>16684147</v>
      </c>
    </row>
    <row r="103" spans="1:4" x14ac:dyDescent="0.25">
      <c r="A103" t="s">
        <v>33</v>
      </c>
      <c r="B103" t="s">
        <v>71</v>
      </c>
      <c r="C103">
        <v>2010</v>
      </c>
      <c r="D103">
        <v>16771232</v>
      </c>
    </row>
    <row r="104" spans="1:4" x14ac:dyDescent="0.25">
      <c r="A104" t="s">
        <v>33</v>
      </c>
      <c r="B104" t="s">
        <v>71</v>
      </c>
      <c r="C104">
        <v>2011</v>
      </c>
      <c r="D104">
        <v>16851061</v>
      </c>
    </row>
    <row r="105" spans="1:4" x14ac:dyDescent="0.25">
      <c r="A105" t="s">
        <v>33</v>
      </c>
      <c r="B105" t="s">
        <v>71</v>
      </c>
      <c r="C105">
        <v>2012</v>
      </c>
      <c r="D105">
        <v>16915191</v>
      </c>
    </row>
    <row r="106" spans="1:4" x14ac:dyDescent="0.25">
      <c r="A106" t="s">
        <v>33</v>
      </c>
      <c r="B106" t="s">
        <v>71</v>
      </c>
      <c r="C106">
        <v>2013</v>
      </c>
      <c r="D106">
        <v>16967065</v>
      </c>
    </row>
    <row r="107" spans="1:4" x14ac:dyDescent="0.25">
      <c r="A107" t="s">
        <v>33</v>
      </c>
      <c r="B107" t="s">
        <v>71</v>
      </c>
      <c r="C107">
        <v>2014</v>
      </c>
      <c r="D107">
        <v>17030087</v>
      </c>
    </row>
    <row r="108" spans="1:4" x14ac:dyDescent="0.25">
      <c r="A108" t="s">
        <v>33</v>
      </c>
      <c r="B108" t="s">
        <v>71</v>
      </c>
      <c r="C108">
        <v>2015</v>
      </c>
      <c r="D108">
        <v>17107427</v>
      </c>
    </row>
    <row r="109" spans="1:4" x14ac:dyDescent="0.25">
      <c r="A109" t="s">
        <v>33</v>
      </c>
      <c r="B109" t="s">
        <v>71</v>
      </c>
      <c r="C109">
        <v>2016</v>
      </c>
      <c r="D109">
        <v>17204694</v>
      </c>
    </row>
    <row r="110" spans="1:4" x14ac:dyDescent="0.25">
      <c r="A110" t="s">
        <v>33</v>
      </c>
      <c r="B110" t="s">
        <v>71</v>
      </c>
      <c r="C110">
        <v>2017</v>
      </c>
      <c r="D110">
        <v>17315375</v>
      </c>
    </row>
    <row r="111" spans="1:4" x14ac:dyDescent="0.25">
      <c r="A111" t="s">
        <v>33</v>
      </c>
      <c r="B111" t="s">
        <v>71</v>
      </c>
      <c r="C111">
        <v>2018</v>
      </c>
      <c r="D111">
        <v>17421284</v>
      </c>
    </row>
    <row r="112" spans="1:4" x14ac:dyDescent="0.25">
      <c r="A112" t="s">
        <v>33</v>
      </c>
      <c r="B112" t="s">
        <v>71</v>
      </c>
      <c r="C112">
        <v>2019</v>
      </c>
      <c r="D112">
        <v>17537506</v>
      </c>
    </row>
    <row r="113" spans="1:4" x14ac:dyDescent="0.25">
      <c r="A113" t="s">
        <v>33</v>
      </c>
      <c r="B113" t="s">
        <v>71</v>
      </c>
      <c r="C113">
        <v>2020</v>
      </c>
      <c r="D113">
        <v>17636732</v>
      </c>
    </row>
    <row r="114" spans="1:4" x14ac:dyDescent="0.25">
      <c r="A114" t="s">
        <v>33</v>
      </c>
      <c r="B114" t="s">
        <v>71</v>
      </c>
      <c r="C114">
        <v>2021</v>
      </c>
      <c r="D114">
        <v>17730564</v>
      </c>
    </row>
    <row r="115" spans="1:4" x14ac:dyDescent="0.25">
      <c r="A115" t="s">
        <v>33</v>
      </c>
      <c r="B115" t="s">
        <v>71</v>
      </c>
      <c r="C115">
        <v>2022</v>
      </c>
      <c r="D115">
        <v>17904422</v>
      </c>
    </row>
    <row r="116" spans="1:4" x14ac:dyDescent="0.25">
      <c r="A116" t="s">
        <v>33</v>
      </c>
      <c r="B116" t="s">
        <v>71</v>
      </c>
      <c r="C116">
        <v>2023</v>
      </c>
      <c r="D116">
        <v>18092525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546A-CCB5-48DF-A11F-CF3FD1CD915F}">
  <dimension ref="A1:J28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G10" sqref="G10"/>
    </sheetView>
  </sheetViews>
  <sheetFormatPr defaultColWidth="11" defaultRowHeight="15.75" customHeight="1" x14ac:dyDescent="0.25"/>
  <cols>
    <col min="2" max="2" width="20.375" customWidth="1"/>
    <col min="3" max="3" width="17.625" customWidth="1"/>
    <col min="4" max="4" width="20.625" customWidth="1"/>
    <col min="5" max="5" width="20.125" customWidth="1"/>
    <col min="6" max="6" width="12.5" customWidth="1"/>
    <col min="7" max="8" width="12.125" customWidth="1"/>
  </cols>
  <sheetData>
    <row r="1" spans="1:10" ht="15.75" customHeight="1" x14ac:dyDescent="0.25">
      <c r="A1" t="s">
        <v>0</v>
      </c>
      <c r="B1" s="2" t="s">
        <v>10</v>
      </c>
      <c r="C1" s="2" t="s">
        <v>72</v>
      </c>
      <c r="D1" s="2" t="s">
        <v>10</v>
      </c>
      <c r="E1" s="2" t="s">
        <v>72</v>
      </c>
      <c r="F1" s="6" t="s">
        <v>20</v>
      </c>
      <c r="G1" s="6" t="s">
        <v>20</v>
      </c>
      <c r="H1" s="6" t="s">
        <v>20</v>
      </c>
      <c r="I1" s="2" t="s">
        <v>10</v>
      </c>
      <c r="J1" s="2" t="s">
        <v>72</v>
      </c>
    </row>
    <row r="2" spans="1:10" ht="15.75" customHeight="1" x14ac:dyDescent="0.25">
      <c r="A2" t="s">
        <v>13</v>
      </c>
      <c r="B2" s="1" t="s">
        <v>73</v>
      </c>
      <c r="C2" s="1" t="s">
        <v>74</v>
      </c>
      <c r="D2" s="1" t="s">
        <v>73</v>
      </c>
      <c r="E2" s="1" t="s">
        <v>74</v>
      </c>
    </row>
    <row r="3" spans="1:10" ht="15.75" customHeight="1" x14ac:dyDescent="0.25">
      <c r="A3" t="s">
        <v>22</v>
      </c>
      <c r="B3" t="s">
        <v>38</v>
      </c>
      <c r="C3" t="s">
        <v>38</v>
      </c>
      <c r="D3" t="s">
        <v>33</v>
      </c>
      <c r="E3" t="s">
        <v>33</v>
      </c>
      <c r="F3" t="s">
        <v>38</v>
      </c>
      <c r="G3" t="s">
        <v>75</v>
      </c>
      <c r="H3" t="s">
        <v>39</v>
      </c>
      <c r="I3" t="s">
        <v>39</v>
      </c>
      <c r="J3" t="s">
        <v>39</v>
      </c>
    </row>
    <row r="4" spans="1:10" ht="15.75" customHeight="1" x14ac:dyDescent="0.25">
      <c r="A4" t="s">
        <v>43</v>
      </c>
      <c r="B4" t="s">
        <v>49</v>
      </c>
      <c r="C4" t="s">
        <v>49</v>
      </c>
      <c r="D4" t="s">
        <v>76</v>
      </c>
      <c r="E4" t="s">
        <v>76</v>
      </c>
    </row>
    <row r="5" spans="1:10" ht="15.75" customHeight="1" x14ac:dyDescent="0.25">
      <c r="A5" t="s">
        <v>50</v>
      </c>
      <c r="B5" s="5" t="s">
        <v>77</v>
      </c>
      <c r="C5" s="5" t="s">
        <v>78</v>
      </c>
      <c r="D5" s="5" t="s">
        <v>79</v>
      </c>
      <c r="E5" s="5" t="s">
        <v>80</v>
      </c>
      <c r="F5" s="5"/>
      <c r="G5" s="5"/>
      <c r="H5" s="5"/>
      <c r="I5" s="5" t="s">
        <v>81</v>
      </c>
    </row>
    <row r="6" spans="1:10" ht="15.75" customHeight="1" x14ac:dyDescent="0.25">
      <c r="A6" t="s">
        <v>59</v>
      </c>
      <c r="B6" t="s">
        <v>82</v>
      </c>
      <c r="C6" t="s">
        <v>82</v>
      </c>
      <c r="D6" t="s">
        <v>83</v>
      </c>
      <c r="E6" t="s">
        <v>83</v>
      </c>
      <c r="F6" t="s">
        <v>82</v>
      </c>
      <c r="G6" t="s">
        <v>82</v>
      </c>
      <c r="H6" t="s">
        <v>84</v>
      </c>
      <c r="I6" t="s">
        <v>82</v>
      </c>
      <c r="J6" t="s">
        <v>82</v>
      </c>
    </row>
    <row r="7" spans="1:10" ht="15.75" customHeight="1" x14ac:dyDescent="0.25">
      <c r="A7">
        <v>2004</v>
      </c>
      <c r="D7">
        <v>25</v>
      </c>
      <c r="G7" s="13">
        <f t="shared" ref="G7:G12" si="0">AVERAGE(G8:G10)</f>
        <v>1.3537256515775036</v>
      </c>
    </row>
    <row r="8" spans="1:10" ht="15.75" customHeight="1" x14ac:dyDescent="0.25">
      <c r="A8">
        <v>2005</v>
      </c>
      <c r="D8">
        <v>37</v>
      </c>
      <c r="G8" s="13">
        <f t="shared" si="0"/>
        <v>1.3559053497942388</v>
      </c>
    </row>
    <row r="9" spans="1:10" ht="15.75" customHeight="1" x14ac:dyDescent="0.25">
      <c r="A9">
        <v>2006</v>
      </c>
      <c r="D9">
        <v>40</v>
      </c>
      <c r="G9" s="13">
        <f t="shared" si="0"/>
        <v>1.3480123456790125</v>
      </c>
    </row>
    <row r="10" spans="1:10" ht="15.75" customHeight="1" x14ac:dyDescent="0.25">
      <c r="A10">
        <v>2007</v>
      </c>
      <c r="D10">
        <v>84</v>
      </c>
      <c r="G10" s="13">
        <f t="shared" si="0"/>
        <v>1.3572592592592594</v>
      </c>
    </row>
    <row r="11" spans="1:10" ht="15.75" customHeight="1" x14ac:dyDescent="0.25">
      <c r="A11">
        <v>2008</v>
      </c>
      <c r="D11">
        <v>134</v>
      </c>
      <c r="G11" s="13">
        <f t="shared" si="0"/>
        <v>1.3624444444444446</v>
      </c>
    </row>
    <row r="12" spans="1:10" ht="15.75" customHeight="1" x14ac:dyDescent="0.25">
      <c r="A12">
        <v>2009</v>
      </c>
      <c r="D12">
        <v>154</v>
      </c>
      <c r="G12" s="13">
        <f t="shared" si="0"/>
        <v>1.3243333333333334</v>
      </c>
    </row>
    <row r="13" spans="1:10" ht="15.75" customHeight="1" x14ac:dyDescent="0.25">
      <c r="A13">
        <v>2010</v>
      </c>
      <c r="D13">
        <v>170</v>
      </c>
      <c r="E13" s="9">
        <v>1215</v>
      </c>
      <c r="G13" s="13">
        <f>(D13+E13)/1000</f>
        <v>1.385</v>
      </c>
      <c r="H13" s="13"/>
    </row>
    <row r="14" spans="1:10" ht="15.75" customHeight="1" x14ac:dyDescent="0.25">
      <c r="A14">
        <v>2011</v>
      </c>
      <c r="D14" s="4">
        <v>180</v>
      </c>
      <c r="E14" s="9">
        <v>1198</v>
      </c>
      <c r="G14" s="13">
        <f t="shared" ref="G14:G25" si="1">(D14+E14)/1000</f>
        <v>1.3779999999999999</v>
      </c>
      <c r="H14" s="13"/>
    </row>
    <row r="15" spans="1:10" ht="15.75" customHeight="1" x14ac:dyDescent="0.25">
      <c r="A15">
        <v>2012</v>
      </c>
      <c r="D15" s="4">
        <v>175</v>
      </c>
      <c r="E15" s="9">
        <v>1035</v>
      </c>
      <c r="G15" s="13">
        <f t="shared" si="1"/>
        <v>1.21</v>
      </c>
      <c r="H15" s="13"/>
    </row>
    <row r="16" spans="1:10" ht="15.75" customHeight="1" x14ac:dyDescent="0.25">
      <c r="A16">
        <v>2013</v>
      </c>
      <c r="D16" s="4">
        <v>192</v>
      </c>
      <c r="E16" s="9">
        <v>1008</v>
      </c>
      <c r="G16" s="13">
        <f t="shared" si="1"/>
        <v>1.2</v>
      </c>
      <c r="H16" s="13"/>
    </row>
    <row r="17" spans="1:10" ht="15.75" customHeight="1" x14ac:dyDescent="0.25">
      <c r="A17">
        <v>2014</v>
      </c>
      <c r="D17" s="4">
        <v>223</v>
      </c>
      <c r="E17" s="9">
        <v>1051</v>
      </c>
      <c r="G17" s="13">
        <f t="shared" si="1"/>
        <v>1.274</v>
      </c>
      <c r="H17" s="13"/>
    </row>
    <row r="18" spans="1:10" ht="15.75" customHeight="1" x14ac:dyDescent="0.25">
      <c r="A18">
        <v>2015</v>
      </c>
      <c r="B18">
        <v>20.12</v>
      </c>
      <c r="C18">
        <v>13.41</v>
      </c>
      <c r="D18" s="4">
        <v>276</v>
      </c>
      <c r="E18">
        <v>983</v>
      </c>
      <c r="F18">
        <f>SUM(B18:C18)</f>
        <v>33.53</v>
      </c>
      <c r="G18" s="13">
        <f t="shared" si="1"/>
        <v>1.2589999999999999</v>
      </c>
      <c r="H18" s="13">
        <f>SUM(I18,J18)</f>
        <v>18.350000000000001</v>
      </c>
      <c r="I18">
        <v>1.0900000000000001</v>
      </c>
      <c r="J18">
        <v>17.260000000000002</v>
      </c>
    </row>
    <row r="19" spans="1:10" ht="15.75" customHeight="1" x14ac:dyDescent="0.25">
      <c r="A19">
        <v>2016</v>
      </c>
      <c r="B19">
        <v>19.79</v>
      </c>
      <c r="C19">
        <v>11.7</v>
      </c>
      <c r="D19" s="4">
        <v>269</v>
      </c>
      <c r="E19">
        <v>928</v>
      </c>
      <c r="F19">
        <f t="shared" ref="F19:F25" si="2">SUM(B19:C19)</f>
        <v>31.49</v>
      </c>
      <c r="G19" s="13">
        <f t="shared" si="1"/>
        <v>1.1970000000000001</v>
      </c>
      <c r="H19" s="13">
        <f>SUM(I19,J19)</f>
        <v>18.940000000000001</v>
      </c>
      <c r="I19">
        <v>1.53</v>
      </c>
      <c r="J19">
        <v>17.41</v>
      </c>
    </row>
    <row r="20" spans="1:10" ht="15.75" customHeight="1" x14ac:dyDescent="0.25">
      <c r="A20">
        <v>2017</v>
      </c>
      <c r="B20">
        <v>30.5</v>
      </c>
      <c r="C20">
        <v>10.7</v>
      </c>
      <c r="D20" s="4">
        <v>294</v>
      </c>
      <c r="E20">
        <v>957</v>
      </c>
      <c r="F20">
        <f t="shared" si="2"/>
        <v>41.2</v>
      </c>
      <c r="G20" s="13">
        <f t="shared" si="1"/>
        <v>1.2509999999999999</v>
      </c>
      <c r="H20" s="13">
        <f t="shared" ref="H20:H27" si="3">SUM(I20,J20)</f>
        <v>18.559999999999999</v>
      </c>
      <c r="I20">
        <v>1.95</v>
      </c>
      <c r="J20">
        <v>16.61</v>
      </c>
    </row>
    <row r="21" spans="1:10" ht="15.75" customHeight="1" x14ac:dyDescent="0.25">
      <c r="A21">
        <v>2018</v>
      </c>
      <c r="B21">
        <v>32.200000000000003</v>
      </c>
      <c r="C21">
        <v>11</v>
      </c>
      <c r="D21" s="4">
        <v>409</v>
      </c>
      <c r="E21" s="9">
        <v>1011</v>
      </c>
      <c r="F21">
        <f t="shared" si="2"/>
        <v>43.2</v>
      </c>
      <c r="G21" s="13">
        <f t="shared" si="1"/>
        <v>1.42</v>
      </c>
      <c r="H21" s="13">
        <f t="shared" si="3"/>
        <v>20.490000000000002</v>
      </c>
      <c r="I21">
        <v>2.67</v>
      </c>
      <c r="J21">
        <v>17.82</v>
      </c>
    </row>
    <row r="22" spans="1:10" ht="15.75" customHeight="1" x14ac:dyDescent="0.25">
      <c r="A22">
        <v>2019</v>
      </c>
      <c r="B22">
        <v>36.799999999999997</v>
      </c>
      <c r="C22">
        <v>9.9</v>
      </c>
      <c r="D22" s="4">
        <v>420</v>
      </c>
      <c r="E22" s="9">
        <v>1007</v>
      </c>
      <c r="F22">
        <f t="shared" si="2"/>
        <v>46.699999999999996</v>
      </c>
      <c r="G22" s="13">
        <f t="shared" si="1"/>
        <v>1.427</v>
      </c>
      <c r="H22" s="13">
        <f t="shared" si="3"/>
        <v>20.56</v>
      </c>
      <c r="I22">
        <v>3.07</v>
      </c>
      <c r="J22">
        <v>17.489999999999998</v>
      </c>
    </row>
    <row r="23" spans="1:10" ht="15.75" customHeight="1" x14ac:dyDescent="0.25">
      <c r="A23">
        <v>2020</v>
      </c>
      <c r="B23">
        <v>47.6</v>
      </c>
      <c r="C23">
        <v>11</v>
      </c>
      <c r="D23" s="4">
        <v>547</v>
      </c>
      <c r="E23" s="9">
        <v>1098</v>
      </c>
      <c r="F23">
        <f t="shared" si="2"/>
        <v>58.6</v>
      </c>
      <c r="G23" s="13">
        <f t="shared" si="1"/>
        <v>1.645</v>
      </c>
      <c r="H23" s="13">
        <f t="shared" si="3"/>
        <v>23.24</v>
      </c>
      <c r="I23">
        <v>3.9</v>
      </c>
      <c r="J23">
        <v>19.34</v>
      </c>
    </row>
    <row r="24" spans="1:10" ht="15.75" customHeight="1" x14ac:dyDescent="0.25">
      <c r="A24">
        <v>2021</v>
      </c>
      <c r="B24">
        <v>41</v>
      </c>
      <c r="C24">
        <v>11</v>
      </c>
      <c r="D24" s="4">
        <v>478</v>
      </c>
      <c r="E24">
        <v>923</v>
      </c>
      <c r="F24">
        <f t="shared" si="2"/>
        <v>52</v>
      </c>
      <c r="G24" s="13">
        <f t="shared" si="1"/>
        <v>1.401</v>
      </c>
      <c r="H24" s="13">
        <f t="shared" si="3"/>
        <v>23.979999999999997</v>
      </c>
      <c r="I24">
        <v>4.33</v>
      </c>
      <c r="J24">
        <v>19.649999999999999</v>
      </c>
    </row>
    <row r="25" spans="1:10" ht="15.75" customHeight="1" x14ac:dyDescent="0.25">
      <c r="A25">
        <v>2022</v>
      </c>
      <c r="B25">
        <v>44.15</v>
      </c>
      <c r="C25">
        <v>10.32</v>
      </c>
      <c r="D25" s="4">
        <v>486</v>
      </c>
      <c r="E25">
        <v>855</v>
      </c>
      <c r="F25">
        <f t="shared" si="2"/>
        <v>54.47</v>
      </c>
      <c r="G25" s="13">
        <f t="shared" si="1"/>
        <v>1.341</v>
      </c>
      <c r="H25" s="13">
        <f t="shared" si="3"/>
        <v>23.720000000000002</v>
      </c>
      <c r="I25">
        <v>4.9400000000000004</v>
      </c>
      <c r="J25">
        <v>18.78</v>
      </c>
    </row>
    <row r="26" spans="1:10" ht="15.75" customHeight="1" x14ac:dyDescent="0.25">
      <c r="A26">
        <v>2023</v>
      </c>
      <c r="C26">
        <v>10.43</v>
      </c>
      <c r="D26" s="4">
        <v>453</v>
      </c>
      <c r="E26">
        <v>804</v>
      </c>
      <c r="H26" s="13">
        <f t="shared" si="3"/>
        <v>22.9</v>
      </c>
      <c r="I26">
        <v>5.16</v>
      </c>
      <c r="J26">
        <v>17.739999999999998</v>
      </c>
    </row>
    <row r="27" spans="1:10" ht="15.75" customHeight="1" x14ac:dyDescent="0.25">
      <c r="A27">
        <v>2024</v>
      </c>
      <c r="C27">
        <v>9.4</v>
      </c>
      <c r="D27" s="4"/>
      <c r="H27" s="13">
        <f t="shared" si="3"/>
        <v>17.170000000000002</v>
      </c>
      <c r="J27">
        <v>17.170000000000002</v>
      </c>
    </row>
    <row r="28" spans="1:10" ht="15.75" customHeight="1" x14ac:dyDescent="0.25">
      <c r="D28" s="4"/>
    </row>
  </sheetData>
  <hyperlinks>
    <hyperlink ref="B5" r:id="rId1" xr:uid="{C03C590D-02AB-4084-80AA-215CEA635311}"/>
    <hyperlink ref="D5" r:id="rId2" xr:uid="{B78FDE47-9CB5-49F8-B767-7DC028FFCB73}"/>
    <hyperlink ref="E5" r:id="rId3" xr:uid="{8F367D32-A33A-4D69-A35E-5CC0CA99E289}"/>
    <hyperlink ref="C5" r:id="rId4" location="unit-sales" xr:uid="{0926F22B-4883-41A9-86BB-5CB419B9C680}"/>
    <hyperlink ref="I5" r:id="rId5" xr:uid="{5D7179F5-316E-424C-8BA5-EEED112D603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7BAA-CBDF-9A4E-8568-ECE8FA0A38BF}">
  <dimension ref="A1:E53"/>
  <sheetViews>
    <sheetView topLeftCell="A3" workbookViewId="0">
      <selection activeCell="H48" sqref="H48"/>
    </sheetView>
  </sheetViews>
  <sheetFormatPr defaultColWidth="11" defaultRowHeight="15.75" x14ac:dyDescent="0.25"/>
  <cols>
    <col min="1" max="1" width="8.5" bestFit="1" customWidth="1"/>
    <col min="2" max="2" width="8" bestFit="1" customWidth="1"/>
    <col min="3" max="3" width="7.375" bestFit="1" customWidth="1"/>
    <col min="4" max="4" width="27.375" bestFit="1" customWidth="1"/>
    <col min="5" max="5" width="28.375" bestFit="1" customWidth="1"/>
  </cols>
  <sheetData>
    <row r="1" spans="1:5" x14ac:dyDescent="0.25">
      <c r="A1" t="s">
        <v>67</v>
      </c>
      <c r="B1" t="s">
        <v>68</v>
      </c>
      <c r="C1" t="s">
        <v>69</v>
      </c>
      <c r="D1" t="s">
        <v>206</v>
      </c>
      <c r="E1" t="s">
        <v>207</v>
      </c>
    </row>
    <row r="2" spans="1:5" x14ac:dyDescent="0.25">
      <c r="A2" t="s">
        <v>24</v>
      </c>
      <c r="B2" t="s">
        <v>200</v>
      </c>
      <c r="C2">
        <v>1970</v>
      </c>
      <c r="D2">
        <v>38483000000</v>
      </c>
      <c r="E2">
        <v>399200000000</v>
      </c>
    </row>
    <row r="3" spans="1:5" x14ac:dyDescent="0.25">
      <c r="A3" t="s">
        <v>24</v>
      </c>
      <c r="B3" t="s">
        <v>200</v>
      </c>
      <c r="C3">
        <v>1971</v>
      </c>
      <c r="D3">
        <v>39524000000</v>
      </c>
      <c r="E3">
        <v>422500000000</v>
      </c>
    </row>
    <row r="4" spans="1:5" x14ac:dyDescent="0.25">
      <c r="A4" t="s">
        <v>24</v>
      </c>
      <c r="B4" t="s">
        <v>200</v>
      </c>
      <c r="C4">
        <v>1972</v>
      </c>
      <c r="D4">
        <v>40528000000</v>
      </c>
      <c r="E4">
        <v>430000000000</v>
      </c>
    </row>
    <row r="5" spans="1:5" x14ac:dyDescent="0.25">
      <c r="A5" t="s">
        <v>24</v>
      </c>
      <c r="B5" t="s">
        <v>200</v>
      </c>
      <c r="C5">
        <v>1973</v>
      </c>
      <c r="D5">
        <v>40756000000</v>
      </c>
      <c r="E5">
        <v>444200000000</v>
      </c>
    </row>
    <row r="6" spans="1:5" x14ac:dyDescent="0.25">
      <c r="A6" t="s">
        <v>24</v>
      </c>
      <c r="B6" t="s">
        <v>200</v>
      </c>
      <c r="C6">
        <v>1974</v>
      </c>
      <c r="D6">
        <v>41646000000</v>
      </c>
      <c r="E6">
        <v>439100000000</v>
      </c>
    </row>
    <row r="7" spans="1:5" x14ac:dyDescent="0.25">
      <c r="A7" t="s">
        <v>24</v>
      </c>
      <c r="B7" t="s">
        <v>200</v>
      </c>
      <c r="C7">
        <v>1975</v>
      </c>
      <c r="D7">
        <v>38586000000</v>
      </c>
      <c r="E7">
        <v>464100000000</v>
      </c>
    </row>
    <row r="8" spans="1:5" x14ac:dyDescent="0.25">
      <c r="A8" t="s">
        <v>24</v>
      </c>
      <c r="B8" t="s">
        <v>200</v>
      </c>
      <c r="C8">
        <v>1976</v>
      </c>
      <c r="D8">
        <v>37175000000</v>
      </c>
      <c r="E8">
        <v>476300000000</v>
      </c>
    </row>
    <row r="9" spans="1:5" x14ac:dyDescent="0.25">
      <c r="A9" t="s">
        <v>24</v>
      </c>
      <c r="B9" t="s">
        <v>200</v>
      </c>
      <c r="C9">
        <v>1977</v>
      </c>
      <c r="D9">
        <v>37348000000</v>
      </c>
      <c r="E9">
        <v>493000000000</v>
      </c>
    </row>
    <row r="10" spans="1:5" x14ac:dyDescent="0.25">
      <c r="A10" t="s">
        <v>24</v>
      </c>
      <c r="B10" t="s">
        <v>200</v>
      </c>
      <c r="C10">
        <v>1978</v>
      </c>
      <c r="D10">
        <v>37589000000</v>
      </c>
      <c r="E10">
        <v>511300000000</v>
      </c>
    </row>
    <row r="11" spans="1:5" x14ac:dyDescent="0.25">
      <c r="A11" t="s">
        <v>24</v>
      </c>
      <c r="B11" t="s">
        <v>200</v>
      </c>
      <c r="C11">
        <v>1979</v>
      </c>
      <c r="D11">
        <v>39431000000</v>
      </c>
      <c r="E11">
        <v>529200000000</v>
      </c>
    </row>
    <row r="12" spans="1:5" x14ac:dyDescent="0.25">
      <c r="A12" t="s">
        <v>24</v>
      </c>
      <c r="B12" t="s">
        <v>200</v>
      </c>
      <c r="C12">
        <v>1980</v>
      </c>
      <c r="D12">
        <v>40499000000</v>
      </c>
      <c r="E12">
        <v>532100000000</v>
      </c>
    </row>
    <row r="13" spans="1:5" x14ac:dyDescent="0.25">
      <c r="A13" t="s">
        <v>24</v>
      </c>
      <c r="B13" t="s">
        <v>200</v>
      </c>
      <c r="C13">
        <v>1981</v>
      </c>
      <c r="D13">
        <v>41795000000</v>
      </c>
      <c r="E13">
        <v>512900000000</v>
      </c>
    </row>
    <row r="14" spans="1:5" x14ac:dyDescent="0.25">
      <c r="A14" t="s">
        <v>24</v>
      </c>
      <c r="B14" t="s">
        <v>200</v>
      </c>
      <c r="C14">
        <v>1982</v>
      </c>
      <c r="D14">
        <v>40030000000</v>
      </c>
      <c r="E14">
        <v>526500000000</v>
      </c>
    </row>
    <row r="15" spans="1:5" x14ac:dyDescent="0.25">
      <c r="A15" t="s">
        <v>24</v>
      </c>
      <c r="B15" t="s">
        <v>200</v>
      </c>
      <c r="C15">
        <v>1983</v>
      </c>
      <c r="D15">
        <v>38755000000</v>
      </c>
      <c r="E15">
        <v>535600000000</v>
      </c>
    </row>
    <row r="16" spans="1:5" x14ac:dyDescent="0.25">
      <c r="A16" t="s">
        <v>24</v>
      </c>
      <c r="B16" t="s">
        <v>200</v>
      </c>
      <c r="C16">
        <v>1984</v>
      </c>
      <c r="D16">
        <v>39075000000</v>
      </c>
      <c r="E16">
        <v>545800000000</v>
      </c>
    </row>
    <row r="17" spans="1:5" x14ac:dyDescent="0.25">
      <c r="A17" t="s">
        <v>24</v>
      </c>
      <c r="B17" t="s">
        <v>200</v>
      </c>
      <c r="C17">
        <v>1985</v>
      </c>
      <c r="D17">
        <v>42707000000</v>
      </c>
      <c r="E17">
        <v>538300000000</v>
      </c>
    </row>
    <row r="18" spans="1:5" x14ac:dyDescent="0.25">
      <c r="A18" t="s">
        <v>24</v>
      </c>
      <c r="B18" t="s">
        <v>200</v>
      </c>
      <c r="C18">
        <v>1986</v>
      </c>
      <c r="D18">
        <v>41397000000</v>
      </c>
      <c r="E18">
        <v>563800000000</v>
      </c>
    </row>
    <row r="19" spans="1:5" x14ac:dyDescent="0.25">
      <c r="A19" t="s">
        <v>24</v>
      </c>
      <c r="B19" t="s">
        <v>200</v>
      </c>
      <c r="C19">
        <v>1987</v>
      </c>
      <c r="D19">
        <v>39200000000</v>
      </c>
      <c r="E19">
        <v>584300000000</v>
      </c>
    </row>
    <row r="20" spans="1:5" x14ac:dyDescent="0.25">
      <c r="A20" t="s">
        <v>24</v>
      </c>
      <c r="B20" t="s">
        <v>200</v>
      </c>
      <c r="C20">
        <v>1988</v>
      </c>
      <c r="D20">
        <v>41000000000</v>
      </c>
      <c r="E20">
        <v>612600000000</v>
      </c>
    </row>
    <row r="21" spans="1:5" x14ac:dyDescent="0.25">
      <c r="A21" t="s">
        <v>24</v>
      </c>
      <c r="B21" t="s">
        <v>200</v>
      </c>
      <c r="C21">
        <v>1989</v>
      </c>
      <c r="D21">
        <v>41100000000</v>
      </c>
      <c r="E21">
        <v>627800000000</v>
      </c>
    </row>
    <row r="22" spans="1:5" x14ac:dyDescent="0.25">
      <c r="A22" t="s">
        <v>24</v>
      </c>
      <c r="B22" t="s">
        <v>200</v>
      </c>
      <c r="C22">
        <v>1990</v>
      </c>
      <c r="D22">
        <v>43600000000</v>
      </c>
      <c r="E22">
        <v>649800000000</v>
      </c>
    </row>
    <row r="23" spans="1:5" x14ac:dyDescent="0.25">
      <c r="A23" t="s">
        <v>24</v>
      </c>
      <c r="B23" t="s">
        <v>200</v>
      </c>
      <c r="C23">
        <v>1991</v>
      </c>
      <c r="D23">
        <v>55300000000</v>
      </c>
      <c r="E23">
        <v>770200000000</v>
      </c>
    </row>
    <row r="24" spans="1:5" x14ac:dyDescent="0.25">
      <c r="A24" t="s">
        <v>24</v>
      </c>
      <c r="B24" t="s">
        <v>200</v>
      </c>
      <c r="C24">
        <v>1992</v>
      </c>
      <c r="D24">
        <v>56300000000</v>
      </c>
      <c r="E24">
        <v>789000000000</v>
      </c>
    </row>
    <row r="25" spans="1:5" x14ac:dyDescent="0.25">
      <c r="A25" t="s">
        <v>24</v>
      </c>
      <c r="B25" t="s">
        <v>200</v>
      </c>
      <c r="C25">
        <v>1993</v>
      </c>
      <c r="D25">
        <v>63361000000</v>
      </c>
      <c r="E25">
        <v>799700000000</v>
      </c>
    </row>
    <row r="26" spans="1:5" x14ac:dyDescent="0.25">
      <c r="A26" t="s">
        <v>24</v>
      </c>
      <c r="B26" t="s">
        <v>200</v>
      </c>
      <c r="C26">
        <v>1994</v>
      </c>
      <c r="D26">
        <v>65169000000</v>
      </c>
      <c r="E26">
        <v>875600000000</v>
      </c>
    </row>
    <row r="27" spans="1:5" x14ac:dyDescent="0.25">
      <c r="A27" t="s">
        <v>24</v>
      </c>
      <c r="B27" t="s">
        <v>200</v>
      </c>
      <c r="C27">
        <v>1995</v>
      </c>
      <c r="D27">
        <v>70977000000</v>
      </c>
      <c r="E27">
        <v>883800000000</v>
      </c>
    </row>
    <row r="28" spans="1:5" x14ac:dyDescent="0.25">
      <c r="A28" t="s">
        <v>24</v>
      </c>
      <c r="B28" t="s">
        <v>200</v>
      </c>
      <c r="C28">
        <v>1996</v>
      </c>
      <c r="D28">
        <v>71730000000</v>
      </c>
      <c r="E28">
        <v>884400000000</v>
      </c>
    </row>
    <row r="29" spans="1:5" x14ac:dyDescent="0.25">
      <c r="A29" t="s">
        <v>24</v>
      </c>
      <c r="B29" t="s">
        <v>200</v>
      </c>
      <c r="C29">
        <v>1997</v>
      </c>
      <c r="D29">
        <v>72403000000</v>
      </c>
      <c r="E29">
        <v>885100000000</v>
      </c>
    </row>
    <row r="30" spans="1:5" x14ac:dyDescent="0.25">
      <c r="A30" t="s">
        <v>24</v>
      </c>
      <c r="B30" t="s">
        <v>200</v>
      </c>
      <c r="C30">
        <v>1998</v>
      </c>
      <c r="D30">
        <v>72666000000</v>
      </c>
      <c r="E30">
        <v>895600000000</v>
      </c>
    </row>
    <row r="31" spans="1:5" x14ac:dyDescent="0.25">
      <c r="A31" t="s">
        <v>24</v>
      </c>
      <c r="B31" t="s">
        <v>200</v>
      </c>
      <c r="C31">
        <v>1999</v>
      </c>
      <c r="D31">
        <v>73796000000</v>
      </c>
      <c r="E31">
        <v>916400000000</v>
      </c>
    </row>
    <row r="32" spans="1:5" x14ac:dyDescent="0.25">
      <c r="A32" t="s">
        <v>24</v>
      </c>
      <c r="B32" t="s">
        <v>200</v>
      </c>
      <c r="C32">
        <v>2000</v>
      </c>
      <c r="D32">
        <v>75404000000</v>
      </c>
      <c r="E32">
        <v>900300000000</v>
      </c>
    </row>
    <row r="33" spans="1:5" x14ac:dyDescent="0.25">
      <c r="A33" t="s">
        <v>24</v>
      </c>
      <c r="B33" t="s">
        <v>200</v>
      </c>
      <c r="C33">
        <v>2001</v>
      </c>
      <c r="D33">
        <v>75754000000</v>
      </c>
      <c r="E33">
        <v>921300000000</v>
      </c>
    </row>
    <row r="34" spans="1:5" x14ac:dyDescent="0.25">
      <c r="A34" t="s">
        <v>24</v>
      </c>
      <c r="B34" t="s">
        <v>200</v>
      </c>
      <c r="C34">
        <v>2002</v>
      </c>
      <c r="D34">
        <v>71366000000</v>
      </c>
      <c r="E34">
        <v>930500000000</v>
      </c>
    </row>
    <row r="35" spans="1:5" x14ac:dyDescent="0.25">
      <c r="A35" t="s">
        <v>24</v>
      </c>
      <c r="B35" t="s">
        <v>200</v>
      </c>
      <c r="C35">
        <v>2003</v>
      </c>
      <c r="D35">
        <v>71293000000</v>
      </c>
      <c r="E35">
        <v>925200000000</v>
      </c>
    </row>
    <row r="36" spans="1:5" x14ac:dyDescent="0.25">
      <c r="A36" t="s">
        <v>24</v>
      </c>
      <c r="B36" t="s">
        <v>200</v>
      </c>
      <c r="C36">
        <v>2004</v>
      </c>
      <c r="D36">
        <v>72879000000</v>
      </c>
      <c r="E36">
        <v>951493000000</v>
      </c>
    </row>
    <row r="37" spans="1:5" x14ac:dyDescent="0.25">
      <c r="A37" t="s">
        <v>24</v>
      </c>
      <c r="B37" t="s">
        <v>200</v>
      </c>
      <c r="C37">
        <v>2005</v>
      </c>
      <c r="D37">
        <v>76824000000</v>
      </c>
      <c r="E37">
        <v>939389000000</v>
      </c>
    </row>
    <row r="38" spans="1:5" x14ac:dyDescent="0.25">
      <c r="A38" t="s">
        <v>24</v>
      </c>
      <c r="B38" t="s">
        <v>200</v>
      </c>
      <c r="C38">
        <v>2006</v>
      </c>
      <c r="D38">
        <v>78995000000</v>
      </c>
      <c r="E38">
        <v>945052000000</v>
      </c>
    </row>
    <row r="39" spans="1:5" x14ac:dyDescent="0.25">
      <c r="A39" t="s">
        <v>24</v>
      </c>
      <c r="B39" t="s">
        <v>200</v>
      </c>
      <c r="C39">
        <v>2007</v>
      </c>
      <c r="D39">
        <v>79107000000</v>
      </c>
      <c r="E39">
        <v>947807000000</v>
      </c>
    </row>
    <row r="40" spans="1:5" x14ac:dyDescent="0.25">
      <c r="A40" t="s">
        <v>24</v>
      </c>
      <c r="B40" t="s">
        <v>200</v>
      </c>
      <c r="C40">
        <v>2008</v>
      </c>
      <c r="D40">
        <v>82539000000</v>
      </c>
      <c r="E40">
        <v>950882000000</v>
      </c>
    </row>
    <row r="41" spans="1:5" x14ac:dyDescent="0.25">
      <c r="A41" t="s">
        <v>24</v>
      </c>
      <c r="B41" t="s">
        <v>200</v>
      </c>
      <c r="C41">
        <v>2009</v>
      </c>
      <c r="D41">
        <v>82253000000</v>
      </c>
      <c r="E41">
        <v>959694000000</v>
      </c>
    </row>
    <row r="42" spans="1:5" x14ac:dyDescent="0.25">
      <c r="A42" t="s">
        <v>24</v>
      </c>
      <c r="B42" t="s">
        <v>200</v>
      </c>
      <c r="C42">
        <v>2010</v>
      </c>
      <c r="D42">
        <v>83886000000</v>
      </c>
      <c r="E42">
        <v>962892000000</v>
      </c>
    </row>
    <row r="43" spans="1:5" x14ac:dyDescent="0.25">
      <c r="A43" t="s">
        <v>24</v>
      </c>
      <c r="B43" t="s">
        <v>200</v>
      </c>
      <c r="C43">
        <v>2011</v>
      </c>
      <c r="D43">
        <v>85414000000</v>
      </c>
      <c r="E43">
        <v>972357000000</v>
      </c>
    </row>
    <row r="44" spans="1:5" x14ac:dyDescent="0.25">
      <c r="A44" t="s">
        <v>24</v>
      </c>
      <c r="B44" t="s">
        <v>200</v>
      </c>
      <c r="C44">
        <v>2012</v>
      </c>
      <c r="D44">
        <v>88796000000</v>
      </c>
      <c r="E44">
        <v>972319000000</v>
      </c>
    </row>
    <row r="45" spans="1:5" x14ac:dyDescent="0.25">
      <c r="A45" t="s">
        <v>24</v>
      </c>
      <c r="B45" t="s">
        <v>200</v>
      </c>
      <c r="C45">
        <v>2013</v>
      </c>
      <c r="D45">
        <v>89615000000</v>
      </c>
      <c r="E45">
        <v>980246000000</v>
      </c>
    </row>
    <row r="46" spans="1:5" x14ac:dyDescent="0.25">
      <c r="A46" t="s">
        <v>24</v>
      </c>
      <c r="B46" t="s">
        <v>200</v>
      </c>
      <c r="C46">
        <v>2014</v>
      </c>
      <c r="D46">
        <v>90976000000</v>
      </c>
      <c r="E46">
        <v>995190000000</v>
      </c>
    </row>
    <row r="47" spans="1:5" x14ac:dyDescent="0.25">
      <c r="A47" t="s">
        <v>24</v>
      </c>
      <c r="B47" t="s">
        <v>200</v>
      </c>
      <c r="C47">
        <v>2015</v>
      </c>
      <c r="D47">
        <v>91603000000</v>
      </c>
      <c r="E47">
        <v>1008771000000</v>
      </c>
    </row>
    <row r="48" spans="1:5" x14ac:dyDescent="0.25">
      <c r="A48" t="s">
        <v>24</v>
      </c>
      <c r="B48" t="s">
        <v>200</v>
      </c>
      <c r="C48">
        <v>2016</v>
      </c>
      <c r="D48">
        <v>94197000000</v>
      </c>
      <c r="E48">
        <v>1027755000000</v>
      </c>
    </row>
    <row r="49" spans="1:5" x14ac:dyDescent="0.25">
      <c r="A49" t="s">
        <v>24</v>
      </c>
      <c r="B49" t="s">
        <v>200</v>
      </c>
      <c r="C49">
        <v>2017</v>
      </c>
      <c r="D49">
        <v>95530000000</v>
      </c>
      <c r="E49">
        <v>977430000000</v>
      </c>
    </row>
    <row r="50" spans="1:5" x14ac:dyDescent="0.25">
      <c r="A50" t="s">
        <v>24</v>
      </c>
      <c r="B50" t="s">
        <v>200</v>
      </c>
      <c r="C50">
        <v>2018</v>
      </c>
      <c r="D50">
        <v>98170000000</v>
      </c>
      <c r="E50">
        <v>978702000000</v>
      </c>
    </row>
    <row r="51" spans="1:5" x14ac:dyDescent="0.25">
      <c r="A51" t="s">
        <v>24</v>
      </c>
      <c r="B51" t="s">
        <v>200</v>
      </c>
      <c r="C51">
        <v>2019</v>
      </c>
      <c r="D51">
        <v>102026000000</v>
      </c>
      <c r="E51">
        <v>981452000000</v>
      </c>
    </row>
    <row r="52" spans="1:5" x14ac:dyDescent="0.25">
      <c r="A52" t="s">
        <v>24</v>
      </c>
      <c r="B52" t="s">
        <v>200</v>
      </c>
      <c r="C52">
        <v>2020</v>
      </c>
      <c r="D52">
        <v>58822000000</v>
      </c>
      <c r="E52">
        <v>831141000000</v>
      </c>
    </row>
    <row r="53" spans="1:5" x14ac:dyDescent="0.25">
      <c r="A53" t="s">
        <v>24</v>
      </c>
      <c r="B53" t="s">
        <v>200</v>
      </c>
      <c r="C53">
        <v>2021</v>
      </c>
      <c r="D53">
        <v>57533000000</v>
      </c>
      <c r="E53">
        <v>836625000000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9129-88F9-40A6-ADD6-12627801FBFF}">
  <dimension ref="A1:M43"/>
  <sheetViews>
    <sheetView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D42" sqref="D42"/>
    </sheetView>
  </sheetViews>
  <sheetFormatPr defaultColWidth="11" defaultRowHeight="15.75" customHeight="1" x14ac:dyDescent="0.25"/>
  <cols>
    <col min="2" max="4" width="31.625" customWidth="1"/>
    <col min="5" max="5" width="37.125" customWidth="1"/>
    <col min="6" max="6" width="25.875" customWidth="1"/>
    <col min="7" max="7" width="28.375" customWidth="1"/>
    <col min="8" max="9" width="22.375" customWidth="1"/>
    <col min="10" max="10" width="25" customWidth="1"/>
    <col min="12" max="12" width="12.125" bestFit="1" customWidth="1"/>
  </cols>
  <sheetData>
    <row r="1" spans="1:13" x14ac:dyDescent="0.25">
      <c r="A1" t="s">
        <v>0</v>
      </c>
      <c r="B1" s="2" t="s">
        <v>85</v>
      </c>
      <c r="C1" s="2" t="s">
        <v>85</v>
      </c>
      <c r="D1" s="2" t="s">
        <v>85</v>
      </c>
      <c r="E1" s="2" t="s">
        <v>85</v>
      </c>
      <c r="F1" s="2" t="s">
        <v>85</v>
      </c>
      <c r="G1" s="2" t="s">
        <v>85</v>
      </c>
      <c r="H1" s="2" t="s">
        <v>85</v>
      </c>
      <c r="I1" s="2" t="s">
        <v>85</v>
      </c>
      <c r="J1" s="2" t="s">
        <v>85</v>
      </c>
      <c r="K1" s="2"/>
      <c r="L1" s="6" t="s">
        <v>85</v>
      </c>
      <c r="M1" s="6"/>
    </row>
    <row r="2" spans="1:13" x14ac:dyDescent="0.25">
      <c r="A2" t="s">
        <v>13</v>
      </c>
      <c r="B2" t="s">
        <v>208</v>
      </c>
      <c r="C2" t="s">
        <v>208</v>
      </c>
      <c r="D2" t="s">
        <v>208</v>
      </c>
      <c r="E2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1"/>
      <c r="L2" s="1" t="s">
        <v>2077</v>
      </c>
    </row>
    <row r="3" spans="1:13" x14ac:dyDescent="0.25">
      <c r="A3" t="s">
        <v>22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L3" t="s">
        <v>2078</v>
      </c>
    </row>
    <row r="4" spans="1:13" x14ac:dyDescent="0.25">
      <c r="A4" t="s">
        <v>43</v>
      </c>
      <c r="B4" t="s">
        <v>46</v>
      </c>
      <c r="C4" t="s">
        <v>46</v>
      </c>
      <c r="D4" t="s">
        <v>46</v>
      </c>
      <c r="E4" t="s">
        <v>76</v>
      </c>
      <c r="F4" t="s">
        <v>76</v>
      </c>
      <c r="G4" t="s">
        <v>76</v>
      </c>
      <c r="H4" t="s">
        <v>76</v>
      </c>
      <c r="I4" t="s">
        <v>76</v>
      </c>
      <c r="J4" t="s">
        <v>76</v>
      </c>
      <c r="L4" t="s">
        <v>46</v>
      </c>
    </row>
    <row r="5" spans="1:13" x14ac:dyDescent="0.25">
      <c r="A5" t="s">
        <v>50</v>
      </c>
      <c r="B5" s="5" t="s">
        <v>92</v>
      </c>
      <c r="C5" s="5" t="s">
        <v>92</v>
      </c>
      <c r="D5" s="5"/>
      <c r="E5" s="5" t="s">
        <v>93</v>
      </c>
      <c r="F5" s="5" t="s">
        <v>94</v>
      </c>
      <c r="G5" s="5" t="s">
        <v>95</v>
      </c>
      <c r="H5" s="5" t="s">
        <v>96</v>
      </c>
      <c r="I5" s="5"/>
      <c r="J5" s="5" t="s">
        <v>97</v>
      </c>
      <c r="K5" s="5"/>
      <c r="L5" s="5" t="s">
        <v>92</v>
      </c>
      <c r="M5" s="5"/>
    </row>
    <row r="6" spans="1:13" x14ac:dyDescent="0.25">
      <c r="E6" s="5"/>
      <c r="F6" s="5" t="s">
        <v>98</v>
      </c>
      <c r="G6" s="5"/>
      <c r="H6" s="5"/>
      <c r="I6" s="5"/>
      <c r="J6" s="5"/>
      <c r="K6" s="5"/>
      <c r="L6" s="5"/>
      <c r="M6" s="5"/>
    </row>
    <row r="7" spans="1:13" x14ac:dyDescent="0.25">
      <c r="A7" t="s">
        <v>59</v>
      </c>
      <c r="B7" t="s">
        <v>99</v>
      </c>
      <c r="C7" t="s">
        <v>99</v>
      </c>
      <c r="D7" t="s">
        <v>99</v>
      </c>
      <c r="E7" t="s">
        <v>100</v>
      </c>
      <c r="F7" t="s">
        <v>100</v>
      </c>
      <c r="G7" t="s">
        <v>101</v>
      </c>
      <c r="H7" t="s">
        <v>101</v>
      </c>
      <c r="I7" t="s">
        <v>101</v>
      </c>
      <c r="J7" t="s">
        <v>101</v>
      </c>
      <c r="L7" t="s">
        <v>2079</v>
      </c>
    </row>
    <row r="8" spans="1:13" x14ac:dyDescent="0.25">
      <c r="A8">
        <v>1990</v>
      </c>
      <c r="B8">
        <v>43600000000</v>
      </c>
      <c r="C8" s="19">
        <v>649800000000</v>
      </c>
      <c r="D8">
        <f>SUM(B8:C8)</f>
        <v>693400000000</v>
      </c>
      <c r="E8" s="4"/>
    </row>
    <row r="9" spans="1:13" x14ac:dyDescent="0.25">
      <c r="A9">
        <v>1991</v>
      </c>
      <c r="B9">
        <v>55300000000</v>
      </c>
      <c r="C9" s="20">
        <v>770200000000</v>
      </c>
      <c r="D9">
        <f t="shared" ref="D9:D39" si="0">SUM(B9:C9)</f>
        <v>825500000000</v>
      </c>
      <c r="E9" s="4"/>
    </row>
    <row r="10" spans="1:13" x14ac:dyDescent="0.25">
      <c r="A10">
        <v>1992</v>
      </c>
      <c r="B10">
        <v>56300000000</v>
      </c>
      <c r="C10" s="19">
        <v>789000000000</v>
      </c>
      <c r="D10">
        <f t="shared" si="0"/>
        <v>845300000000</v>
      </c>
      <c r="E10" s="4"/>
    </row>
    <row r="11" spans="1:13" x14ac:dyDescent="0.25">
      <c r="A11">
        <v>1993</v>
      </c>
      <c r="B11">
        <v>63361000000</v>
      </c>
      <c r="C11" s="20">
        <v>799700000000</v>
      </c>
      <c r="D11">
        <f t="shared" si="0"/>
        <v>863061000000</v>
      </c>
      <c r="E11" s="4"/>
    </row>
    <row r="12" spans="1:13" x14ac:dyDescent="0.25">
      <c r="A12">
        <v>1994</v>
      </c>
      <c r="B12">
        <v>65169000000</v>
      </c>
      <c r="C12" s="19">
        <v>875600000000</v>
      </c>
      <c r="D12">
        <f t="shared" si="0"/>
        <v>940769000000</v>
      </c>
      <c r="E12" s="4"/>
    </row>
    <row r="13" spans="1:13" x14ac:dyDescent="0.25">
      <c r="A13">
        <v>1995</v>
      </c>
      <c r="B13">
        <v>70977000000</v>
      </c>
      <c r="C13" s="20">
        <v>883800000000</v>
      </c>
      <c r="D13">
        <f t="shared" si="0"/>
        <v>954777000000</v>
      </c>
      <c r="E13" s="22"/>
    </row>
    <row r="14" spans="1:13" x14ac:dyDescent="0.25">
      <c r="A14">
        <v>1996</v>
      </c>
      <c r="B14">
        <v>71730000000</v>
      </c>
      <c r="C14" s="19">
        <v>884400000000</v>
      </c>
      <c r="D14">
        <f t="shared" si="0"/>
        <v>956130000000</v>
      </c>
      <c r="E14" s="22"/>
    </row>
    <row r="15" spans="1:13" x14ac:dyDescent="0.25">
      <c r="A15">
        <v>1997</v>
      </c>
      <c r="B15">
        <v>72403000000</v>
      </c>
      <c r="C15" s="20">
        <v>885100000000</v>
      </c>
      <c r="D15">
        <f t="shared" si="0"/>
        <v>957503000000</v>
      </c>
      <c r="E15" s="22"/>
    </row>
    <row r="16" spans="1:13" x14ac:dyDescent="0.25">
      <c r="A16">
        <v>1998</v>
      </c>
      <c r="B16">
        <v>72666000000</v>
      </c>
      <c r="C16" s="19">
        <v>895600000000</v>
      </c>
      <c r="D16">
        <f t="shared" si="0"/>
        <v>968266000000</v>
      </c>
      <c r="E16" s="22"/>
    </row>
    <row r="17" spans="1:10" x14ac:dyDescent="0.25">
      <c r="A17">
        <v>1999</v>
      </c>
      <c r="B17">
        <v>73796000000</v>
      </c>
      <c r="C17" s="20">
        <v>916400000000</v>
      </c>
      <c r="D17">
        <f t="shared" si="0"/>
        <v>990196000000</v>
      </c>
      <c r="E17" s="22"/>
    </row>
    <row r="18" spans="1:10" x14ac:dyDescent="0.25">
      <c r="A18">
        <v>2000</v>
      </c>
      <c r="B18">
        <v>75404000000</v>
      </c>
      <c r="C18" s="19">
        <v>900300000000</v>
      </c>
      <c r="D18">
        <f t="shared" si="0"/>
        <v>975704000000</v>
      </c>
      <c r="E18" s="11">
        <v>900300</v>
      </c>
    </row>
    <row r="19" spans="1:10" x14ac:dyDescent="0.25">
      <c r="A19">
        <v>2001</v>
      </c>
      <c r="B19">
        <v>75754000000</v>
      </c>
      <c r="C19" s="20">
        <v>921300000000</v>
      </c>
      <c r="D19">
        <f t="shared" si="0"/>
        <v>997054000000</v>
      </c>
      <c r="E19" s="11">
        <v>921300</v>
      </c>
    </row>
    <row r="20" spans="1:10" x14ac:dyDescent="0.25">
      <c r="A20">
        <v>2002</v>
      </c>
      <c r="B20">
        <v>71366000000</v>
      </c>
      <c r="C20" s="19">
        <v>930500000000</v>
      </c>
      <c r="D20">
        <f t="shared" si="0"/>
        <v>1001866000000</v>
      </c>
      <c r="E20" s="11">
        <v>930500</v>
      </c>
    </row>
    <row r="21" spans="1:10" x14ac:dyDescent="0.25">
      <c r="A21">
        <v>2003</v>
      </c>
      <c r="B21">
        <v>71293000000</v>
      </c>
      <c r="C21" s="20">
        <v>925200000000</v>
      </c>
      <c r="D21">
        <f t="shared" si="0"/>
        <v>996493000000</v>
      </c>
      <c r="E21" s="11">
        <v>925200</v>
      </c>
    </row>
    <row r="22" spans="1:10" x14ac:dyDescent="0.25">
      <c r="A22">
        <v>2004</v>
      </c>
      <c r="B22">
        <v>72879000000</v>
      </c>
      <c r="C22" s="19">
        <v>951493000000</v>
      </c>
      <c r="D22">
        <f t="shared" si="0"/>
        <v>1024372000000</v>
      </c>
      <c r="E22" s="11">
        <v>951493</v>
      </c>
    </row>
    <row r="23" spans="1:10" x14ac:dyDescent="0.25">
      <c r="A23">
        <v>2005</v>
      </c>
      <c r="B23">
        <v>76824000000</v>
      </c>
      <c r="C23" s="20">
        <v>939389000000</v>
      </c>
      <c r="D23">
        <f t="shared" si="0"/>
        <v>1016213000000</v>
      </c>
      <c r="E23" s="11">
        <v>939389</v>
      </c>
    </row>
    <row r="24" spans="1:10" x14ac:dyDescent="0.25">
      <c r="A24">
        <v>2006</v>
      </c>
      <c r="B24">
        <v>78995000000</v>
      </c>
      <c r="C24" s="19">
        <v>945052000000</v>
      </c>
      <c r="D24">
        <f t="shared" si="0"/>
        <v>1024047000000</v>
      </c>
      <c r="E24" s="11">
        <v>945052</v>
      </c>
    </row>
    <row r="25" spans="1:10" x14ac:dyDescent="0.25">
      <c r="A25">
        <v>2007</v>
      </c>
      <c r="B25">
        <v>79107000000</v>
      </c>
      <c r="C25" s="20">
        <v>947807000000</v>
      </c>
      <c r="D25">
        <f t="shared" si="0"/>
        <v>1026914000000</v>
      </c>
      <c r="E25" s="11">
        <v>947807</v>
      </c>
      <c r="F25" s="9">
        <v>79107</v>
      </c>
    </row>
    <row r="26" spans="1:10" x14ac:dyDescent="0.25">
      <c r="A26">
        <v>2008</v>
      </c>
      <c r="B26">
        <v>82539000000</v>
      </c>
      <c r="C26" s="19">
        <v>950882000000</v>
      </c>
      <c r="D26">
        <f t="shared" si="0"/>
        <v>1033421000000</v>
      </c>
      <c r="E26" s="11">
        <v>950882</v>
      </c>
      <c r="F26" s="9">
        <v>82539</v>
      </c>
    </row>
    <row r="27" spans="1:10" x14ac:dyDescent="0.25">
      <c r="A27">
        <v>2009</v>
      </c>
      <c r="B27">
        <v>82253000000</v>
      </c>
      <c r="C27" s="20">
        <v>959694000000</v>
      </c>
      <c r="D27">
        <f t="shared" si="0"/>
        <v>1041947000000</v>
      </c>
      <c r="E27" s="11">
        <v>959694</v>
      </c>
      <c r="F27" s="9">
        <v>82253</v>
      </c>
    </row>
    <row r="28" spans="1:10" x14ac:dyDescent="0.25">
      <c r="A28">
        <v>2010</v>
      </c>
      <c r="B28">
        <v>83886000000</v>
      </c>
      <c r="C28" s="19">
        <v>962892000000</v>
      </c>
      <c r="D28">
        <f t="shared" si="0"/>
        <v>1046778000000</v>
      </c>
      <c r="E28" s="9">
        <v>962892</v>
      </c>
      <c r="F28" s="9">
        <v>83886</v>
      </c>
      <c r="G28">
        <v>599</v>
      </c>
      <c r="H28">
        <v>3.3</v>
      </c>
      <c r="I28">
        <v>4.7</v>
      </c>
      <c r="J28">
        <v>11.6</v>
      </c>
    </row>
    <row r="29" spans="1:10" x14ac:dyDescent="0.25">
      <c r="A29">
        <v>2011</v>
      </c>
      <c r="B29">
        <v>85414000000</v>
      </c>
      <c r="C29" s="20">
        <v>972357000000</v>
      </c>
      <c r="D29">
        <f t="shared" si="0"/>
        <v>1057771000000</v>
      </c>
      <c r="E29" s="9">
        <v>972357</v>
      </c>
      <c r="F29" s="9">
        <v>85414</v>
      </c>
      <c r="G29">
        <v>608.79999999999995</v>
      </c>
      <c r="H29">
        <v>3.3</v>
      </c>
      <c r="I29">
        <v>4.8</v>
      </c>
      <c r="J29">
        <v>11.9</v>
      </c>
    </row>
    <row r="30" spans="1:10" x14ac:dyDescent="0.25">
      <c r="A30">
        <v>2012</v>
      </c>
      <c r="B30">
        <v>88796000000</v>
      </c>
      <c r="C30" s="19">
        <v>972319000000</v>
      </c>
      <c r="D30">
        <f t="shared" si="0"/>
        <v>1061115000000</v>
      </c>
      <c r="E30" s="9">
        <v>972319</v>
      </c>
      <c r="F30" s="9">
        <v>88796</v>
      </c>
      <c r="G30">
        <v>610.1</v>
      </c>
      <c r="H30">
        <v>3.3</v>
      </c>
      <c r="I30">
        <v>4.8</v>
      </c>
      <c r="J30">
        <v>12.1</v>
      </c>
    </row>
    <row r="31" spans="1:10" x14ac:dyDescent="0.25">
      <c r="A31">
        <v>2013</v>
      </c>
      <c r="B31">
        <v>89615000000</v>
      </c>
      <c r="C31" s="20">
        <v>980246000000</v>
      </c>
      <c r="D31">
        <f t="shared" si="0"/>
        <v>1069861000000</v>
      </c>
      <c r="E31" s="9">
        <v>980246</v>
      </c>
      <c r="F31" s="9">
        <v>89615</v>
      </c>
      <c r="G31">
        <v>615.1</v>
      </c>
      <c r="H31">
        <v>3.3</v>
      </c>
      <c r="I31">
        <v>4.7</v>
      </c>
      <c r="J31">
        <v>12.3</v>
      </c>
    </row>
    <row r="32" spans="1:10" x14ac:dyDescent="0.25">
      <c r="A32">
        <v>2014</v>
      </c>
      <c r="B32">
        <v>90976000000</v>
      </c>
      <c r="C32" s="19">
        <v>995190000000</v>
      </c>
      <c r="D32">
        <f t="shared" si="0"/>
        <v>1086166000000</v>
      </c>
      <c r="E32" s="9">
        <v>995190</v>
      </c>
      <c r="F32" s="9">
        <v>90976</v>
      </c>
      <c r="G32">
        <v>627.20000000000005</v>
      </c>
      <c r="H32">
        <v>3.3</v>
      </c>
      <c r="I32">
        <v>4.7</v>
      </c>
      <c r="J32">
        <v>12.6</v>
      </c>
    </row>
    <row r="33" spans="1:10" x14ac:dyDescent="0.25">
      <c r="A33">
        <v>2015</v>
      </c>
      <c r="B33">
        <v>91603000000</v>
      </c>
      <c r="C33" s="20">
        <v>1008771000000</v>
      </c>
      <c r="D33">
        <f t="shared" si="0"/>
        <v>1100374000000</v>
      </c>
      <c r="E33" s="9">
        <v>1008771</v>
      </c>
      <c r="F33" s="9">
        <v>91603</v>
      </c>
      <c r="G33">
        <v>635.79999999999995</v>
      </c>
      <c r="H33">
        <v>3.4</v>
      </c>
      <c r="I33">
        <v>4.5999999999999996</v>
      </c>
      <c r="J33">
        <v>12.9</v>
      </c>
    </row>
    <row r="34" spans="1:10" x14ac:dyDescent="0.25">
      <c r="A34">
        <v>2016</v>
      </c>
      <c r="B34">
        <v>94197000000</v>
      </c>
      <c r="C34" s="19">
        <v>1027755000000</v>
      </c>
      <c r="D34">
        <f t="shared" si="0"/>
        <v>1121952000000</v>
      </c>
      <c r="E34" s="9">
        <v>1027755</v>
      </c>
      <c r="F34" s="9">
        <v>94197</v>
      </c>
      <c r="G34">
        <v>649.6</v>
      </c>
      <c r="H34">
        <v>3.5</v>
      </c>
      <c r="I34">
        <v>4.5999999999999996</v>
      </c>
      <c r="J34">
        <v>13.1</v>
      </c>
    </row>
    <row r="35" spans="1:10" x14ac:dyDescent="0.25">
      <c r="A35">
        <v>2017</v>
      </c>
      <c r="B35">
        <v>95530000000</v>
      </c>
      <c r="C35" s="20">
        <v>977430000000</v>
      </c>
      <c r="D35">
        <f t="shared" si="0"/>
        <v>1072960000000</v>
      </c>
      <c r="E35" s="9">
        <v>977430</v>
      </c>
      <c r="F35" s="9">
        <v>95530</v>
      </c>
      <c r="G35">
        <v>642.4</v>
      </c>
      <c r="H35">
        <v>4.5999999999999996</v>
      </c>
      <c r="I35">
        <v>4</v>
      </c>
      <c r="J35">
        <v>9.8000000000000007</v>
      </c>
    </row>
    <row r="36" spans="1:10" x14ac:dyDescent="0.25">
      <c r="A36">
        <v>2018</v>
      </c>
      <c r="B36">
        <v>98170000000</v>
      </c>
      <c r="C36" s="19">
        <v>978702000000</v>
      </c>
      <c r="D36">
        <f t="shared" si="0"/>
        <v>1076872000000</v>
      </c>
      <c r="E36" s="9">
        <v>978702</v>
      </c>
      <c r="F36" s="9">
        <v>98170</v>
      </c>
      <c r="G36">
        <v>642.4</v>
      </c>
      <c r="H36">
        <v>4.5999999999999996</v>
      </c>
      <c r="I36">
        <v>3.9</v>
      </c>
      <c r="J36">
        <v>9.8000000000000007</v>
      </c>
    </row>
    <row r="37" spans="1:10" x14ac:dyDescent="0.25">
      <c r="A37">
        <v>2019</v>
      </c>
      <c r="B37">
        <v>102026000000</v>
      </c>
      <c r="C37" s="20">
        <v>981452000000</v>
      </c>
      <c r="D37">
        <f t="shared" si="0"/>
        <v>1083478000000</v>
      </c>
      <c r="E37" s="9">
        <v>981452</v>
      </c>
      <c r="F37" s="9">
        <v>102026</v>
      </c>
      <c r="G37">
        <v>644.79999999999995</v>
      </c>
      <c r="H37">
        <v>4.5999999999999996</v>
      </c>
      <c r="I37">
        <v>3.9</v>
      </c>
      <c r="J37">
        <v>9.9</v>
      </c>
    </row>
    <row r="38" spans="1:10" x14ac:dyDescent="0.25">
      <c r="A38">
        <v>2020</v>
      </c>
      <c r="B38">
        <v>58822000000</v>
      </c>
      <c r="C38" s="19">
        <v>831141000000</v>
      </c>
      <c r="D38">
        <f t="shared" si="0"/>
        <v>889963000000</v>
      </c>
      <c r="E38" s="9">
        <v>831141</v>
      </c>
      <c r="F38" s="9">
        <v>58822</v>
      </c>
      <c r="G38">
        <v>578.1</v>
      </c>
      <c r="H38">
        <v>2.9</v>
      </c>
      <c r="I38">
        <v>3.4</v>
      </c>
      <c r="J38">
        <v>9</v>
      </c>
    </row>
    <row r="39" spans="1:10" ht="16.5" x14ac:dyDescent="0.3">
      <c r="A39">
        <v>2021</v>
      </c>
      <c r="B39">
        <v>57533000000</v>
      </c>
      <c r="C39" s="20">
        <v>836625000000</v>
      </c>
      <c r="D39">
        <f t="shared" si="0"/>
        <v>894158000000</v>
      </c>
      <c r="E39" s="9">
        <v>836625</v>
      </c>
      <c r="F39" s="12">
        <v>57533</v>
      </c>
      <c r="G39">
        <v>582.4</v>
      </c>
      <c r="H39">
        <v>2.9</v>
      </c>
      <c r="I39">
        <v>3.4</v>
      </c>
      <c r="J39">
        <v>8.8000000000000007</v>
      </c>
    </row>
    <row r="40" spans="1:10" x14ac:dyDescent="0.25">
      <c r="A40">
        <v>2022</v>
      </c>
      <c r="E40" s="9">
        <v>909640</v>
      </c>
      <c r="F40" s="10">
        <v>94286</v>
      </c>
      <c r="I40">
        <v>3.6</v>
      </c>
      <c r="J40">
        <v>9.5</v>
      </c>
    </row>
    <row r="41" spans="1:10" x14ac:dyDescent="0.25">
      <c r="A41">
        <v>2023</v>
      </c>
      <c r="E41" s="4"/>
      <c r="F41" s="10">
        <v>101408</v>
      </c>
    </row>
    <row r="42" spans="1:10" x14ac:dyDescent="0.25">
      <c r="A42">
        <v>2024</v>
      </c>
      <c r="E42" s="4"/>
      <c r="F42" s="10">
        <v>105704</v>
      </c>
    </row>
    <row r="43" spans="1:10" x14ac:dyDescent="0.25">
      <c r="E43" s="4"/>
    </row>
  </sheetData>
  <hyperlinks>
    <hyperlink ref="F5" r:id="rId1" xr:uid="{852F2DE8-05BC-433D-91EA-E471DC080ED3}"/>
    <hyperlink ref="G5" r:id="rId2" xr:uid="{E978E76C-ABFA-48E3-855E-CCEF53C1AF0E}"/>
    <hyperlink ref="H5" r:id="rId3" xr:uid="{73896996-EBDA-44CF-817F-0296668F11C8}"/>
    <hyperlink ref="J5" r:id="rId4" xr:uid="{690073A7-3A8D-4893-B797-E01B2389F80D}"/>
    <hyperlink ref="E5" r:id="rId5" xr:uid="{EB2D8C44-F684-4CFE-9F47-73EF0D9FACE4}"/>
    <hyperlink ref="F6" r:id="rId6" xr:uid="{268BA55B-8B6C-40CB-AE41-49FB97A271A0}"/>
    <hyperlink ref="B5" r:id="rId7" xr:uid="{B1C8E460-EEFE-4673-AB7F-F7E033810847}"/>
    <hyperlink ref="C5" r:id="rId8" xr:uid="{0CF6E3E9-4D8D-314A-A532-A5720761BFB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A1A0-9265-4F5B-970B-39880BD353CC}">
  <dimension ref="A1:H18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defaultColWidth="11" defaultRowHeight="15.75" customHeight="1" x14ac:dyDescent="0.25"/>
  <cols>
    <col min="2" max="2" width="34.375" customWidth="1"/>
    <col min="3" max="3" width="23" customWidth="1"/>
    <col min="4" max="4" width="22.375" customWidth="1"/>
    <col min="5" max="5" width="23.125" customWidth="1"/>
  </cols>
  <sheetData>
    <row r="1" spans="1:8" ht="15.75" customHeight="1" x14ac:dyDescent="0.25">
      <c r="A1" t="s">
        <v>0</v>
      </c>
      <c r="B1" s="2" t="s">
        <v>12</v>
      </c>
      <c r="C1" s="2" t="s">
        <v>12</v>
      </c>
      <c r="D1" s="2"/>
      <c r="E1" s="2" t="s">
        <v>12</v>
      </c>
      <c r="F1" s="6"/>
      <c r="G1" s="6"/>
      <c r="H1" s="6"/>
    </row>
    <row r="2" spans="1:8" ht="15.75" customHeight="1" x14ac:dyDescent="0.25">
      <c r="A2" t="s">
        <v>13</v>
      </c>
      <c r="B2" s="1" t="s">
        <v>102</v>
      </c>
      <c r="C2" s="1"/>
      <c r="D2" s="1"/>
      <c r="E2" s="1" t="s">
        <v>103</v>
      </c>
    </row>
    <row r="3" spans="1:8" ht="15.75" customHeight="1" x14ac:dyDescent="0.25">
      <c r="A3" t="s">
        <v>22</v>
      </c>
      <c r="B3" t="s">
        <v>32</v>
      </c>
      <c r="C3" t="s">
        <v>32</v>
      </c>
      <c r="E3" t="s">
        <v>104</v>
      </c>
    </row>
    <row r="4" spans="1:8" ht="15.75" customHeight="1" x14ac:dyDescent="0.25">
      <c r="A4" t="s">
        <v>43</v>
      </c>
      <c r="B4" t="s">
        <v>105</v>
      </c>
      <c r="C4" t="s">
        <v>106</v>
      </c>
    </row>
    <row r="5" spans="1:8" ht="15.75" customHeight="1" x14ac:dyDescent="0.25">
      <c r="A5" t="s">
        <v>50</v>
      </c>
      <c r="B5" s="5" t="s">
        <v>107</v>
      </c>
      <c r="C5" s="5" t="s">
        <v>108</v>
      </c>
      <c r="D5" s="5"/>
      <c r="E5" s="5"/>
      <c r="F5" s="5"/>
      <c r="G5" s="5"/>
      <c r="H5" s="5"/>
    </row>
    <row r="6" spans="1:8" ht="15.75" customHeight="1" x14ac:dyDescent="0.25">
      <c r="A6" t="s">
        <v>59</v>
      </c>
    </row>
    <row r="7" spans="1:8" ht="15.75" customHeight="1" x14ac:dyDescent="0.25">
      <c r="C7" s="9"/>
    </row>
    <row r="8" spans="1:8" ht="15.75" customHeight="1" x14ac:dyDescent="0.25">
      <c r="A8">
        <v>2015</v>
      </c>
      <c r="C8" s="4"/>
    </row>
    <row r="9" spans="1:8" ht="15.75" customHeight="1" x14ac:dyDescent="0.25">
      <c r="A9">
        <v>2016</v>
      </c>
      <c r="C9" s="4"/>
    </row>
    <row r="10" spans="1:8" ht="15.75" customHeight="1" x14ac:dyDescent="0.25">
      <c r="A10">
        <v>2017</v>
      </c>
      <c r="C10" s="4"/>
    </row>
    <row r="11" spans="1:8" ht="15.75" customHeight="1" x14ac:dyDescent="0.25">
      <c r="A11">
        <v>2018</v>
      </c>
      <c r="C11" s="4"/>
    </row>
    <row r="12" spans="1:8" ht="15.75" customHeight="1" x14ac:dyDescent="0.25">
      <c r="A12">
        <v>2019</v>
      </c>
      <c r="C12" s="4"/>
    </row>
    <row r="13" spans="1:8" ht="15.75" customHeight="1" x14ac:dyDescent="0.25">
      <c r="A13">
        <v>2020</v>
      </c>
      <c r="B13" s="9">
        <v>25000</v>
      </c>
      <c r="C13" s="4"/>
    </row>
    <row r="14" spans="1:8" ht="15.75" customHeight="1" x14ac:dyDescent="0.25">
      <c r="A14">
        <v>2021</v>
      </c>
      <c r="C14" s="4"/>
    </row>
    <row r="15" spans="1:8" ht="15.75" customHeight="1" x14ac:dyDescent="0.25">
      <c r="A15">
        <v>2022</v>
      </c>
      <c r="C15" s="4"/>
    </row>
    <row r="16" spans="1:8" ht="15.75" customHeight="1" x14ac:dyDescent="0.25">
      <c r="A16">
        <v>2023</v>
      </c>
      <c r="B16" s="9">
        <v>38000</v>
      </c>
      <c r="C16" s="4"/>
    </row>
    <row r="17" spans="1:3" ht="15.75" customHeight="1" x14ac:dyDescent="0.25">
      <c r="A17">
        <v>2024</v>
      </c>
      <c r="B17" s="11">
        <v>47400</v>
      </c>
    </row>
    <row r="18" spans="1:3" ht="15.75" customHeight="1" x14ac:dyDescent="0.25">
      <c r="C18" s="4"/>
    </row>
  </sheetData>
  <hyperlinks>
    <hyperlink ref="C5" r:id="rId1" xr:uid="{2BC6E7C0-597B-43E2-8EA4-F40ABF75E480}"/>
    <hyperlink ref="B5" r:id="rId2" location=":~:text=Passive%20House%20retrofits%20are%20an,retrofits%20are%20still%20so%20rare" xr:uid="{9613210F-0421-4C4D-AB38-5E643837F63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E7D8-C2D1-FD4D-912B-F91DF253D286}">
  <dimension ref="A1:G309"/>
  <sheetViews>
    <sheetView topLeftCell="A255" workbookViewId="0">
      <selection activeCell="J12" sqref="J12"/>
    </sheetView>
  </sheetViews>
  <sheetFormatPr defaultColWidth="11" defaultRowHeight="15.75" x14ac:dyDescent="0.25"/>
  <cols>
    <col min="1" max="1" width="13.625" bestFit="1" customWidth="1"/>
    <col min="2" max="2" width="10.5" bestFit="1" customWidth="1"/>
    <col min="3" max="3" width="7.375" bestFit="1" customWidth="1"/>
    <col min="4" max="4" width="22.125" bestFit="1" customWidth="1"/>
  </cols>
  <sheetData>
    <row r="1" spans="1:7" x14ac:dyDescent="0.25">
      <c r="A1" t="s">
        <v>67</v>
      </c>
      <c r="B1" t="s">
        <v>68</v>
      </c>
      <c r="C1" t="s">
        <v>69</v>
      </c>
      <c r="D1" t="s">
        <v>70</v>
      </c>
      <c r="E1" t="s">
        <v>109</v>
      </c>
      <c r="G1" t="s">
        <v>110</v>
      </c>
    </row>
    <row r="2" spans="1:7" x14ac:dyDescent="0.25">
      <c r="A2" t="s">
        <v>111</v>
      </c>
      <c r="B2" t="s">
        <v>112</v>
      </c>
      <c r="C2">
        <v>1909</v>
      </c>
      <c r="D2">
        <v>44417852</v>
      </c>
    </row>
    <row r="3" spans="1:7" x14ac:dyDescent="0.25">
      <c r="A3" t="s">
        <v>111</v>
      </c>
      <c r="B3" t="s">
        <v>112</v>
      </c>
      <c r="C3">
        <v>1910</v>
      </c>
      <c r="D3">
        <v>44723743</v>
      </c>
    </row>
    <row r="4" spans="1:7" x14ac:dyDescent="0.25">
      <c r="A4" t="s">
        <v>111</v>
      </c>
      <c r="B4" t="s">
        <v>112</v>
      </c>
      <c r="C4">
        <v>1911</v>
      </c>
      <c r="D4">
        <v>44990527</v>
      </c>
    </row>
    <row r="5" spans="1:7" x14ac:dyDescent="0.25">
      <c r="A5" t="s">
        <v>111</v>
      </c>
      <c r="B5" t="s">
        <v>112</v>
      </c>
      <c r="C5">
        <v>1912</v>
      </c>
      <c r="D5">
        <v>45217688</v>
      </c>
    </row>
    <row r="6" spans="1:7" x14ac:dyDescent="0.25">
      <c r="A6" t="s">
        <v>111</v>
      </c>
      <c r="B6" t="s">
        <v>112</v>
      </c>
      <c r="C6">
        <v>1913</v>
      </c>
      <c r="D6">
        <v>45404707</v>
      </c>
    </row>
    <row r="7" spans="1:7" x14ac:dyDescent="0.25">
      <c r="A7" t="s">
        <v>111</v>
      </c>
      <c r="B7" t="s">
        <v>112</v>
      </c>
      <c r="C7">
        <v>1914</v>
      </c>
      <c r="D7">
        <v>45592500</v>
      </c>
    </row>
    <row r="8" spans="1:7" x14ac:dyDescent="0.25">
      <c r="A8" t="s">
        <v>111</v>
      </c>
      <c r="B8" t="s">
        <v>112</v>
      </c>
      <c r="C8">
        <v>1915</v>
      </c>
      <c r="D8">
        <v>45781070</v>
      </c>
    </row>
    <row r="9" spans="1:7" x14ac:dyDescent="0.25">
      <c r="A9" t="s">
        <v>111</v>
      </c>
      <c r="B9" t="s">
        <v>112</v>
      </c>
      <c r="C9">
        <v>1916</v>
      </c>
      <c r="D9">
        <v>45970420</v>
      </c>
    </row>
    <row r="10" spans="1:7" x14ac:dyDescent="0.25">
      <c r="A10" t="s">
        <v>111</v>
      </c>
      <c r="B10" t="s">
        <v>112</v>
      </c>
      <c r="C10">
        <v>1917</v>
      </c>
      <c r="D10">
        <v>46160552</v>
      </c>
    </row>
    <row r="11" spans="1:7" x14ac:dyDescent="0.25">
      <c r="A11" t="s">
        <v>111</v>
      </c>
      <c r="B11" t="s">
        <v>112</v>
      </c>
      <c r="C11">
        <v>1918</v>
      </c>
      <c r="D11">
        <v>46352692</v>
      </c>
    </row>
    <row r="12" spans="1:7" x14ac:dyDescent="0.25">
      <c r="A12" t="s">
        <v>111</v>
      </c>
      <c r="B12" t="s">
        <v>112</v>
      </c>
      <c r="C12">
        <v>1919</v>
      </c>
      <c r="D12">
        <v>46487478</v>
      </c>
    </row>
    <row r="13" spans="1:7" x14ac:dyDescent="0.25">
      <c r="A13" t="s">
        <v>111</v>
      </c>
      <c r="B13" t="s">
        <v>112</v>
      </c>
      <c r="C13">
        <v>1920</v>
      </c>
      <c r="D13">
        <v>46564792</v>
      </c>
    </row>
    <row r="14" spans="1:7" x14ac:dyDescent="0.25">
      <c r="A14" t="s">
        <v>111</v>
      </c>
      <c r="B14" t="s">
        <v>112</v>
      </c>
      <c r="C14">
        <v>1921</v>
      </c>
      <c r="D14">
        <v>46584515</v>
      </c>
    </row>
    <row r="15" spans="1:7" x14ac:dyDescent="0.25">
      <c r="A15" t="s">
        <v>111</v>
      </c>
      <c r="B15" t="s">
        <v>112</v>
      </c>
      <c r="C15">
        <v>1922</v>
      </c>
      <c r="D15">
        <v>46546526</v>
      </c>
    </row>
    <row r="16" spans="1:7" x14ac:dyDescent="0.25">
      <c r="A16" t="s">
        <v>111</v>
      </c>
      <c r="B16" t="s">
        <v>112</v>
      </c>
      <c r="C16">
        <v>1923</v>
      </c>
      <c r="D16">
        <v>46450703</v>
      </c>
    </row>
    <row r="17" spans="1:4" x14ac:dyDescent="0.25">
      <c r="A17" t="s">
        <v>111</v>
      </c>
      <c r="B17" t="s">
        <v>112</v>
      </c>
      <c r="C17">
        <v>1924</v>
      </c>
      <c r="D17">
        <v>46355077</v>
      </c>
    </row>
    <row r="18" spans="1:4" x14ac:dyDescent="0.25">
      <c r="A18" t="s">
        <v>111</v>
      </c>
      <c r="B18" t="s">
        <v>112</v>
      </c>
      <c r="C18">
        <v>1925</v>
      </c>
      <c r="D18">
        <v>46259648</v>
      </c>
    </row>
    <row r="19" spans="1:4" x14ac:dyDescent="0.25">
      <c r="A19" t="s">
        <v>111</v>
      </c>
      <c r="B19" t="s">
        <v>112</v>
      </c>
      <c r="C19">
        <v>1926</v>
      </c>
      <c r="D19">
        <v>46164416</v>
      </c>
    </row>
    <row r="20" spans="1:4" x14ac:dyDescent="0.25">
      <c r="A20" t="s">
        <v>111</v>
      </c>
      <c r="B20" t="s">
        <v>112</v>
      </c>
      <c r="C20">
        <v>1927</v>
      </c>
      <c r="D20">
        <v>46069379</v>
      </c>
    </row>
    <row r="21" spans="1:4" x14ac:dyDescent="0.25">
      <c r="A21" t="s">
        <v>111</v>
      </c>
      <c r="B21" t="s">
        <v>112</v>
      </c>
      <c r="C21">
        <v>1928</v>
      </c>
      <c r="D21">
        <v>45974538</v>
      </c>
    </row>
    <row r="22" spans="1:4" x14ac:dyDescent="0.25">
      <c r="A22" t="s">
        <v>111</v>
      </c>
      <c r="B22" t="s">
        <v>112</v>
      </c>
      <c r="C22">
        <v>1929</v>
      </c>
      <c r="D22">
        <v>45944804</v>
      </c>
    </row>
    <row r="23" spans="1:4" x14ac:dyDescent="0.25">
      <c r="A23" t="s">
        <v>111</v>
      </c>
      <c r="B23" t="s">
        <v>112</v>
      </c>
      <c r="C23">
        <v>1930</v>
      </c>
      <c r="D23">
        <v>45980369</v>
      </c>
    </row>
    <row r="24" spans="1:4" x14ac:dyDescent="0.25">
      <c r="A24" t="s">
        <v>111</v>
      </c>
      <c r="B24" t="s">
        <v>112</v>
      </c>
      <c r="C24">
        <v>1931</v>
      </c>
      <c r="D24">
        <v>46081427</v>
      </c>
    </row>
    <row r="25" spans="1:4" x14ac:dyDescent="0.25">
      <c r="A25" t="s">
        <v>111</v>
      </c>
      <c r="B25" t="s">
        <v>112</v>
      </c>
      <c r="C25">
        <v>1932</v>
      </c>
      <c r="D25">
        <v>46248173</v>
      </c>
    </row>
    <row r="26" spans="1:4" x14ac:dyDescent="0.25">
      <c r="A26" t="s">
        <v>111</v>
      </c>
      <c r="B26" t="s">
        <v>112</v>
      </c>
      <c r="C26">
        <v>1933</v>
      </c>
      <c r="D26">
        <v>46480802</v>
      </c>
    </row>
    <row r="27" spans="1:4" x14ac:dyDescent="0.25">
      <c r="A27" t="s">
        <v>111</v>
      </c>
      <c r="B27" t="s">
        <v>112</v>
      </c>
      <c r="C27">
        <v>1934</v>
      </c>
      <c r="D27">
        <v>46714602</v>
      </c>
    </row>
    <row r="28" spans="1:4" x14ac:dyDescent="0.25">
      <c r="A28" t="s">
        <v>111</v>
      </c>
      <c r="B28" t="s">
        <v>112</v>
      </c>
      <c r="C28">
        <v>1935</v>
      </c>
      <c r="D28">
        <v>46949578</v>
      </c>
    </row>
    <row r="29" spans="1:4" x14ac:dyDescent="0.25">
      <c r="A29" t="s">
        <v>111</v>
      </c>
      <c r="B29" t="s">
        <v>112</v>
      </c>
      <c r="C29">
        <v>1936</v>
      </c>
      <c r="D29">
        <v>47185735</v>
      </c>
    </row>
    <row r="30" spans="1:4" x14ac:dyDescent="0.25">
      <c r="A30" t="s">
        <v>111</v>
      </c>
      <c r="B30" t="s">
        <v>112</v>
      </c>
      <c r="C30">
        <v>1937</v>
      </c>
      <c r="D30">
        <v>47423081</v>
      </c>
    </row>
    <row r="31" spans="1:4" x14ac:dyDescent="0.25">
      <c r="A31" t="s">
        <v>111</v>
      </c>
      <c r="B31" t="s">
        <v>112</v>
      </c>
      <c r="C31">
        <v>1938</v>
      </c>
      <c r="D31">
        <v>47661620</v>
      </c>
    </row>
    <row r="32" spans="1:4" x14ac:dyDescent="0.25">
      <c r="A32" t="s">
        <v>111</v>
      </c>
      <c r="B32" t="s">
        <v>112</v>
      </c>
      <c r="C32">
        <v>1939</v>
      </c>
      <c r="D32">
        <v>47890226</v>
      </c>
    </row>
    <row r="33" spans="1:4" x14ac:dyDescent="0.25">
      <c r="A33" t="s">
        <v>111</v>
      </c>
      <c r="B33" t="s">
        <v>112</v>
      </c>
      <c r="C33">
        <v>1940</v>
      </c>
      <c r="D33">
        <v>48108804</v>
      </c>
    </row>
    <row r="34" spans="1:4" x14ac:dyDescent="0.25">
      <c r="A34" t="s">
        <v>111</v>
      </c>
      <c r="B34" t="s">
        <v>112</v>
      </c>
      <c r="C34">
        <v>1941</v>
      </c>
      <c r="D34">
        <v>48317261</v>
      </c>
    </row>
    <row r="35" spans="1:4" x14ac:dyDescent="0.25">
      <c r="A35" t="s">
        <v>111</v>
      </c>
      <c r="B35" t="s">
        <v>112</v>
      </c>
      <c r="C35">
        <v>1942</v>
      </c>
      <c r="D35">
        <v>48515502</v>
      </c>
    </row>
    <row r="36" spans="1:4" x14ac:dyDescent="0.25">
      <c r="A36" t="s">
        <v>111</v>
      </c>
      <c r="B36" t="s">
        <v>112</v>
      </c>
      <c r="C36">
        <v>1943</v>
      </c>
      <c r="D36">
        <v>48703433</v>
      </c>
    </row>
    <row r="37" spans="1:4" x14ac:dyDescent="0.25">
      <c r="A37" t="s">
        <v>111</v>
      </c>
      <c r="B37" t="s">
        <v>112</v>
      </c>
      <c r="C37">
        <v>1944</v>
      </c>
      <c r="D37">
        <v>48892093</v>
      </c>
    </row>
    <row r="38" spans="1:4" x14ac:dyDescent="0.25">
      <c r="A38" t="s">
        <v>111</v>
      </c>
      <c r="B38" t="s">
        <v>112</v>
      </c>
      <c r="C38">
        <v>1945</v>
      </c>
      <c r="D38">
        <v>49081483</v>
      </c>
    </row>
    <row r="39" spans="1:4" x14ac:dyDescent="0.25">
      <c r="A39" t="s">
        <v>111</v>
      </c>
      <c r="B39" t="s">
        <v>112</v>
      </c>
      <c r="C39">
        <v>1946</v>
      </c>
      <c r="D39">
        <v>49271606</v>
      </c>
    </row>
    <row r="40" spans="1:4" x14ac:dyDescent="0.25">
      <c r="A40" t="s">
        <v>111</v>
      </c>
      <c r="B40" t="s">
        <v>112</v>
      </c>
      <c r="C40">
        <v>1947</v>
      </c>
      <c r="D40">
        <v>49462466</v>
      </c>
    </row>
    <row r="41" spans="1:4" x14ac:dyDescent="0.25">
      <c r="A41" t="s">
        <v>111</v>
      </c>
      <c r="B41" t="s">
        <v>112</v>
      </c>
      <c r="C41">
        <v>1948</v>
      </c>
      <c r="D41">
        <v>49654066</v>
      </c>
    </row>
    <row r="42" spans="1:4" x14ac:dyDescent="0.25">
      <c r="A42" t="s">
        <v>111</v>
      </c>
      <c r="B42" t="s">
        <v>112</v>
      </c>
      <c r="C42">
        <v>1949</v>
      </c>
      <c r="D42">
        <v>49851583</v>
      </c>
    </row>
    <row r="43" spans="1:4" x14ac:dyDescent="0.25">
      <c r="A43" t="s">
        <v>111</v>
      </c>
      <c r="B43" t="s">
        <v>112</v>
      </c>
      <c r="C43">
        <v>1950</v>
      </c>
      <c r="D43">
        <v>50121020</v>
      </c>
    </row>
    <row r="44" spans="1:4" x14ac:dyDescent="0.25">
      <c r="A44" t="s">
        <v>111</v>
      </c>
      <c r="B44" t="s">
        <v>112</v>
      </c>
      <c r="C44">
        <v>1951</v>
      </c>
      <c r="D44">
        <v>50346822</v>
      </c>
    </row>
    <row r="45" spans="1:4" x14ac:dyDescent="0.25">
      <c r="A45" t="s">
        <v>111</v>
      </c>
      <c r="B45" t="s">
        <v>112</v>
      </c>
      <c r="C45">
        <v>1952</v>
      </c>
      <c r="D45">
        <v>50496231</v>
      </c>
    </row>
    <row r="46" spans="1:4" x14ac:dyDescent="0.25">
      <c r="A46" t="s">
        <v>111</v>
      </c>
      <c r="B46" t="s">
        <v>112</v>
      </c>
      <c r="C46">
        <v>1953</v>
      </c>
      <c r="D46">
        <v>50727037</v>
      </c>
    </row>
    <row r="47" spans="1:4" x14ac:dyDescent="0.25">
      <c r="A47" t="s">
        <v>111</v>
      </c>
      <c r="B47" t="s">
        <v>112</v>
      </c>
      <c r="C47">
        <v>1954</v>
      </c>
      <c r="D47">
        <v>50958246</v>
      </c>
    </row>
    <row r="48" spans="1:4" x14ac:dyDescent="0.25">
      <c r="A48" t="s">
        <v>111</v>
      </c>
      <c r="B48" t="s">
        <v>112</v>
      </c>
      <c r="C48">
        <v>1955</v>
      </c>
      <c r="D48">
        <v>51176749</v>
      </c>
    </row>
    <row r="49" spans="1:4" x14ac:dyDescent="0.25">
      <c r="A49" t="s">
        <v>111</v>
      </c>
      <c r="B49" t="s">
        <v>112</v>
      </c>
      <c r="C49">
        <v>1956</v>
      </c>
      <c r="D49">
        <v>51400459</v>
      </c>
    </row>
    <row r="50" spans="1:4" x14ac:dyDescent="0.25">
      <c r="A50" t="s">
        <v>111</v>
      </c>
      <c r="B50" t="s">
        <v>112</v>
      </c>
      <c r="C50">
        <v>1957</v>
      </c>
      <c r="D50">
        <v>51655911</v>
      </c>
    </row>
    <row r="51" spans="1:4" x14ac:dyDescent="0.25">
      <c r="A51" t="s">
        <v>111</v>
      </c>
      <c r="B51" t="s">
        <v>112</v>
      </c>
      <c r="C51">
        <v>1958</v>
      </c>
      <c r="D51">
        <v>51935639</v>
      </c>
    </row>
    <row r="52" spans="1:4" x14ac:dyDescent="0.25">
      <c r="A52" t="s">
        <v>111</v>
      </c>
      <c r="B52" t="s">
        <v>112</v>
      </c>
      <c r="C52">
        <v>1959</v>
      </c>
      <c r="D52">
        <v>52226466</v>
      </c>
    </row>
    <row r="53" spans="1:4" x14ac:dyDescent="0.25">
      <c r="A53" t="s">
        <v>111</v>
      </c>
      <c r="B53" t="s">
        <v>112</v>
      </c>
      <c r="C53">
        <v>1960</v>
      </c>
      <c r="D53">
        <v>52538549</v>
      </c>
    </row>
    <row r="54" spans="1:4" x14ac:dyDescent="0.25">
      <c r="A54" t="s">
        <v>111</v>
      </c>
      <c r="B54" t="s">
        <v>112</v>
      </c>
      <c r="C54">
        <v>1961</v>
      </c>
      <c r="D54">
        <v>52884952</v>
      </c>
    </row>
    <row r="55" spans="1:4" x14ac:dyDescent="0.25">
      <c r="A55" t="s">
        <v>111</v>
      </c>
      <c r="B55" t="s">
        <v>112</v>
      </c>
      <c r="C55">
        <v>1962</v>
      </c>
      <c r="D55">
        <v>53272836</v>
      </c>
    </row>
    <row r="56" spans="1:4" x14ac:dyDescent="0.25">
      <c r="A56" t="s">
        <v>111</v>
      </c>
      <c r="B56" t="s">
        <v>112</v>
      </c>
      <c r="C56">
        <v>1963</v>
      </c>
      <c r="D56">
        <v>53652940</v>
      </c>
    </row>
    <row r="57" spans="1:4" x14ac:dyDescent="0.25">
      <c r="A57" t="s">
        <v>111</v>
      </c>
      <c r="B57" t="s">
        <v>112</v>
      </c>
      <c r="C57">
        <v>1964</v>
      </c>
      <c r="D57">
        <v>54009131</v>
      </c>
    </row>
    <row r="58" spans="1:4" x14ac:dyDescent="0.25">
      <c r="A58" t="s">
        <v>111</v>
      </c>
      <c r="B58" t="s">
        <v>112</v>
      </c>
      <c r="C58">
        <v>1965</v>
      </c>
      <c r="D58">
        <v>54359022</v>
      </c>
    </row>
    <row r="59" spans="1:4" x14ac:dyDescent="0.25">
      <c r="A59" t="s">
        <v>111</v>
      </c>
      <c r="B59" t="s">
        <v>112</v>
      </c>
      <c r="C59">
        <v>1966</v>
      </c>
      <c r="D59">
        <v>54676346</v>
      </c>
    </row>
    <row r="60" spans="1:4" x14ac:dyDescent="0.25">
      <c r="A60" t="s">
        <v>111</v>
      </c>
      <c r="B60" t="s">
        <v>112</v>
      </c>
      <c r="C60">
        <v>1967</v>
      </c>
      <c r="D60">
        <v>54973659</v>
      </c>
    </row>
    <row r="61" spans="1:4" x14ac:dyDescent="0.25">
      <c r="A61" t="s">
        <v>111</v>
      </c>
      <c r="B61" t="s">
        <v>112</v>
      </c>
      <c r="C61">
        <v>1968</v>
      </c>
      <c r="D61">
        <v>55240654</v>
      </c>
    </row>
    <row r="62" spans="1:4" x14ac:dyDescent="0.25">
      <c r="A62" t="s">
        <v>111</v>
      </c>
      <c r="B62" t="s">
        <v>112</v>
      </c>
      <c r="C62">
        <v>1969</v>
      </c>
      <c r="D62">
        <v>55456208</v>
      </c>
    </row>
    <row r="63" spans="1:4" x14ac:dyDescent="0.25">
      <c r="A63" t="s">
        <v>111</v>
      </c>
      <c r="B63" t="s">
        <v>112</v>
      </c>
      <c r="C63">
        <v>1970</v>
      </c>
      <c r="D63">
        <v>55663801</v>
      </c>
    </row>
    <row r="64" spans="1:4" x14ac:dyDescent="0.25">
      <c r="A64" t="s">
        <v>111</v>
      </c>
      <c r="B64" t="s">
        <v>112</v>
      </c>
      <c r="C64">
        <v>1971</v>
      </c>
      <c r="D64">
        <v>55890372</v>
      </c>
    </row>
    <row r="65" spans="1:4" x14ac:dyDescent="0.25">
      <c r="A65" t="s">
        <v>111</v>
      </c>
      <c r="B65" t="s">
        <v>112</v>
      </c>
      <c r="C65">
        <v>1972</v>
      </c>
      <c r="D65">
        <v>56079239</v>
      </c>
    </row>
    <row r="66" spans="1:4" x14ac:dyDescent="0.25">
      <c r="A66" t="s">
        <v>111</v>
      </c>
      <c r="B66" t="s">
        <v>112</v>
      </c>
      <c r="C66">
        <v>1973</v>
      </c>
      <c r="D66">
        <v>56188788</v>
      </c>
    </row>
    <row r="67" spans="1:4" x14ac:dyDescent="0.25">
      <c r="A67" t="s">
        <v>111</v>
      </c>
      <c r="B67" t="s">
        <v>112</v>
      </c>
      <c r="C67">
        <v>1974</v>
      </c>
      <c r="D67">
        <v>56224550</v>
      </c>
    </row>
    <row r="68" spans="1:4" x14ac:dyDescent="0.25">
      <c r="A68" t="s">
        <v>111</v>
      </c>
      <c r="B68" t="s">
        <v>112</v>
      </c>
      <c r="C68">
        <v>1975</v>
      </c>
      <c r="D68">
        <v>56220138</v>
      </c>
    </row>
    <row r="69" spans="1:4" x14ac:dyDescent="0.25">
      <c r="A69" t="s">
        <v>111</v>
      </c>
      <c r="B69" t="s">
        <v>112</v>
      </c>
      <c r="C69">
        <v>1976</v>
      </c>
      <c r="D69">
        <v>56201144</v>
      </c>
    </row>
    <row r="70" spans="1:4" x14ac:dyDescent="0.25">
      <c r="A70" t="s">
        <v>111</v>
      </c>
      <c r="B70" t="s">
        <v>112</v>
      </c>
      <c r="C70">
        <v>1977</v>
      </c>
      <c r="D70">
        <v>56175831</v>
      </c>
    </row>
    <row r="71" spans="1:4" x14ac:dyDescent="0.25">
      <c r="A71" t="s">
        <v>111</v>
      </c>
      <c r="B71" t="s">
        <v>112</v>
      </c>
      <c r="C71">
        <v>1978</v>
      </c>
      <c r="D71">
        <v>56175552</v>
      </c>
    </row>
    <row r="72" spans="1:4" x14ac:dyDescent="0.25">
      <c r="A72" t="s">
        <v>111</v>
      </c>
      <c r="B72" t="s">
        <v>112</v>
      </c>
      <c r="C72">
        <v>1979</v>
      </c>
      <c r="D72">
        <v>56218759</v>
      </c>
    </row>
    <row r="73" spans="1:4" x14ac:dyDescent="0.25">
      <c r="A73" t="s">
        <v>111</v>
      </c>
      <c r="B73" t="s">
        <v>112</v>
      </c>
      <c r="C73">
        <v>1980</v>
      </c>
      <c r="D73">
        <v>56282102</v>
      </c>
    </row>
    <row r="74" spans="1:4" x14ac:dyDescent="0.25">
      <c r="A74" t="s">
        <v>111</v>
      </c>
      <c r="B74" t="s">
        <v>112</v>
      </c>
      <c r="C74">
        <v>1981</v>
      </c>
      <c r="D74">
        <v>56304591</v>
      </c>
    </row>
    <row r="75" spans="1:4" x14ac:dyDescent="0.25">
      <c r="A75" t="s">
        <v>111</v>
      </c>
      <c r="B75" t="s">
        <v>112</v>
      </c>
      <c r="C75">
        <v>1982</v>
      </c>
      <c r="D75">
        <v>56292761</v>
      </c>
    </row>
    <row r="76" spans="1:4" x14ac:dyDescent="0.25">
      <c r="A76" t="s">
        <v>111</v>
      </c>
      <c r="B76" t="s">
        <v>112</v>
      </c>
      <c r="C76">
        <v>1983</v>
      </c>
      <c r="D76">
        <v>56332059</v>
      </c>
    </row>
    <row r="77" spans="1:4" x14ac:dyDescent="0.25">
      <c r="A77" t="s">
        <v>111</v>
      </c>
      <c r="B77" t="s">
        <v>112</v>
      </c>
      <c r="C77">
        <v>1984</v>
      </c>
      <c r="D77">
        <v>56451312</v>
      </c>
    </row>
    <row r="78" spans="1:4" x14ac:dyDescent="0.25">
      <c r="A78" t="s">
        <v>111</v>
      </c>
      <c r="B78" t="s">
        <v>112</v>
      </c>
      <c r="C78">
        <v>1985</v>
      </c>
      <c r="D78">
        <v>56606416</v>
      </c>
    </row>
    <row r="79" spans="1:4" x14ac:dyDescent="0.25">
      <c r="A79" t="s">
        <v>111</v>
      </c>
      <c r="B79" t="s">
        <v>112</v>
      </c>
      <c r="C79">
        <v>1986</v>
      </c>
      <c r="D79">
        <v>56751925</v>
      </c>
    </row>
    <row r="80" spans="1:4" x14ac:dyDescent="0.25">
      <c r="A80" t="s">
        <v>111</v>
      </c>
      <c r="B80" t="s">
        <v>112</v>
      </c>
      <c r="C80">
        <v>1987</v>
      </c>
      <c r="D80">
        <v>56886020</v>
      </c>
    </row>
    <row r="81" spans="1:4" x14ac:dyDescent="0.25">
      <c r="A81" t="s">
        <v>111</v>
      </c>
      <c r="B81" t="s">
        <v>112</v>
      </c>
      <c r="C81">
        <v>1988</v>
      </c>
      <c r="D81">
        <v>57026540</v>
      </c>
    </row>
    <row r="82" spans="1:4" x14ac:dyDescent="0.25">
      <c r="A82" t="s">
        <v>111</v>
      </c>
      <c r="B82" t="s">
        <v>112</v>
      </c>
      <c r="C82">
        <v>1989</v>
      </c>
      <c r="D82">
        <v>57182137</v>
      </c>
    </row>
    <row r="83" spans="1:4" x14ac:dyDescent="0.25">
      <c r="A83" t="s">
        <v>111</v>
      </c>
      <c r="B83" t="s">
        <v>112</v>
      </c>
      <c r="C83">
        <v>1990</v>
      </c>
      <c r="D83">
        <v>57367867</v>
      </c>
    </row>
    <row r="84" spans="1:4" x14ac:dyDescent="0.25">
      <c r="A84" t="s">
        <v>111</v>
      </c>
      <c r="B84" t="s">
        <v>112</v>
      </c>
      <c r="C84">
        <v>1991</v>
      </c>
      <c r="D84">
        <v>57555199</v>
      </c>
    </row>
    <row r="85" spans="1:4" x14ac:dyDescent="0.25">
      <c r="A85" t="s">
        <v>111</v>
      </c>
      <c r="B85" t="s">
        <v>112</v>
      </c>
      <c r="C85">
        <v>1992</v>
      </c>
      <c r="D85">
        <v>57719272</v>
      </c>
    </row>
    <row r="86" spans="1:4" x14ac:dyDescent="0.25">
      <c r="A86" t="s">
        <v>111</v>
      </c>
      <c r="B86" t="s">
        <v>112</v>
      </c>
      <c r="C86">
        <v>1993</v>
      </c>
      <c r="D86">
        <v>57861036</v>
      </c>
    </row>
    <row r="87" spans="1:4" x14ac:dyDescent="0.25">
      <c r="A87" t="s">
        <v>111</v>
      </c>
      <c r="B87" t="s">
        <v>112</v>
      </c>
      <c r="C87">
        <v>1994</v>
      </c>
      <c r="D87">
        <v>58003200</v>
      </c>
    </row>
    <row r="88" spans="1:4" x14ac:dyDescent="0.25">
      <c r="A88" t="s">
        <v>111</v>
      </c>
      <c r="B88" t="s">
        <v>112</v>
      </c>
      <c r="C88">
        <v>1995</v>
      </c>
      <c r="D88">
        <v>58154632</v>
      </c>
    </row>
    <row r="89" spans="1:4" x14ac:dyDescent="0.25">
      <c r="A89" t="s">
        <v>111</v>
      </c>
      <c r="B89" t="s">
        <v>112</v>
      </c>
      <c r="C89">
        <v>1996</v>
      </c>
      <c r="D89">
        <v>58298563</v>
      </c>
    </row>
    <row r="90" spans="1:4" x14ac:dyDescent="0.25">
      <c r="A90" t="s">
        <v>111</v>
      </c>
      <c r="B90" t="s">
        <v>112</v>
      </c>
      <c r="C90">
        <v>1997</v>
      </c>
      <c r="D90">
        <v>58447090</v>
      </c>
    </row>
    <row r="91" spans="1:4" x14ac:dyDescent="0.25">
      <c r="A91" t="s">
        <v>111</v>
      </c>
      <c r="B91" t="s">
        <v>112</v>
      </c>
      <c r="C91">
        <v>1998</v>
      </c>
      <c r="D91">
        <v>58626822</v>
      </c>
    </row>
    <row r="92" spans="1:4" x14ac:dyDescent="0.25">
      <c r="A92" t="s">
        <v>111</v>
      </c>
      <c r="B92" t="s">
        <v>112</v>
      </c>
      <c r="C92">
        <v>1999</v>
      </c>
      <c r="D92">
        <v>58838660</v>
      </c>
    </row>
    <row r="93" spans="1:4" x14ac:dyDescent="0.25">
      <c r="A93" t="s">
        <v>111</v>
      </c>
      <c r="B93" t="s">
        <v>112</v>
      </c>
      <c r="C93">
        <v>2000</v>
      </c>
      <c r="D93">
        <v>59057336</v>
      </c>
    </row>
    <row r="94" spans="1:4" x14ac:dyDescent="0.25">
      <c r="A94" t="s">
        <v>111</v>
      </c>
      <c r="B94" t="s">
        <v>112</v>
      </c>
      <c r="C94">
        <v>2001</v>
      </c>
      <c r="D94">
        <v>59288095</v>
      </c>
    </row>
    <row r="95" spans="1:4" x14ac:dyDescent="0.25">
      <c r="A95" t="s">
        <v>111</v>
      </c>
      <c r="B95" t="s">
        <v>112</v>
      </c>
      <c r="C95">
        <v>2002</v>
      </c>
      <c r="D95">
        <v>59540763</v>
      </c>
    </row>
    <row r="96" spans="1:4" x14ac:dyDescent="0.25">
      <c r="A96" t="s">
        <v>111</v>
      </c>
      <c r="B96" t="s">
        <v>112</v>
      </c>
      <c r="C96">
        <v>2003</v>
      </c>
      <c r="D96">
        <v>59820385</v>
      </c>
    </row>
    <row r="97" spans="1:4" x14ac:dyDescent="0.25">
      <c r="A97" t="s">
        <v>111</v>
      </c>
      <c r="B97" t="s">
        <v>112</v>
      </c>
      <c r="C97">
        <v>2004</v>
      </c>
      <c r="D97">
        <v>60169964</v>
      </c>
    </row>
    <row r="98" spans="1:4" x14ac:dyDescent="0.25">
      <c r="A98" t="s">
        <v>111</v>
      </c>
      <c r="B98" t="s">
        <v>112</v>
      </c>
      <c r="C98">
        <v>2005</v>
      </c>
      <c r="D98">
        <v>60596108</v>
      </c>
    </row>
    <row r="99" spans="1:4" x14ac:dyDescent="0.25">
      <c r="A99" t="s">
        <v>111</v>
      </c>
      <c r="B99" t="s">
        <v>112</v>
      </c>
      <c r="C99">
        <v>2006</v>
      </c>
      <c r="D99">
        <v>61051093</v>
      </c>
    </row>
    <row r="100" spans="1:4" x14ac:dyDescent="0.25">
      <c r="A100" t="s">
        <v>111</v>
      </c>
      <c r="B100" t="s">
        <v>112</v>
      </c>
      <c r="C100">
        <v>2007</v>
      </c>
      <c r="D100">
        <v>61535860</v>
      </c>
    </row>
    <row r="101" spans="1:4" x14ac:dyDescent="0.25">
      <c r="A101" t="s">
        <v>111</v>
      </c>
      <c r="B101" t="s">
        <v>112</v>
      </c>
      <c r="C101">
        <v>2008</v>
      </c>
      <c r="D101">
        <v>62027303</v>
      </c>
    </row>
    <row r="102" spans="1:4" x14ac:dyDescent="0.25">
      <c r="A102" t="s">
        <v>111</v>
      </c>
      <c r="B102" t="s">
        <v>112</v>
      </c>
      <c r="C102">
        <v>2009</v>
      </c>
      <c r="D102">
        <v>62506221</v>
      </c>
    </row>
    <row r="103" spans="1:4" x14ac:dyDescent="0.25">
      <c r="A103" t="s">
        <v>111</v>
      </c>
      <c r="B103" t="s">
        <v>112</v>
      </c>
      <c r="C103">
        <v>2010</v>
      </c>
      <c r="D103">
        <v>63006484</v>
      </c>
    </row>
    <row r="104" spans="1:4" x14ac:dyDescent="0.25">
      <c r="A104" t="s">
        <v>111</v>
      </c>
      <c r="B104" t="s">
        <v>112</v>
      </c>
      <c r="C104">
        <v>2011</v>
      </c>
      <c r="D104">
        <v>63509285</v>
      </c>
    </row>
    <row r="105" spans="1:4" x14ac:dyDescent="0.25">
      <c r="A105" t="s">
        <v>111</v>
      </c>
      <c r="B105" t="s">
        <v>112</v>
      </c>
      <c r="C105">
        <v>2012</v>
      </c>
      <c r="D105">
        <v>63960487</v>
      </c>
    </row>
    <row r="106" spans="1:4" x14ac:dyDescent="0.25">
      <c r="A106" t="s">
        <v>111</v>
      </c>
      <c r="B106" t="s">
        <v>112</v>
      </c>
      <c r="C106">
        <v>2013</v>
      </c>
      <c r="D106">
        <v>64389386</v>
      </c>
    </row>
    <row r="107" spans="1:4" x14ac:dyDescent="0.25">
      <c r="A107" t="s">
        <v>111</v>
      </c>
      <c r="B107" t="s">
        <v>112</v>
      </c>
      <c r="C107">
        <v>2014</v>
      </c>
      <c r="D107">
        <v>64865914</v>
      </c>
    </row>
    <row r="108" spans="1:4" x14ac:dyDescent="0.25">
      <c r="A108" t="s">
        <v>111</v>
      </c>
      <c r="B108" t="s">
        <v>112</v>
      </c>
      <c r="C108">
        <v>2015</v>
      </c>
      <c r="D108">
        <v>65382107</v>
      </c>
    </row>
    <row r="109" spans="1:4" x14ac:dyDescent="0.25">
      <c r="A109" t="s">
        <v>111</v>
      </c>
      <c r="B109" t="s">
        <v>112</v>
      </c>
      <c r="C109">
        <v>2016</v>
      </c>
      <c r="D109">
        <v>65893359</v>
      </c>
    </row>
    <row r="110" spans="1:4" x14ac:dyDescent="0.25">
      <c r="A110" t="s">
        <v>111</v>
      </c>
      <c r="B110" t="s">
        <v>112</v>
      </c>
      <c r="C110">
        <v>2017</v>
      </c>
      <c r="D110">
        <v>66354474</v>
      </c>
    </row>
    <row r="111" spans="1:4" x14ac:dyDescent="0.25">
      <c r="A111" t="s">
        <v>111</v>
      </c>
      <c r="B111" t="s">
        <v>112</v>
      </c>
      <c r="C111">
        <v>2018</v>
      </c>
      <c r="D111">
        <v>66752473</v>
      </c>
    </row>
    <row r="112" spans="1:4" x14ac:dyDescent="0.25">
      <c r="A112" t="s">
        <v>111</v>
      </c>
      <c r="B112" t="s">
        <v>112</v>
      </c>
      <c r="C112">
        <v>2019</v>
      </c>
      <c r="D112">
        <v>67110958</v>
      </c>
    </row>
    <row r="113" spans="1:4" x14ac:dyDescent="0.25">
      <c r="A113" t="s">
        <v>111</v>
      </c>
      <c r="B113" t="s">
        <v>112</v>
      </c>
      <c r="C113">
        <v>2020</v>
      </c>
      <c r="D113">
        <v>67351860</v>
      </c>
    </row>
    <row r="114" spans="1:4" x14ac:dyDescent="0.25">
      <c r="A114" t="s">
        <v>111</v>
      </c>
      <c r="B114" t="s">
        <v>112</v>
      </c>
      <c r="C114">
        <v>2021</v>
      </c>
      <c r="D114">
        <v>67668789</v>
      </c>
    </row>
    <row r="115" spans="1:4" x14ac:dyDescent="0.25">
      <c r="A115" t="s">
        <v>111</v>
      </c>
      <c r="B115" t="s">
        <v>112</v>
      </c>
      <c r="C115">
        <v>2022</v>
      </c>
      <c r="D115">
        <v>68179315</v>
      </c>
    </row>
    <row r="116" spans="1:4" x14ac:dyDescent="0.25">
      <c r="A116" t="s">
        <v>111</v>
      </c>
      <c r="B116" t="s">
        <v>112</v>
      </c>
      <c r="C116">
        <v>2023</v>
      </c>
      <c r="D116">
        <v>68682965</v>
      </c>
    </row>
    <row r="117" spans="1:4" x14ac:dyDescent="0.25">
      <c r="A117" t="s">
        <v>113</v>
      </c>
      <c r="B117" t="s">
        <v>114</v>
      </c>
      <c r="C117">
        <v>1909</v>
      </c>
      <c r="D117">
        <v>88647362</v>
      </c>
    </row>
    <row r="118" spans="1:4" x14ac:dyDescent="0.25">
      <c r="A118" t="s">
        <v>113</v>
      </c>
      <c r="B118" t="s">
        <v>114</v>
      </c>
      <c r="C118">
        <v>1910</v>
      </c>
      <c r="D118">
        <v>90151889</v>
      </c>
    </row>
    <row r="119" spans="1:4" x14ac:dyDescent="0.25">
      <c r="A119" t="s">
        <v>113</v>
      </c>
      <c r="B119" t="s">
        <v>114</v>
      </c>
      <c r="C119">
        <v>1911</v>
      </c>
      <c r="D119">
        <v>91585865</v>
      </c>
    </row>
    <row r="120" spans="1:4" x14ac:dyDescent="0.25">
      <c r="A120" t="s">
        <v>113</v>
      </c>
      <c r="B120" t="s">
        <v>114</v>
      </c>
      <c r="C120">
        <v>1912</v>
      </c>
      <c r="D120">
        <v>92946603</v>
      </c>
    </row>
    <row r="121" spans="1:4" x14ac:dyDescent="0.25">
      <c r="A121" t="s">
        <v>113</v>
      </c>
      <c r="B121" t="s">
        <v>114</v>
      </c>
      <c r="C121">
        <v>1913</v>
      </c>
      <c r="D121">
        <v>94231351</v>
      </c>
    </row>
    <row r="122" spans="1:4" x14ac:dyDescent="0.25">
      <c r="A122" t="s">
        <v>113</v>
      </c>
      <c r="B122" t="s">
        <v>114</v>
      </c>
      <c r="C122">
        <v>1914</v>
      </c>
      <c r="D122">
        <v>95533839</v>
      </c>
    </row>
    <row r="123" spans="1:4" x14ac:dyDescent="0.25">
      <c r="A123" t="s">
        <v>113</v>
      </c>
      <c r="B123" t="s">
        <v>114</v>
      </c>
      <c r="C123">
        <v>1915</v>
      </c>
      <c r="D123">
        <v>96854312</v>
      </c>
    </row>
    <row r="124" spans="1:4" x14ac:dyDescent="0.25">
      <c r="A124" t="s">
        <v>113</v>
      </c>
      <c r="B124" t="s">
        <v>114</v>
      </c>
      <c r="C124">
        <v>1916</v>
      </c>
      <c r="D124">
        <v>98193018</v>
      </c>
    </row>
    <row r="125" spans="1:4" x14ac:dyDescent="0.25">
      <c r="A125" t="s">
        <v>113</v>
      </c>
      <c r="B125" t="s">
        <v>114</v>
      </c>
      <c r="C125">
        <v>1917</v>
      </c>
      <c r="D125">
        <v>99550208</v>
      </c>
    </row>
    <row r="126" spans="1:4" x14ac:dyDescent="0.25">
      <c r="A126" t="s">
        <v>113</v>
      </c>
      <c r="B126" t="s">
        <v>114</v>
      </c>
      <c r="C126">
        <v>1918</v>
      </c>
      <c r="D126">
        <v>100970120</v>
      </c>
    </row>
    <row r="127" spans="1:4" x14ac:dyDescent="0.25">
      <c r="A127" t="s">
        <v>113</v>
      </c>
      <c r="B127" t="s">
        <v>114</v>
      </c>
      <c r="C127">
        <v>1919</v>
      </c>
      <c r="D127">
        <v>102419259</v>
      </c>
    </row>
    <row r="128" spans="1:4" x14ac:dyDescent="0.25">
      <c r="A128" t="s">
        <v>113</v>
      </c>
      <c r="B128" t="s">
        <v>114</v>
      </c>
      <c r="C128">
        <v>1920</v>
      </c>
      <c r="D128">
        <v>103898175</v>
      </c>
    </row>
    <row r="129" spans="1:4" x14ac:dyDescent="0.25">
      <c r="A129" t="s">
        <v>113</v>
      </c>
      <c r="B129" t="s">
        <v>114</v>
      </c>
      <c r="C129">
        <v>1921</v>
      </c>
      <c r="D129">
        <v>105407425</v>
      </c>
    </row>
    <row r="130" spans="1:4" x14ac:dyDescent="0.25">
      <c r="A130" t="s">
        <v>113</v>
      </c>
      <c r="B130" t="s">
        <v>114</v>
      </c>
      <c r="C130">
        <v>1922</v>
      </c>
      <c r="D130">
        <v>106947578</v>
      </c>
    </row>
    <row r="131" spans="1:4" x14ac:dyDescent="0.25">
      <c r="A131" t="s">
        <v>113</v>
      </c>
      <c r="B131" t="s">
        <v>114</v>
      </c>
      <c r="C131">
        <v>1923</v>
      </c>
      <c r="D131">
        <v>108519213</v>
      </c>
    </row>
    <row r="132" spans="1:4" x14ac:dyDescent="0.25">
      <c r="A132" t="s">
        <v>113</v>
      </c>
      <c r="B132" t="s">
        <v>114</v>
      </c>
      <c r="C132">
        <v>1924</v>
      </c>
      <c r="D132">
        <v>110113945</v>
      </c>
    </row>
    <row r="133" spans="1:4" x14ac:dyDescent="0.25">
      <c r="A133" t="s">
        <v>113</v>
      </c>
      <c r="B133" t="s">
        <v>114</v>
      </c>
      <c r="C133">
        <v>1925</v>
      </c>
      <c r="D133">
        <v>111732111</v>
      </c>
    </row>
    <row r="134" spans="1:4" x14ac:dyDescent="0.25">
      <c r="A134" t="s">
        <v>113</v>
      </c>
      <c r="B134" t="s">
        <v>114</v>
      </c>
      <c r="C134">
        <v>1926</v>
      </c>
      <c r="D134">
        <v>113374057</v>
      </c>
    </row>
    <row r="135" spans="1:4" x14ac:dyDescent="0.25">
      <c r="A135" t="s">
        <v>113</v>
      </c>
      <c r="B135" t="s">
        <v>114</v>
      </c>
      <c r="C135">
        <v>1927</v>
      </c>
      <c r="D135">
        <v>115040131</v>
      </c>
    </row>
    <row r="136" spans="1:4" x14ac:dyDescent="0.25">
      <c r="A136" t="s">
        <v>113</v>
      </c>
      <c r="B136" t="s">
        <v>114</v>
      </c>
      <c r="C136">
        <v>1928</v>
      </c>
      <c r="D136">
        <v>116730690</v>
      </c>
    </row>
    <row r="137" spans="1:4" x14ac:dyDescent="0.25">
      <c r="A137" t="s">
        <v>113</v>
      </c>
      <c r="B137" t="s">
        <v>114</v>
      </c>
      <c r="C137">
        <v>1929</v>
      </c>
      <c r="D137">
        <v>118261782</v>
      </c>
    </row>
    <row r="138" spans="1:4" x14ac:dyDescent="0.25">
      <c r="A138" t="s">
        <v>113</v>
      </c>
      <c r="B138" t="s">
        <v>114</v>
      </c>
      <c r="C138">
        <v>1930</v>
      </c>
      <c r="D138">
        <v>119629770</v>
      </c>
    </row>
    <row r="139" spans="1:4" x14ac:dyDescent="0.25">
      <c r="A139" t="s">
        <v>113</v>
      </c>
      <c r="B139" t="s">
        <v>114</v>
      </c>
      <c r="C139">
        <v>1931</v>
      </c>
      <c r="D139">
        <v>120830953</v>
      </c>
    </row>
    <row r="140" spans="1:4" x14ac:dyDescent="0.25">
      <c r="A140" t="s">
        <v>113</v>
      </c>
      <c r="B140" t="s">
        <v>114</v>
      </c>
      <c r="C140">
        <v>1932</v>
      </c>
      <c r="D140">
        <v>121861566</v>
      </c>
    </row>
    <row r="141" spans="1:4" x14ac:dyDescent="0.25">
      <c r="A141" t="s">
        <v>113</v>
      </c>
      <c r="B141" t="s">
        <v>114</v>
      </c>
      <c r="C141">
        <v>1933</v>
      </c>
      <c r="D141">
        <v>122717780</v>
      </c>
    </row>
    <row r="142" spans="1:4" x14ac:dyDescent="0.25">
      <c r="A142" t="s">
        <v>113</v>
      </c>
      <c r="B142" t="s">
        <v>114</v>
      </c>
      <c r="C142">
        <v>1934</v>
      </c>
      <c r="D142">
        <v>123580010</v>
      </c>
    </row>
    <row r="143" spans="1:4" x14ac:dyDescent="0.25">
      <c r="A143" t="s">
        <v>113</v>
      </c>
      <c r="B143" t="s">
        <v>114</v>
      </c>
      <c r="C143">
        <v>1935</v>
      </c>
      <c r="D143">
        <v>124448298</v>
      </c>
    </row>
    <row r="144" spans="1:4" x14ac:dyDescent="0.25">
      <c r="A144" t="s">
        <v>113</v>
      </c>
      <c r="B144" t="s">
        <v>114</v>
      </c>
      <c r="C144">
        <v>1936</v>
      </c>
      <c r="D144">
        <v>125322686</v>
      </c>
    </row>
    <row r="145" spans="1:4" x14ac:dyDescent="0.25">
      <c r="A145" t="s">
        <v>113</v>
      </c>
      <c r="B145" t="s">
        <v>114</v>
      </c>
      <c r="C145">
        <v>1937</v>
      </c>
      <c r="D145">
        <v>126203219</v>
      </c>
    </row>
    <row r="146" spans="1:4" x14ac:dyDescent="0.25">
      <c r="A146" t="s">
        <v>113</v>
      </c>
      <c r="B146" t="s">
        <v>114</v>
      </c>
      <c r="C146">
        <v>1938</v>
      </c>
      <c r="D146">
        <v>127089938</v>
      </c>
    </row>
    <row r="147" spans="1:4" x14ac:dyDescent="0.25">
      <c r="A147" t="s">
        <v>113</v>
      </c>
      <c r="B147" t="s">
        <v>114</v>
      </c>
      <c r="C147">
        <v>1939</v>
      </c>
      <c r="D147">
        <v>128160070</v>
      </c>
    </row>
    <row r="148" spans="1:4" x14ac:dyDescent="0.25">
      <c r="A148" t="s">
        <v>113</v>
      </c>
      <c r="B148" t="s">
        <v>114</v>
      </c>
      <c r="C148">
        <v>1940</v>
      </c>
      <c r="D148">
        <v>129417367</v>
      </c>
    </row>
    <row r="149" spans="1:4" x14ac:dyDescent="0.25">
      <c r="A149" t="s">
        <v>113</v>
      </c>
      <c r="B149" t="s">
        <v>114</v>
      </c>
      <c r="C149">
        <v>1941</v>
      </c>
      <c r="D149">
        <v>130865641</v>
      </c>
    </row>
    <row r="150" spans="1:4" x14ac:dyDescent="0.25">
      <c r="A150" t="s">
        <v>113</v>
      </c>
      <c r="B150" t="s">
        <v>114</v>
      </c>
      <c r="C150">
        <v>1942</v>
      </c>
      <c r="D150">
        <v>132508765</v>
      </c>
    </row>
    <row r="151" spans="1:4" x14ac:dyDescent="0.25">
      <c r="A151" t="s">
        <v>113</v>
      </c>
      <c r="B151" t="s">
        <v>114</v>
      </c>
      <c r="C151">
        <v>1943</v>
      </c>
      <c r="D151">
        <v>134350677</v>
      </c>
    </row>
    <row r="152" spans="1:4" x14ac:dyDescent="0.25">
      <c r="A152" t="s">
        <v>113</v>
      </c>
      <c r="B152" t="s">
        <v>114</v>
      </c>
      <c r="C152">
        <v>1944</v>
      </c>
      <c r="D152">
        <v>136218191</v>
      </c>
    </row>
    <row r="153" spans="1:4" x14ac:dyDescent="0.25">
      <c r="A153" t="s">
        <v>113</v>
      </c>
      <c r="B153" t="s">
        <v>114</v>
      </c>
      <c r="C153">
        <v>1945</v>
      </c>
      <c r="D153">
        <v>138111665</v>
      </c>
    </row>
    <row r="154" spans="1:4" x14ac:dyDescent="0.25">
      <c r="A154" t="s">
        <v>113</v>
      </c>
      <c r="B154" t="s">
        <v>114</v>
      </c>
      <c r="C154">
        <v>1946</v>
      </c>
      <c r="D154">
        <v>140031458</v>
      </c>
    </row>
    <row r="155" spans="1:4" x14ac:dyDescent="0.25">
      <c r="A155" t="s">
        <v>113</v>
      </c>
      <c r="B155" t="s">
        <v>114</v>
      </c>
      <c r="C155">
        <v>1947</v>
      </c>
      <c r="D155">
        <v>141977937</v>
      </c>
    </row>
    <row r="156" spans="1:4" x14ac:dyDescent="0.25">
      <c r="A156" t="s">
        <v>113</v>
      </c>
      <c r="B156" t="s">
        <v>114</v>
      </c>
      <c r="C156">
        <v>1948</v>
      </c>
      <c r="D156">
        <v>143951473</v>
      </c>
    </row>
    <row r="157" spans="1:4" x14ac:dyDescent="0.25">
      <c r="A157" t="s">
        <v>113</v>
      </c>
      <c r="B157" t="s">
        <v>114</v>
      </c>
      <c r="C157">
        <v>1949</v>
      </c>
      <c r="D157">
        <v>146051521</v>
      </c>
    </row>
    <row r="158" spans="1:4" x14ac:dyDescent="0.25">
      <c r="A158" t="s">
        <v>113</v>
      </c>
      <c r="B158" t="s">
        <v>114</v>
      </c>
      <c r="C158">
        <v>1950</v>
      </c>
      <c r="D158">
        <v>154202683</v>
      </c>
    </row>
    <row r="159" spans="1:4" x14ac:dyDescent="0.25">
      <c r="A159" t="s">
        <v>113</v>
      </c>
      <c r="B159" t="s">
        <v>114</v>
      </c>
      <c r="C159">
        <v>1951</v>
      </c>
      <c r="D159">
        <v>156481322</v>
      </c>
    </row>
    <row r="160" spans="1:4" x14ac:dyDescent="0.25">
      <c r="A160" t="s">
        <v>113</v>
      </c>
      <c r="B160" t="s">
        <v>114</v>
      </c>
      <c r="C160">
        <v>1952</v>
      </c>
      <c r="D160">
        <v>158794225</v>
      </c>
    </row>
    <row r="161" spans="1:4" x14ac:dyDescent="0.25">
      <c r="A161" t="s">
        <v>113</v>
      </c>
      <c r="B161" t="s">
        <v>114</v>
      </c>
      <c r="C161">
        <v>1953</v>
      </c>
      <c r="D161">
        <v>161168319</v>
      </c>
    </row>
    <row r="162" spans="1:4" x14ac:dyDescent="0.25">
      <c r="A162" t="s">
        <v>113</v>
      </c>
      <c r="B162" t="s">
        <v>114</v>
      </c>
      <c r="C162">
        <v>1954</v>
      </c>
      <c r="D162">
        <v>163636304</v>
      </c>
    </row>
    <row r="163" spans="1:4" x14ac:dyDescent="0.25">
      <c r="A163" t="s">
        <v>113</v>
      </c>
      <c r="B163" t="s">
        <v>114</v>
      </c>
      <c r="C163">
        <v>1955</v>
      </c>
      <c r="D163">
        <v>166200030</v>
      </c>
    </row>
    <row r="164" spans="1:4" x14ac:dyDescent="0.25">
      <c r="A164" t="s">
        <v>113</v>
      </c>
      <c r="B164" t="s">
        <v>114</v>
      </c>
      <c r="C164">
        <v>1956</v>
      </c>
      <c r="D164">
        <v>168824963</v>
      </c>
    </row>
    <row r="165" spans="1:4" x14ac:dyDescent="0.25">
      <c r="A165" t="s">
        <v>113</v>
      </c>
      <c r="B165" t="s">
        <v>114</v>
      </c>
      <c r="C165">
        <v>1957</v>
      </c>
      <c r="D165">
        <v>171499235</v>
      </c>
    </row>
    <row r="166" spans="1:4" x14ac:dyDescent="0.25">
      <c r="A166" t="s">
        <v>113</v>
      </c>
      <c r="B166" t="s">
        <v>114</v>
      </c>
      <c r="C166">
        <v>1958</v>
      </c>
      <c r="D166">
        <v>174215305</v>
      </c>
    </row>
    <row r="167" spans="1:4" x14ac:dyDescent="0.25">
      <c r="A167" t="s">
        <v>113</v>
      </c>
      <c r="B167" t="s">
        <v>114</v>
      </c>
      <c r="C167">
        <v>1959</v>
      </c>
      <c r="D167">
        <v>177145772</v>
      </c>
    </row>
    <row r="168" spans="1:4" x14ac:dyDescent="0.25">
      <c r="A168" t="s">
        <v>113</v>
      </c>
      <c r="B168" t="s">
        <v>114</v>
      </c>
      <c r="C168">
        <v>1960</v>
      </c>
      <c r="D168">
        <v>180274554</v>
      </c>
    </row>
    <row r="169" spans="1:4" x14ac:dyDescent="0.25">
      <c r="A169" t="s">
        <v>113</v>
      </c>
      <c r="B169" t="s">
        <v>114</v>
      </c>
      <c r="C169">
        <v>1961</v>
      </c>
      <c r="D169">
        <v>183489491</v>
      </c>
    </row>
    <row r="170" spans="1:4" x14ac:dyDescent="0.25">
      <c r="A170" t="s">
        <v>113</v>
      </c>
      <c r="B170" t="s">
        <v>114</v>
      </c>
      <c r="C170">
        <v>1962</v>
      </c>
      <c r="D170">
        <v>186724277</v>
      </c>
    </row>
    <row r="171" spans="1:4" x14ac:dyDescent="0.25">
      <c r="A171" t="s">
        <v>113</v>
      </c>
      <c r="B171" t="s">
        <v>114</v>
      </c>
      <c r="C171">
        <v>1963</v>
      </c>
      <c r="D171">
        <v>189825228</v>
      </c>
    </row>
    <row r="172" spans="1:4" x14ac:dyDescent="0.25">
      <c r="A172" t="s">
        <v>113</v>
      </c>
      <c r="B172" t="s">
        <v>114</v>
      </c>
      <c r="C172">
        <v>1964</v>
      </c>
      <c r="D172">
        <v>192819456</v>
      </c>
    </row>
    <row r="173" spans="1:4" x14ac:dyDescent="0.25">
      <c r="A173" t="s">
        <v>113</v>
      </c>
      <c r="B173" t="s">
        <v>114</v>
      </c>
      <c r="C173">
        <v>1965</v>
      </c>
      <c r="D173">
        <v>195653775</v>
      </c>
    </row>
    <row r="174" spans="1:4" x14ac:dyDescent="0.25">
      <c r="A174" t="s">
        <v>113</v>
      </c>
      <c r="B174" t="s">
        <v>114</v>
      </c>
      <c r="C174">
        <v>1966</v>
      </c>
      <c r="D174">
        <v>198265397</v>
      </c>
    </row>
    <row r="175" spans="1:4" x14ac:dyDescent="0.25">
      <c r="A175" t="s">
        <v>113</v>
      </c>
      <c r="B175" t="s">
        <v>114</v>
      </c>
      <c r="C175">
        <v>1967</v>
      </c>
      <c r="D175">
        <v>200699913</v>
      </c>
    </row>
    <row r="176" spans="1:4" x14ac:dyDescent="0.25">
      <c r="A176" t="s">
        <v>113</v>
      </c>
      <c r="B176" t="s">
        <v>114</v>
      </c>
      <c r="C176">
        <v>1968</v>
      </c>
      <c r="D176">
        <v>203011021</v>
      </c>
    </row>
    <row r="177" spans="1:4" x14ac:dyDescent="0.25">
      <c r="A177" t="s">
        <v>113</v>
      </c>
      <c r="B177" t="s">
        <v>114</v>
      </c>
      <c r="C177">
        <v>1969</v>
      </c>
      <c r="D177">
        <v>205300032</v>
      </c>
    </row>
    <row r="178" spans="1:4" x14ac:dyDescent="0.25">
      <c r="A178" t="s">
        <v>113</v>
      </c>
      <c r="B178" t="s">
        <v>114</v>
      </c>
      <c r="C178">
        <v>1970</v>
      </c>
      <c r="D178">
        <v>207796339</v>
      </c>
    </row>
    <row r="179" spans="1:4" x14ac:dyDescent="0.25">
      <c r="A179" t="s">
        <v>113</v>
      </c>
      <c r="B179" t="s">
        <v>114</v>
      </c>
      <c r="C179">
        <v>1971</v>
      </c>
      <c r="D179">
        <v>210426424</v>
      </c>
    </row>
    <row r="180" spans="1:4" x14ac:dyDescent="0.25">
      <c r="A180" t="s">
        <v>113</v>
      </c>
      <c r="B180" t="s">
        <v>114</v>
      </c>
      <c r="C180">
        <v>1972</v>
      </c>
      <c r="D180">
        <v>212842574</v>
      </c>
    </row>
    <row r="181" spans="1:4" x14ac:dyDescent="0.25">
      <c r="A181" t="s">
        <v>113</v>
      </c>
      <c r="B181" t="s">
        <v>114</v>
      </c>
      <c r="C181">
        <v>1973</v>
      </c>
      <c r="D181">
        <v>215006548</v>
      </c>
    </row>
    <row r="182" spans="1:4" x14ac:dyDescent="0.25">
      <c r="A182" t="s">
        <v>113</v>
      </c>
      <c r="B182" t="s">
        <v>114</v>
      </c>
      <c r="C182">
        <v>1974</v>
      </c>
      <c r="D182">
        <v>217076474</v>
      </c>
    </row>
    <row r="183" spans="1:4" x14ac:dyDescent="0.25">
      <c r="A183" t="s">
        <v>113</v>
      </c>
      <c r="B183" t="s">
        <v>114</v>
      </c>
      <c r="C183">
        <v>1975</v>
      </c>
      <c r="D183">
        <v>219129300</v>
      </c>
    </row>
    <row r="184" spans="1:4" x14ac:dyDescent="0.25">
      <c r="A184" t="s">
        <v>113</v>
      </c>
      <c r="B184" t="s">
        <v>114</v>
      </c>
      <c r="C184">
        <v>1976</v>
      </c>
      <c r="D184">
        <v>221168756</v>
      </c>
    </row>
    <row r="185" spans="1:4" x14ac:dyDescent="0.25">
      <c r="A185" t="s">
        <v>113</v>
      </c>
      <c r="B185" t="s">
        <v>114</v>
      </c>
      <c r="C185">
        <v>1977</v>
      </c>
      <c r="D185">
        <v>223259417</v>
      </c>
    </row>
    <row r="186" spans="1:4" x14ac:dyDescent="0.25">
      <c r="A186" t="s">
        <v>113</v>
      </c>
      <c r="B186" t="s">
        <v>114</v>
      </c>
      <c r="C186">
        <v>1978</v>
      </c>
      <c r="D186">
        <v>225396098</v>
      </c>
    </row>
    <row r="187" spans="1:4" x14ac:dyDescent="0.25">
      <c r="A187" t="s">
        <v>113</v>
      </c>
      <c r="B187" t="s">
        <v>114</v>
      </c>
      <c r="C187">
        <v>1979</v>
      </c>
      <c r="D187">
        <v>227575083</v>
      </c>
    </row>
    <row r="188" spans="1:4" x14ac:dyDescent="0.25">
      <c r="A188" t="s">
        <v>113</v>
      </c>
      <c r="B188" t="s">
        <v>114</v>
      </c>
      <c r="C188">
        <v>1980</v>
      </c>
      <c r="D188">
        <v>229858654</v>
      </c>
    </row>
    <row r="189" spans="1:4" x14ac:dyDescent="0.25">
      <c r="A189" t="s">
        <v>113</v>
      </c>
      <c r="B189" t="s">
        <v>114</v>
      </c>
      <c r="C189">
        <v>1981</v>
      </c>
      <c r="D189">
        <v>232201613</v>
      </c>
    </row>
    <row r="190" spans="1:4" x14ac:dyDescent="0.25">
      <c r="A190" t="s">
        <v>113</v>
      </c>
      <c r="B190" t="s">
        <v>114</v>
      </c>
      <c r="C190">
        <v>1982</v>
      </c>
      <c r="D190">
        <v>234583158</v>
      </c>
    </row>
    <row r="191" spans="1:4" x14ac:dyDescent="0.25">
      <c r="A191" t="s">
        <v>113</v>
      </c>
      <c r="B191" t="s">
        <v>114</v>
      </c>
      <c r="C191">
        <v>1983</v>
      </c>
      <c r="D191">
        <v>236986362</v>
      </c>
    </row>
    <row r="192" spans="1:4" x14ac:dyDescent="0.25">
      <c r="A192" t="s">
        <v>113</v>
      </c>
      <c r="B192" t="s">
        <v>114</v>
      </c>
      <c r="C192">
        <v>1984</v>
      </c>
      <c r="D192">
        <v>239353968</v>
      </c>
    </row>
    <row r="193" spans="1:4" x14ac:dyDescent="0.25">
      <c r="A193" t="s">
        <v>113</v>
      </c>
      <c r="B193" t="s">
        <v>114</v>
      </c>
      <c r="C193">
        <v>1985</v>
      </c>
      <c r="D193">
        <v>241690439</v>
      </c>
    </row>
    <row r="194" spans="1:4" x14ac:dyDescent="0.25">
      <c r="A194" t="s">
        <v>113</v>
      </c>
      <c r="B194" t="s">
        <v>114</v>
      </c>
      <c r="C194">
        <v>1986</v>
      </c>
      <c r="D194">
        <v>243953810</v>
      </c>
    </row>
    <row r="195" spans="1:4" x14ac:dyDescent="0.25">
      <c r="A195" t="s">
        <v>113</v>
      </c>
      <c r="B195" t="s">
        <v>114</v>
      </c>
      <c r="C195">
        <v>1987</v>
      </c>
      <c r="D195">
        <v>246161292</v>
      </c>
    </row>
    <row r="196" spans="1:4" x14ac:dyDescent="0.25">
      <c r="A196" t="s">
        <v>113</v>
      </c>
      <c r="B196" t="s">
        <v>114</v>
      </c>
      <c r="C196">
        <v>1988</v>
      </c>
      <c r="D196">
        <v>248393235</v>
      </c>
    </row>
    <row r="197" spans="1:4" x14ac:dyDescent="0.25">
      <c r="A197" t="s">
        <v>113</v>
      </c>
      <c r="B197" t="s">
        <v>114</v>
      </c>
      <c r="C197">
        <v>1989</v>
      </c>
      <c r="D197">
        <v>250675047</v>
      </c>
    </row>
    <row r="198" spans="1:4" x14ac:dyDescent="0.25">
      <c r="A198" t="s">
        <v>113</v>
      </c>
      <c r="B198" t="s">
        <v>114</v>
      </c>
      <c r="C198">
        <v>1990</v>
      </c>
      <c r="D198">
        <v>253373385</v>
      </c>
    </row>
    <row r="199" spans="1:4" x14ac:dyDescent="0.25">
      <c r="A199" t="s">
        <v>113</v>
      </c>
      <c r="B199" t="s">
        <v>114</v>
      </c>
      <c r="C199">
        <v>1991</v>
      </c>
      <c r="D199">
        <v>256471425</v>
      </c>
    </row>
    <row r="200" spans="1:4" x14ac:dyDescent="0.25">
      <c r="A200" t="s">
        <v>113</v>
      </c>
      <c r="B200" t="s">
        <v>114</v>
      </c>
      <c r="C200">
        <v>1992</v>
      </c>
      <c r="D200">
        <v>259606020</v>
      </c>
    </row>
    <row r="201" spans="1:4" x14ac:dyDescent="0.25">
      <c r="A201" t="s">
        <v>113</v>
      </c>
      <c r="B201" t="s">
        <v>114</v>
      </c>
      <c r="C201">
        <v>1993</v>
      </c>
      <c r="D201">
        <v>262633235</v>
      </c>
    </row>
    <row r="202" spans="1:4" x14ac:dyDescent="0.25">
      <c r="A202" t="s">
        <v>113</v>
      </c>
      <c r="B202" t="s">
        <v>114</v>
      </c>
      <c r="C202">
        <v>1994</v>
      </c>
      <c r="D202">
        <v>265474811</v>
      </c>
    </row>
    <row r="203" spans="1:4" x14ac:dyDescent="0.25">
      <c r="A203" t="s">
        <v>113</v>
      </c>
      <c r="B203" t="s">
        <v>114</v>
      </c>
      <c r="C203">
        <v>1995</v>
      </c>
      <c r="D203">
        <v>268205794</v>
      </c>
    </row>
    <row r="204" spans="1:4" x14ac:dyDescent="0.25">
      <c r="A204" t="s">
        <v>113</v>
      </c>
      <c r="B204" t="s">
        <v>114</v>
      </c>
      <c r="C204">
        <v>1996</v>
      </c>
      <c r="D204">
        <v>270860696</v>
      </c>
    </row>
    <row r="205" spans="1:4" x14ac:dyDescent="0.25">
      <c r="A205" t="s">
        <v>113</v>
      </c>
      <c r="B205" t="s">
        <v>114</v>
      </c>
      <c r="C205">
        <v>1997</v>
      </c>
      <c r="D205">
        <v>273468014</v>
      </c>
    </row>
    <row r="206" spans="1:4" x14ac:dyDescent="0.25">
      <c r="A206" t="s">
        <v>113</v>
      </c>
      <c r="B206" t="s">
        <v>114</v>
      </c>
      <c r="C206">
        <v>1998</v>
      </c>
      <c r="D206">
        <v>276119323</v>
      </c>
    </row>
    <row r="207" spans="1:4" x14ac:dyDescent="0.25">
      <c r="A207" t="s">
        <v>113</v>
      </c>
      <c r="B207" t="s">
        <v>114</v>
      </c>
      <c r="C207">
        <v>1999</v>
      </c>
      <c r="D207">
        <v>278785482</v>
      </c>
    </row>
    <row r="208" spans="1:4" x14ac:dyDescent="0.25">
      <c r="A208" t="s">
        <v>113</v>
      </c>
      <c r="B208" t="s">
        <v>114</v>
      </c>
      <c r="C208">
        <v>2000</v>
      </c>
      <c r="D208">
        <v>281484127</v>
      </c>
    </row>
    <row r="209" spans="1:4" x14ac:dyDescent="0.25">
      <c r="A209" t="s">
        <v>113</v>
      </c>
      <c r="B209" t="s">
        <v>114</v>
      </c>
      <c r="C209">
        <v>2001</v>
      </c>
      <c r="D209">
        <v>284279629</v>
      </c>
    </row>
    <row r="210" spans="1:4" x14ac:dyDescent="0.25">
      <c r="A210" t="s">
        <v>113</v>
      </c>
      <c r="B210" t="s">
        <v>114</v>
      </c>
      <c r="C210">
        <v>2002</v>
      </c>
      <c r="D210">
        <v>287084336</v>
      </c>
    </row>
    <row r="211" spans="1:4" x14ac:dyDescent="0.25">
      <c r="A211" t="s">
        <v>113</v>
      </c>
      <c r="B211" t="s">
        <v>114</v>
      </c>
      <c r="C211">
        <v>2003</v>
      </c>
      <c r="D211">
        <v>289908091</v>
      </c>
    </row>
    <row r="212" spans="1:4" x14ac:dyDescent="0.25">
      <c r="A212" t="s">
        <v>113</v>
      </c>
      <c r="B212" t="s">
        <v>114</v>
      </c>
      <c r="C212">
        <v>2004</v>
      </c>
      <c r="D212">
        <v>292786247</v>
      </c>
    </row>
    <row r="213" spans="1:4" x14ac:dyDescent="0.25">
      <c r="A213" t="s">
        <v>113</v>
      </c>
      <c r="B213" t="s">
        <v>114</v>
      </c>
      <c r="C213">
        <v>2005</v>
      </c>
      <c r="D213">
        <v>295716665</v>
      </c>
    </row>
    <row r="214" spans="1:4" x14ac:dyDescent="0.25">
      <c r="A214" t="s">
        <v>113</v>
      </c>
      <c r="B214" t="s">
        <v>114</v>
      </c>
      <c r="C214">
        <v>2006</v>
      </c>
      <c r="D214">
        <v>298730210</v>
      </c>
    </row>
    <row r="215" spans="1:4" x14ac:dyDescent="0.25">
      <c r="A215" t="s">
        <v>113</v>
      </c>
      <c r="B215" t="s">
        <v>114</v>
      </c>
      <c r="C215">
        <v>2007</v>
      </c>
      <c r="D215">
        <v>301844227</v>
      </c>
    </row>
    <row r="216" spans="1:4" x14ac:dyDescent="0.25">
      <c r="A216" t="s">
        <v>113</v>
      </c>
      <c r="B216" t="s">
        <v>114</v>
      </c>
      <c r="C216">
        <v>2008</v>
      </c>
      <c r="D216">
        <v>304970328</v>
      </c>
    </row>
    <row r="217" spans="1:4" x14ac:dyDescent="0.25">
      <c r="A217" t="s">
        <v>113</v>
      </c>
      <c r="B217" t="s">
        <v>114</v>
      </c>
      <c r="C217">
        <v>2009</v>
      </c>
      <c r="D217">
        <v>308023451</v>
      </c>
    </row>
    <row r="218" spans="1:4" x14ac:dyDescent="0.25">
      <c r="A218" t="s">
        <v>113</v>
      </c>
      <c r="B218" t="s">
        <v>114</v>
      </c>
      <c r="C218">
        <v>2010</v>
      </c>
      <c r="D218">
        <v>311062786</v>
      </c>
    </row>
    <row r="219" spans="1:4" x14ac:dyDescent="0.25">
      <c r="A219" t="s">
        <v>113</v>
      </c>
      <c r="B219" t="s">
        <v>114</v>
      </c>
      <c r="C219">
        <v>2011</v>
      </c>
      <c r="D219">
        <v>314105078</v>
      </c>
    </row>
    <row r="220" spans="1:4" x14ac:dyDescent="0.25">
      <c r="A220" t="s">
        <v>113</v>
      </c>
      <c r="B220" t="s">
        <v>114</v>
      </c>
      <c r="C220">
        <v>2012</v>
      </c>
      <c r="D220">
        <v>317115348</v>
      </c>
    </row>
    <row r="221" spans="1:4" x14ac:dyDescent="0.25">
      <c r="A221" t="s">
        <v>113</v>
      </c>
      <c r="B221" t="s">
        <v>114</v>
      </c>
      <c r="C221">
        <v>2013</v>
      </c>
      <c r="D221">
        <v>320110753</v>
      </c>
    </row>
    <row r="222" spans="1:4" x14ac:dyDescent="0.25">
      <c r="A222" t="s">
        <v>113</v>
      </c>
      <c r="B222" t="s">
        <v>114</v>
      </c>
      <c r="C222">
        <v>2014</v>
      </c>
      <c r="D222">
        <v>323115378</v>
      </c>
    </row>
    <row r="223" spans="1:4" x14ac:dyDescent="0.25">
      <c r="A223" t="s">
        <v>113</v>
      </c>
      <c r="B223" t="s">
        <v>114</v>
      </c>
      <c r="C223">
        <v>2015</v>
      </c>
      <c r="D223">
        <v>326126498</v>
      </c>
    </row>
    <row r="224" spans="1:4" x14ac:dyDescent="0.25">
      <c r="A224" t="s">
        <v>113</v>
      </c>
      <c r="B224" t="s">
        <v>114</v>
      </c>
      <c r="C224">
        <v>2016</v>
      </c>
      <c r="D224">
        <v>329179421</v>
      </c>
    </row>
    <row r="225" spans="1:4" x14ac:dyDescent="0.25">
      <c r="A225" t="s">
        <v>113</v>
      </c>
      <c r="B225" t="s">
        <v>114</v>
      </c>
      <c r="C225">
        <v>2017</v>
      </c>
      <c r="D225">
        <v>332204656</v>
      </c>
    </row>
    <row r="226" spans="1:4" x14ac:dyDescent="0.25">
      <c r="A226" t="s">
        <v>113</v>
      </c>
      <c r="B226" t="s">
        <v>114</v>
      </c>
      <c r="C226">
        <v>2018</v>
      </c>
      <c r="D226">
        <v>335056495</v>
      </c>
    </row>
    <row r="227" spans="1:4" x14ac:dyDescent="0.25">
      <c r="A227" t="s">
        <v>113</v>
      </c>
      <c r="B227" t="s">
        <v>114</v>
      </c>
      <c r="C227">
        <v>2019</v>
      </c>
      <c r="D227">
        <v>337790068</v>
      </c>
    </row>
    <row r="228" spans="1:4" x14ac:dyDescent="0.25">
      <c r="A228" t="s">
        <v>113</v>
      </c>
      <c r="B228" t="s">
        <v>114</v>
      </c>
      <c r="C228">
        <v>2020</v>
      </c>
      <c r="D228">
        <v>339436157</v>
      </c>
    </row>
    <row r="229" spans="1:4" x14ac:dyDescent="0.25">
      <c r="A229" t="s">
        <v>113</v>
      </c>
      <c r="B229" t="s">
        <v>114</v>
      </c>
      <c r="C229">
        <v>2021</v>
      </c>
      <c r="D229">
        <v>340161441</v>
      </c>
    </row>
    <row r="230" spans="1:4" x14ac:dyDescent="0.25">
      <c r="A230" t="s">
        <v>113</v>
      </c>
      <c r="B230" t="s">
        <v>114</v>
      </c>
      <c r="C230">
        <v>2022</v>
      </c>
      <c r="D230">
        <v>341534041</v>
      </c>
    </row>
    <row r="231" spans="1:4" x14ac:dyDescent="0.25">
      <c r="A231" t="s">
        <v>113</v>
      </c>
      <c r="B231" t="s">
        <v>114</v>
      </c>
      <c r="C231">
        <v>2023</v>
      </c>
      <c r="D231">
        <v>343477332</v>
      </c>
    </row>
    <row r="232" spans="1:4" x14ac:dyDescent="0.25">
      <c r="A232" t="s">
        <v>115</v>
      </c>
      <c r="B232" t="s">
        <v>116</v>
      </c>
      <c r="C232">
        <v>1910</v>
      </c>
      <c r="D232">
        <v>1800219392</v>
      </c>
    </row>
    <row r="233" spans="1:4" x14ac:dyDescent="0.25">
      <c r="A233" t="s">
        <v>115</v>
      </c>
      <c r="B233" t="s">
        <v>116</v>
      </c>
      <c r="C233">
        <v>1920</v>
      </c>
      <c r="D233">
        <v>1927857152</v>
      </c>
    </row>
    <row r="234" spans="1:4" x14ac:dyDescent="0.25">
      <c r="A234" t="s">
        <v>115</v>
      </c>
      <c r="B234" t="s">
        <v>116</v>
      </c>
      <c r="C234">
        <v>1930</v>
      </c>
      <c r="D234">
        <v>2106406144</v>
      </c>
    </row>
    <row r="235" spans="1:4" x14ac:dyDescent="0.25">
      <c r="A235" t="s">
        <v>115</v>
      </c>
      <c r="B235" t="s">
        <v>116</v>
      </c>
      <c r="C235">
        <v>1940</v>
      </c>
      <c r="D235">
        <v>2328460032</v>
      </c>
    </row>
    <row r="236" spans="1:4" x14ac:dyDescent="0.25">
      <c r="A236" t="s">
        <v>115</v>
      </c>
      <c r="B236" t="s">
        <v>116</v>
      </c>
      <c r="C236">
        <v>1950</v>
      </c>
      <c r="D236">
        <v>2493092843</v>
      </c>
    </row>
    <row r="237" spans="1:4" x14ac:dyDescent="0.25">
      <c r="A237" t="s">
        <v>115</v>
      </c>
      <c r="B237" t="s">
        <v>116</v>
      </c>
      <c r="C237">
        <v>1951</v>
      </c>
      <c r="D237">
        <v>2536927039</v>
      </c>
    </row>
    <row r="238" spans="1:4" x14ac:dyDescent="0.25">
      <c r="A238" t="s">
        <v>115</v>
      </c>
      <c r="B238" t="s">
        <v>116</v>
      </c>
      <c r="C238">
        <v>1952</v>
      </c>
      <c r="D238">
        <v>2584086332</v>
      </c>
    </row>
    <row r="239" spans="1:4" x14ac:dyDescent="0.25">
      <c r="A239" t="s">
        <v>115</v>
      </c>
      <c r="B239" t="s">
        <v>116</v>
      </c>
      <c r="C239">
        <v>1953</v>
      </c>
      <c r="D239">
        <v>2634106246</v>
      </c>
    </row>
    <row r="240" spans="1:4" x14ac:dyDescent="0.25">
      <c r="A240" t="s">
        <v>115</v>
      </c>
      <c r="B240" t="s">
        <v>116</v>
      </c>
      <c r="C240">
        <v>1954</v>
      </c>
      <c r="D240">
        <v>2685894869</v>
      </c>
    </row>
    <row r="241" spans="1:4" x14ac:dyDescent="0.25">
      <c r="A241" t="s">
        <v>115</v>
      </c>
      <c r="B241" t="s">
        <v>116</v>
      </c>
      <c r="C241">
        <v>1955</v>
      </c>
      <c r="D241">
        <v>2740213784</v>
      </c>
    </row>
    <row r="242" spans="1:4" x14ac:dyDescent="0.25">
      <c r="A242" t="s">
        <v>115</v>
      </c>
      <c r="B242" t="s">
        <v>116</v>
      </c>
      <c r="C242">
        <v>1956</v>
      </c>
      <c r="D242">
        <v>2795409978</v>
      </c>
    </row>
    <row r="243" spans="1:4" x14ac:dyDescent="0.25">
      <c r="A243" t="s">
        <v>115</v>
      </c>
      <c r="B243" t="s">
        <v>116</v>
      </c>
      <c r="C243">
        <v>1957</v>
      </c>
      <c r="D243">
        <v>2852618346</v>
      </c>
    </row>
    <row r="244" spans="1:4" x14ac:dyDescent="0.25">
      <c r="A244" t="s">
        <v>115</v>
      </c>
      <c r="B244" t="s">
        <v>116</v>
      </c>
      <c r="C244">
        <v>1958</v>
      </c>
      <c r="D244">
        <v>2911249658</v>
      </c>
    </row>
    <row r="245" spans="1:4" x14ac:dyDescent="0.25">
      <c r="A245" t="s">
        <v>115</v>
      </c>
      <c r="B245" t="s">
        <v>116</v>
      </c>
      <c r="C245">
        <v>1959</v>
      </c>
      <c r="D245">
        <v>2965950358</v>
      </c>
    </row>
    <row r="246" spans="1:4" x14ac:dyDescent="0.25">
      <c r="A246" t="s">
        <v>115</v>
      </c>
      <c r="B246" t="s">
        <v>116</v>
      </c>
      <c r="C246">
        <v>1960</v>
      </c>
      <c r="D246">
        <v>3015470890</v>
      </c>
    </row>
    <row r="247" spans="1:4" x14ac:dyDescent="0.25">
      <c r="A247" t="s">
        <v>115</v>
      </c>
      <c r="B247" t="s">
        <v>116</v>
      </c>
      <c r="C247">
        <v>1961</v>
      </c>
      <c r="D247">
        <v>3064869656</v>
      </c>
    </row>
    <row r="248" spans="1:4" x14ac:dyDescent="0.25">
      <c r="A248" t="s">
        <v>115</v>
      </c>
      <c r="B248" t="s">
        <v>116</v>
      </c>
      <c r="C248">
        <v>1962</v>
      </c>
      <c r="D248">
        <v>3123374299</v>
      </c>
    </row>
    <row r="249" spans="1:4" x14ac:dyDescent="0.25">
      <c r="A249" t="s">
        <v>115</v>
      </c>
      <c r="B249" t="s">
        <v>116</v>
      </c>
      <c r="C249">
        <v>1963</v>
      </c>
      <c r="D249">
        <v>3192807820</v>
      </c>
    </row>
    <row r="250" spans="1:4" x14ac:dyDescent="0.25">
      <c r="A250" t="s">
        <v>115</v>
      </c>
      <c r="B250" t="s">
        <v>116</v>
      </c>
      <c r="C250">
        <v>1964</v>
      </c>
      <c r="D250">
        <v>3264487340</v>
      </c>
    </row>
    <row r="251" spans="1:4" x14ac:dyDescent="0.25">
      <c r="A251" t="s">
        <v>115</v>
      </c>
      <c r="B251" t="s">
        <v>116</v>
      </c>
      <c r="C251">
        <v>1965</v>
      </c>
      <c r="D251">
        <v>3334533717</v>
      </c>
    </row>
    <row r="252" spans="1:4" x14ac:dyDescent="0.25">
      <c r="A252" t="s">
        <v>115</v>
      </c>
      <c r="B252" t="s">
        <v>116</v>
      </c>
      <c r="C252">
        <v>1966</v>
      </c>
      <c r="D252">
        <v>3404041107</v>
      </c>
    </row>
    <row r="253" spans="1:4" x14ac:dyDescent="0.25">
      <c r="A253" t="s">
        <v>115</v>
      </c>
      <c r="B253" t="s">
        <v>116</v>
      </c>
      <c r="C253">
        <v>1967</v>
      </c>
      <c r="D253">
        <v>3473412894</v>
      </c>
    </row>
    <row r="254" spans="1:4" x14ac:dyDescent="0.25">
      <c r="A254" t="s">
        <v>115</v>
      </c>
      <c r="B254" t="s">
        <v>116</v>
      </c>
      <c r="C254">
        <v>1968</v>
      </c>
      <c r="D254">
        <v>3545187239</v>
      </c>
    </row>
    <row r="255" spans="1:4" x14ac:dyDescent="0.25">
      <c r="A255" t="s">
        <v>115</v>
      </c>
      <c r="B255" t="s">
        <v>116</v>
      </c>
      <c r="C255">
        <v>1969</v>
      </c>
      <c r="D255">
        <v>3619491592</v>
      </c>
    </row>
    <row r="256" spans="1:4" x14ac:dyDescent="0.25">
      <c r="A256" t="s">
        <v>115</v>
      </c>
      <c r="B256" t="s">
        <v>116</v>
      </c>
      <c r="C256">
        <v>1970</v>
      </c>
      <c r="D256">
        <v>3694683801</v>
      </c>
    </row>
    <row r="257" spans="1:4" x14ac:dyDescent="0.25">
      <c r="A257" t="s">
        <v>115</v>
      </c>
      <c r="B257" t="s">
        <v>116</v>
      </c>
      <c r="C257">
        <v>1971</v>
      </c>
      <c r="D257">
        <v>3769847834</v>
      </c>
    </row>
    <row r="258" spans="1:4" x14ac:dyDescent="0.25">
      <c r="A258" t="s">
        <v>115</v>
      </c>
      <c r="B258" t="s">
        <v>116</v>
      </c>
      <c r="C258">
        <v>1972</v>
      </c>
      <c r="D258">
        <v>3844917687</v>
      </c>
    </row>
    <row r="259" spans="1:4" x14ac:dyDescent="0.25">
      <c r="A259" t="s">
        <v>115</v>
      </c>
      <c r="B259" t="s">
        <v>116</v>
      </c>
      <c r="C259">
        <v>1973</v>
      </c>
      <c r="D259">
        <v>3920805030</v>
      </c>
    </row>
    <row r="260" spans="1:4" x14ac:dyDescent="0.25">
      <c r="A260" t="s">
        <v>115</v>
      </c>
      <c r="B260" t="s">
        <v>116</v>
      </c>
      <c r="C260">
        <v>1974</v>
      </c>
      <c r="D260">
        <v>3996416108</v>
      </c>
    </row>
    <row r="261" spans="1:4" x14ac:dyDescent="0.25">
      <c r="A261" t="s">
        <v>115</v>
      </c>
      <c r="B261" t="s">
        <v>116</v>
      </c>
      <c r="C261">
        <v>1975</v>
      </c>
      <c r="D261">
        <v>4070735264</v>
      </c>
    </row>
    <row r="262" spans="1:4" x14ac:dyDescent="0.25">
      <c r="A262" t="s">
        <v>115</v>
      </c>
      <c r="B262" t="s">
        <v>116</v>
      </c>
      <c r="C262">
        <v>1976</v>
      </c>
      <c r="D262">
        <v>4144246391</v>
      </c>
    </row>
    <row r="263" spans="1:4" x14ac:dyDescent="0.25">
      <c r="A263" t="s">
        <v>115</v>
      </c>
      <c r="B263" t="s">
        <v>116</v>
      </c>
      <c r="C263">
        <v>1977</v>
      </c>
      <c r="D263">
        <v>4217863819</v>
      </c>
    </row>
    <row r="264" spans="1:4" x14ac:dyDescent="0.25">
      <c r="A264" t="s">
        <v>115</v>
      </c>
      <c r="B264" t="s">
        <v>116</v>
      </c>
      <c r="C264">
        <v>1978</v>
      </c>
      <c r="D264">
        <v>4292097508</v>
      </c>
    </row>
    <row r="265" spans="1:4" x14ac:dyDescent="0.25">
      <c r="A265" t="s">
        <v>115</v>
      </c>
      <c r="B265" t="s">
        <v>116</v>
      </c>
      <c r="C265">
        <v>1979</v>
      </c>
      <c r="D265">
        <v>4368539472</v>
      </c>
    </row>
    <row r="266" spans="1:4" x14ac:dyDescent="0.25">
      <c r="A266" t="s">
        <v>115</v>
      </c>
      <c r="B266" t="s">
        <v>116</v>
      </c>
      <c r="C266">
        <v>1980</v>
      </c>
      <c r="D266">
        <v>4447606208</v>
      </c>
    </row>
    <row r="267" spans="1:4" x14ac:dyDescent="0.25">
      <c r="A267" t="s">
        <v>115</v>
      </c>
      <c r="B267" t="s">
        <v>116</v>
      </c>
      <c r="C267">
        <v>1981</v>
      </c>
      <c r="D267">
        <v>4528777285</v>
      </c>
    </row>
    <row r="268" spans="1:4" x14ac:dyDescent="0.25">
      <c r="A268" t="s">
        <v>115</v>
      </c>
      <c r="B268" t="s">
        <v>116</v>
      </c>
      <c r="C268">
        <v>1982</v>
      </c>
      <c r="D268">
        <v>4612673436</v>
      </c>
    </row>
    <row r="269" spans="1:4" x14ac:dyDescent="0.25">
      <c r="A269" t="s">
        <v>115</v>
      </c>
      <c r="B269" t="s">
        <v>116</v>
      </c>
      <c r="C269">
        <v>1983</v>
      </c>
      <c r="D269">
        <v>4697327604</v>
      </c>
    </row>
    <row r="270" spans="1:4" x14ac:dyDescent="0.25">
      <c r="A270" t="s">
        <v>115</v>
      </c>
      <c r="B270" t="s">
        <v>116</v>
      </c>
      <c r="C270">
        <v>1984</v>
      </c>
      <c r="D270">
        <v>4782175500</v>
      </c>
    </row>
    <row r="271" spans="1:4" x14ac:dyDescent="0.25">
      <c r="A271" t="s">
        <v>115</v>
      </c>
      <c r="B271" t="s">
        <v>116</v>
      </c>
      <c r="C271">
        <v>1985</v>
      </c>
      <c r="D271">
        <v>4868943460</v>
      </c>
    </row>
    <row r="272" spans="1:4" x14ac:dyDescent="0.25">
      <c r="A272" t="s">
        <v>115</v>
      </c>
      <c r="B272" t="s">
        <v>116</v>
      </c>
      <c r="C272">
        <v>1986</v>
      </c>
      <c r="D272">
        <v>4958072822</v>
      </c>
    </row>
    <row r="273" spans="1:4" x14ac:dyDescent="0.25">
      <c r="A273" t="s">
        <v>115</v>
      </c>
      <c r="B273" t="s">
        <v>116</v>
      </c>
      <c r="C273">
        <v>1987</v>
      </c>
      <c r="D273">
        <v>5049746378</v>
      </c>
    </row>
    <row r="274" spans="1:4" x14ac:dyDescent="0.25">
      <c r="A274" t="s">
        <v>115</v>
      </c>
      <c r="B274" t="s">
        <v>116</v>
      </c>
      <c r="C274">
        <v>1988</v>
      </c>
      <c r="D274">
        <v>5141992550</v>
      </c>
    </row>
    <row r="275" spans="1:4" x14ac:dyDescent="0.25">
      <c r="A275" t="s">
        <v>115</v>
      </c>
      <c r="B275" t="s">
        <v>116</v>
      </c>
      <c r="C275">
        <v>1989</v>
      </c>
      <c r="D275">
        <v>5234431714</v>
      </c>
    </row>
    <row r="276" spans="1:4" x14ac:dyDescent="0.25">
      <c r="A276" t="s">
        <v>115</v>
      </c>
      <c r="B276" t="s">
        <v>116</v>
      </c>
      <c r="C276">
        <v>1990</v>
      </c>
      <c r="D276">
        <v>5327803075</v>
      </c>
    </row>
    <row r="277" spans="1:4" x14ac:dyDescent="0.25">
      <c r="A277" t="s">
        <v>115</v>
      </c>
      <c r="B277" t="s">
        <v>116</v>
      </c>
      <c r="C277">
        <v>1991</v>
      </c>
      <c r="D277">
        <v>5418735879</v>
      </c>
    </row>
    <row r="278" spans="1:4" x14ac:dyDescent="0.25">
      <c r="A278" t="s">
        <v>115</v>
      </c>
      <c r="B278" t="s">
        <v>116</v>
      </c>
      <c r="C278">
        <v>1992</v>
      </c>
      <c r="D278">
        <v>5505989821</v>
      </c>
    </row>
    <row r="279" spans="1:4" x14ac:dyDescent="0.25">
      <c r="A279" t="s">
        <v>115</v>
      </c>
      <c r="B279" t="s">
        <v>116</v>
      </c>
      <c r="C279">
        <v>1993</v>
      </c>
      <c r="D279">
        <v>5591544841</v>
      </c>
    </row>
    <row r="280" spans="1:4" x14ac:dyDescent="0.25">
      <c r="A280" t="s">
        <v>115</v>
      </c>
      <c r="B280" t="s">
        <v>116</v>
      </c>
      <c r="C280">
        <v>1994</v>
      </c>
      <c r="D280">
        <v>5675551281</v>
      </c>
    </row>
    <row r="281" spans="1:4" x14ac:dyDescent="0.25">
      <c r="A281" t="s">
        <v>115</v>
      </c>
      <c r="B281" t="s">
        <v>116</v>
      </c>
      <c r="C281">
        <v>1995</v>
      </c>
      <c r="D281">
        <v>5758878997</v>
      </c>
    </row>
    <row r="282" spans="1:4" x14ac:dyDescent="0.25">
      <c r="A282" t="s">
        <v>115</v>
      </c>
      <c r="B282" t="s">
        <v>116</v>
      </c>
      <c r="C282">
        <v>1996</v>
      </c>
      <c r="D282">
        <v>5842055726</v>
      </c>
    </row>
    <row r="283" spans="1:4" x14ac:dyDescent="0.25">
      <c r="A283" t="s">
        <v>115</v>
      </c>
      <c r="B283" t="s">
        <v>116</v>
      </c>
      <c r="C283">
        <v>1997</v>
      </c>
      <c r="D283">
        <v>5924787787</v>
      </c>
    </row>
    <row r="284" spans="1:4" x14ac:dyDescent="0.25">
      <c r="A284" t="s">
        <v>115</v>
      </c>
      <c r="B284" t="s">
        <v>116</v>
      </c>
      <c r="C284">
        <v>1998</v>
      </c>
      <c r="D284">
        <v>6007066714</v>
      </c>
    </row>
    <row r="285" spans="1:4" x14ac:dyDescent="0.25">
      <c r="A285" t="s">
        <v>115</v>
      </c>
      <c r="B285" t="s">
        <v>116</v>
      </c>
      <c r="C285">
        <v>1999</v>
      </c>
      <c r="D285">
        <v>6089006330</v>
      </c>
    </row>
    <row r="286" spans="1:4" x14ac:dyDescent="0.25">
      <c r="A286" t="s">
        <v>115</v>
      </c>
      <c r="B286" t="s">
        <v>116</v>
      </c>
      <c r="C286">
        <v>2000</v>
      </c>
      <c r="D286">
        <v>6171703018</v>
      </c>
    </row>
    <row r="287" spans="1:4" x14ac:dyDescent="0.25">
      <c r="A287" t="s">
        <v>115</v>
      </c>
      <c r="B287" t="s">
        <v>116</v>
      </c>
      <c r="C287">
        <v>2001</v>
      </c>
      <c r="D287">
        <v>6254936479</v>
      </c>
    </row>
    <row r="288" spans="1:4" x14ac:dyDescent="0.25">
      <c r="A288" t="s">
        <v>115</v>
      </c>
      <c r="B288" t="s">
        <v>116</v>
      </c>
      <c r="C288">
        <v>2002</v>
      </c>
      <c r="D288">
        <v>6337730319</v>
      </c>
    </row>
    <row r="289" spans="1:4" x14ac:dyDescent="0.25">
      <c r="A289" t="s">
        <v>115</v>
      </c>
      <c r="B289" t="s">
        <v>116</v>
      </c>
      <c r="C289">
        <v>2003</v>
      </c>
      <c r="D289">
        <v>6420361649</v>
      </c>
    </row>
    <row r="290" spans="1:4" x14ac:dyDescent="0.25">
      <c r="A290" t="s">
        <v>115</v>
      </c>
      <c r="B290" t="s">
        <v>116</v>
      </c>
      <c r="C290">
        <v>2004</v>
      </c>
      <c r="D290">
        <v>6503377778</v>
      </c>
    </row>
    <row r="291" spans="1:4" x14ac:dyDescent="0.25">
      <c r="A291" t="s">
        <v>115</v>
      </c>
      <c r="B291" t="s">
        <v>116</v>
      </c>
      <c r="C291">
        <v>2005</v>
      </c>
      <c r="D291">
        <v>6586970145</v>
      </c>
    </row>
    <row r="292" spans="1:4" x14ac:dyDescent="0.25">
      <c r="A292" t="s">
        <v>115</v>
      </c>
      <c r="B292" t="s">
        <v>116</v>
      </c>
      <c r="C292">
        <v>2006</v>
      </c>
      <c r="D292">
        <v>6671452018</v>
      </c>
    </row>
    <row r="293" spans="1:4" x14ac:dyDescent="0.25">
      <c r="A293" t="s">
        <v>115</v>
      </c>
      <c r="B293" t="s">
        <v>116</v>
      </c>
      <c r="C293">
        <v>2007</v>
      </c>
      <c r="D293">
        <v>6757308750</v>
      </c>
    </row>
    <row r="294" spans="1:4" x14ac:dyDescent="0.25">
      <c r="A294" t="s">
        <v>115</v>
      </c>
      <c r="B294" t="s">
        <v>116</v>
      </c>
      <c r="C294">
        <v>2008</v>
      </c>
      <c r="D294">
        <v>6844457675</v>
      </c>
    </row>
    <row r="295" spans="1:4" x14ac:dyDescent="0.25">
      <c r="A295" t="s">
        <v>115</v>
      </c>
      <c r="B295" t="s">
        <v>116</v>
      </c>
      <c r="C295">
        <v>2009</v>
      </c>
      <c r="D295">
        <v>6932766459</v>
      </c>
    </row>
    <row r="296" spans="1:4" x14ac:dyDescent="0.25">
      <c r="A296" t="s">
        <v>115</v>
      </c>
      <c r="B296" t="s">
        <v>116</v>
      </c>
      <c r="C296">
        <v>2010</v>
      </c>
      <c r="D296">
        <v>7021732131</v>
      </c>
    </row>
    <row r="297" spans="1:4" x14ac:dyDescent="0.25">
      <c r="A297" t="s">
        <v>115</v>
      </c>
      <c r="B297" t="s">
        <v>116</v>
      </c>
      <c r="C297">
        <v>2011</v>
      </c>
      <c r="D297">
        <v>7110923797</v>
      </c>
    </row>
    <row r="298" spans="1:4" x14ac:dyDescent="0.25">
      <c r="A298" t="s">
        <v>115</v>
      </c>
      <c r="B298" t="s">
        <v>116</v>
      </c>
      <c r="C298">
        <v>2012</v>
      </c>
      <c r="D298">
        <v>7201202531</v>
      </c>
    </row>
    <row r="299" spans="1:4" x14ac:dyDescent="0.25">
      <c r="A299" t="s">
        <v>115</v>
      </c>
      <c r="B299" t="s">
        <v>116</v>
      </c>
      <c r="C299">
        <v>2013</v>
      </c>
      <c r="D299">
        <v>7291793608</v>
      </c>
    </row>
    <row r="300" spans="1:4" x14ac:dyDescent="0.25">
      <c r="A300" t="s">
        <v>115</v>
      </c>
      <c r="B300" t="s">
        <v>116</v>
      </c>
      <c r="C300">
        <v>2014</v>
      </c>
      <c r="D300">
        <v>7381616239</v>
      </c>
    </row>
    <row r="301" spans="1:4" x14ac:dyDescent="0.25">
      <c r="A301" t="s">
        <v>115</v>
      </c>
      <c r="B301" t="s">
        <v>116</v>
      </c>
      <c r="C301">
        <v>2015</v>
      </c>
      <c r="D301">
        <v>7470491904</v>
      </c>
    </row>
    <row r="302" spans="1:4" x14ac:dyDescent="0.25">
      <c r="A302" t="s">
        <v>115</v>
      </c>
      <c r="B302" t="s">
        <v>116</v>
      </c>
      <c r="C302">
        <v>2016</v>
      </c>
      <c r="D302">
        <v>7558554580</v>
      </c>
    </row>
    <row r="303" spans="1:4" x14ac:dyDescent="0.25">
      <c r="A303" t="s">
        <v>115</v>
      </c>
      <c r="B303" t="s">
        <v>116</v>
      </c>
      <c r="C303">
        <v>2017</v>
      </c>
      <c r="D303">
        <v>7645618013</v>
      </c>
    </row>
    <row r="304" spans="1:4" x14ac:dyDescent="0.25">
      <c r="A304" t="s">
        <v>115</v>
      </c>
      <c r="B304" t="s">
        <v>116</v>
      </c>
      <c r="C304">
        <v>2018</v>
      </c>
      <c r="D304">
        <v>7729902724</v>
      </c>
    </row>
    <row r="305" spans="1:4" x14ac:dyDescent="0.25">
      <c r="A305" t="s">
        <v>115</v>
      </c>
      <c r="B305" t="s">
        <v>116</v>
      </c>
      <c r="C305">
        <v>2019</v>
      </c>
      <c r="D305">
        <v>7811293714</v>
      </c>
    </row>
    <row r="306" spans="1:4" x14ac:dyDescent="0.25">
      <c r="A306" t="s">
        <v>115</v>
      </c>
      <c r="B306" t="s">
        <v>116</v>
      </c>
      <c r="C306">
        <v>2020</v>
      </c>
      <c r="D306">
        <v>7887001284</v>
      </c>
    </row>
    <row r="307" spans="1:4" x14ac:dyDescent="0.25">
      <c r="A307" t="s">
        <v>115</v>
      </c>
      <c r="B307" t="s">
        <v>116</v>
      </c>
      <c r="C307">
        <v>2021</v>
      </c>
      <c r="D307">
        <v>7954448405</v>
      </c>
    </row>
    <row r="308" spans="1:4" x14ac:dyDescent="0.25">
      <c r="A308" t="s">
        <v>115</v>
      </c>
      <c r="B308" t="s">
        <v>116</v>
      </c>
      <c r="C308">
        <v>2022</v>
      </c>
      <c r="D308">
        <v>8021407170</v>
      </c>
    </row>
    <row r="309" spans="1:4" x14ac:dyDescent="0.25">
      <c r="A309" t="s">
        <v>115</v>
      </c>
      <c r="B309" t="s">
        <v>116</v>
      </c>
      <c r="C309">
        <v>2023</v>
      </c>
      <c r="D309">
        <v>8091734935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4857-BC00-E24C-B267-722D05F3D567}">
  <dimension ref="A1:AI74"/>
  <sheetViews>
    <sheetView topLeftCell="C1" workbookViewId="0">
      <selection activeCell="F15" sqref="F15"/>
    </sheetView>
  </sheetViews>
  <sheetFormatPr defaultColWidth="11" defaultRowHeight="15.75" x14ac:dyDescent="0.25"/>
  <cols>
    <col min="1" max="1" width="15.5" customWidth="1"/>
    <col min="2" max="2" width="14" customWidth="1"/>
    <col min="3" max="3" width="29" customWidth="1"/>
    <col min="4" max="4" width="19.625" customWidth="1"/>
    <col min="5" max="5" width="11.125" bestFit="1" customWidth="1"/>
    <col min="6" max="6" width="14.5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  <col min="34" max="35" width="12.125" bestFit="1" customWidth="1"/>
  </cols>
  <sheetData>
    <row r="1" spans="1:35" x14ac:dyDescent="0.25">
      <c r="A1" t="s">
        <v>109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  <c r="AI1" t="s">
        <v>150</v>
      </c>
    </row>
    <row r="2" spans="1:35" x14ac:dyDescent="0.25">
      <c r="A2" t="s">
        <v>151</v>
      </c>
    </row>
    <row r="3" spans="1:35" x14ac:dyDescent="0.25">
      <c r="A3" t="s">
        <v>152</v>
      </c>
    </row>
    <row r="4" spans="1:35" x14ac:dyDescent="0.25">
      <c r="A4" t="s">
        <v>153</v>
      </c>
    </row>
    <row r="5" spans="1:35" x14ac:dyDescent="0.25">
      <c r="B5" t="s">
        <v>154</v>
      </c>
      <c r="C5" t="s">
        <v>155</v>
      </c>
    </row>
    <row r="6" spans="1:35" x14ac:dyDescent="0.25">
      <c r="B6" t="s">
        <v>156</v>
      </c>
      <c r="C6" t="s">
        <v>157</v>
      </c>
    </row>
    <row r="8" spans="1:35" x14ac:dyDescent="0.25">
      <c r="B8" t="s">
        <v>158</v>
      </c>
      <c r="C8" t="s">
        <v>159</v>
      </c>
      <c r="D8" t="s">
        <v>160</v>
      </c>
    </row>
    <row r="9" spans="1:35" x14ac:dyDescent="0.25">
      <c r="B9" t="s">
        <v>161</v>
      </c>
      <c r="C9" t="s">
        <v>113</v>
      </c>
      <c r="D9" t="s">
        <v>162</v>
      </c>
    </row>
    <row r="11" spans="1:35" x14ac:dyDescent="0.25">
      <c r="B11" t="s">
        <v>163</v>
      </c>
      <c r="C11" t="s">
        <v>164</v>
      </c>
    </row>
    <row r="13" spans="1:35" x14ac:dyDescent="0.25">
      <c r="F13" t="s">
        <v>165</v>
      </c>
      <c r="I13" t="s">
        <v>166</v>
      </c>
      <c r="L13" t="s">
        <v>167</v>
      </c>
      <c r="O13" t="s">
        <v>167</v>
      </c>
      <c r="R13" t="s">
        <v>167</v>
      </c>
      <c r="U13" t="s">
        <v>167</v>
      </c>
      <c r="X13" t="s">
        <v>167</v>
      </c>
      <c r="AA13" t="s">
        <v>167</v>
      </c>
      <c r="AC13" t="s">
        <v>167</v>
      </c>
      <c r="AE13" t="s">
        <v>167</v>
      </c>
      <c r="AG13" t="s">
        <v>167</v>
      </c>
    </row>
    <row r="14" spans="1:35" x14ac:dyDescent="0.25">
      <c r="B14" t="s">
        <v>168</v>
      </c>
      <c r="C14" s="7" t="s">
        <v>17</v>
      </c>
      <c r="F14" t="s">
        <v>169</v>
      </c>
      <c r="I14" t="s">
        <v>170</v>
      </c>
      <c r="L14" t="s">
        <v>171</v>
      </c>
      <c r="O14" t="s">
        <v>171</v>
      </c>
      <c r="R14" t="s">
        <v>171</v>
      </c>
      <c r="U14" t="s">
        <v>171</v>
      </c>
      <c r="X14" t="s">
        <v>171</v>
      </c>
      <c r="AA14" t="s">
        <v>171</v>
      </c>
      <c r="AC14" t="s">
        <v>171</v>
      </c>
      <c r="AE14" t="s">
        <v>171</v>
      </c>
      <c r="AG14" t="s">
        <v>171</v>
      </c>
    </row>
    <row r="15" spans="1:35" x14ac:dyDescent="0.25">
      <c r="B15" t="s">
        <v>172</v>
      </c>
      <c r="C15" s="7"/>
      <c r="F15" s="7" t="s">
        <v>173</v>
      </c>
      <c r="I15" t="s">
        <v>174</v>
      </c>
      <c r="L15" t="s">
        <v>175</v>
      </c>
      <c r="O15" t="s">
        <v>176</v>
      </c>
      <c r="R15" t="s">
        <v>177</v>
      </c>
      <c r="U15" t="s">
        <v>178</v>
      </c>
      <c r="X15" t="s">
        <v>179</v>
      </c>
      <c r="AA15" t="s">
        <v>180</v>
      </c>
      <c r="AC15" s="7" t="s">
        <v>181</v>
      </c>
      <c r="AE15" t="s">
        <v>182</v>
      </c>
      <c r="AG15" t="s">
        <v>183</v>
      </c>
    </row>
    <row r="16" spans="1:35" x14ac:dyDescent="0.25">
      <c r="B16" t="s">
        <v>184</v>
      </c>
      <c r="C16" s="7"/>
      <c r="F16" t="s">
        <v>185</v>
      </c>
      <c r="I16" t="s">
        <v>185</v>
      </c>
      <c r="L16" t="s">
        <v>186</v>
      </c>
      <c r="O16" t="s">
        <v>187</v>
      </c>
      <c r="R16" t="s">
        <v>188</v>
      </c>
      <c r="U16" t="s">
        <v>188</v>
      </c>
      <c r="X16" t="s">
        <v>188</v>
      </c>
      <c r="AA16" t="s">
        <v>187</v>
      </c>
      <c r="AC16" t="s">
        <v>187</v>
      </c>
      <c r="AE16" t="s">
        <v>189</v>
      </c>
      <c r="AG16" t="s">
        <v>189</v>
      </c>
    </row>
    <row r="17" spans="2:33" x14ac:dyDescent="0.25">
      <c r="B17" t="s">
        <v>190</v>
      </c>
      <c r="C17" s="7"/>
      <c r="F17" t="s">
        <v>191</v>
      </c>
      <c r="I17" t="s">
        <v>191</v>
      </c>
      <c r="L17" t="s">
        <v>191</v>
      </c>
      <c r="O17" t="s">
        <v>191</v>
      </c>
      <c r="R17" t="s">
        <v>191</v>
      </c>
      <c r="U17" t="s">
        <v>191</v>
      </c>
      <c r="X17" t="s">
        <v>191</v>
      </c>
      <c r="AA17" t="s">
        <v>191</v>
      </c>
      <c r="AC17" t="s">
        <v>192</v>
      </c>
      <c r="AE17" t="s">
        <v>192</v>
      </c>
      <c r="AG17" t="s">
        <v>192</v>
      </c>
    </row>
    <row r="18" spans="2:33" x14ac:dyDescent="0.25">
      <c r="B18" t="s">
        <v>193</v>
      </c>
      <c r="C18" s="7"/>
    </row>
    <row r="19" spans="2:33" x14ac:dyDescent="0.25">
      <c r="C19" s="7"/>
    </row>
    <row r="20" spans="2:33" x14ac:dyDescent="0.25">
      <c r="B20" t="s">
        <v>194</v>
      </c>
      <c r="C20" s="7"/>
      <c r="F20" t="s">
        <v>195</v>
      </c>
      <c r="I20" t="s">
        <v>195</v>
      </c>
      <c r="L20" t="s">
        <v>195</v>
      </c>
      <c r="O20" t="s">
        <v>195</v>
      </c>
      <c r="R20" t="s">
        <v>195</v>
      </c>
      <c r="U20" t="s">
        <v>195</v>
      </c>
      <c r="X20" t="s">
        <v>195</v>
      </c>
      <c r="AA20" t="s">
        <v>195</v>
      </c>
      <c r="AC20" t="s">
        <v>195</v>
      </c>
      <c r="AE20" t="s">
        <v>195</v>
      </c>
      <c r="AG20" t="s">
        <v>195</v>
      </c>
    </row>
    <row r="21" spans="2:33" x14ac:dyDescent="0.25">
      <c r="B21">
        <v>1970</v>
      </c>
      <c r="C21" s="7">
        <f>SUM(us[[#This Row],[Column6]]+us[[#This Row],[Column29]])</f>
        <v>210.22801709999999</v>
      </c>
      <c r="F21">
        <v>99.335750000000004</v>
      </c>
      <c r="I21">
        <v>110.89226499999999</v>
      </c>
      <c r="L21">
        <v>303.84480610000003</v>
      </c>
      <c r="O21">
        <v>22.463438</v>
      </c>
      <c r="R21">
        <v>31.054863000000001</v>
      </c>
      <c r="U21">
        <v>54.765106000000003</v>
      </c>
      <c r="X21">
        <v>1.4249196</v>
      </c>
      <c r="AA21">
        <v>1.1839405000000001</v>
      </c>
      <c r="AC21">
        <v>110.8922671</v>
      </c>
      <c r="AE21">
        <v>0.48261526614600159</v>
      </c>
      <c r="AG21">
        <v>0.5173847338539983</v>
      </c>
    </row>
    <row r="22" spans="2:33" x14ac:dyDescent="0.25">
      <c r="B22">
        <v>1971</v>
      </c>
      <c r="C22" s="7">
        <f>SUM(us[[#This Row],[Column6]]+us[[#This Row],[Column29]])</f>
        <v>216.43922790000002</v>
      </c>
      <c r="F22">
        <v>103.15228</v>
      </c>
      <c r="I22">
        <v>113.276505</v>
      </c>
      <c r="L22">
        <v>310.37762370000002</v>
      </c>
      <c r="O22">
        <v>22.586414000000001</v>
      </c>
      <c r="R22">
        <v>33.983997000000002</v>
      </c>
      <c r="U22">
        <v>54.148949999999999</v>
      </c>
      <c r="X22">
        <v>1.3986042999999999</v>
      </c>
      <c r="AA22">
        <v>1.1689826000000001</v>
      </c>
      <c r="AC22">
        <v>113.28694790000002</v>
      </c>
      <c r="AE22">
        <v>0.49935506294984222</v>
      </c>
      <c r="AG22">
        <v>0.50064493705015767</v>
      </c>
    </row>
    <row r="23" spans="2:33" x14ac:dyDescent="0.25">
      <c r="B23">
        <v>1972</v>
      </c>
      <c r="C23" s="7">
        <f>SUM(us[[#This Row],[Column6]]+us[[#This Row],[Column29]])</f>
        <v>215.37838379999999</v>
      </c>
      <c r="F23">
        <v>102.99936</v>
      </c>
      <c r="I23">
        <v>112.38943500000001</v>
      </c>
      <c r="L23">
        <v>307.94705190000002</v>
      </c>
      <c r="O23">
        <v>23.485600999999999</v>
      </c>
      <c r="R23">
        <v>31.293316000000001</v>
      </c>
      <c r="U23">
        <v>55.049587000000002</v>
      </c>
      <c r="X23">
        <v>1.4053884999999999</v>
      </c>
      <c r="AA23">
        <v>1.1451313000000001</v>
      </c>
      <c r="AC23">
        <v>112.3790238</v>
      </c>
      <c r="AE23">
        <v>0.48744788082061974</v>
      </c>
      <c r="AG23">
        <v>0.51255211917938015</v>
      </c>
    </row>
    <row r="24" spans="2:33" x14ac:dyDescent="0.25">
      <c r="B24">
        <v>1973</v>
      </c>
      <c r="C24" s="7">
        <f>SUM(us[[#This Row],[Column6]]+us[[#This Row],[Column29]])</f>
        <v>206.86047100000002</v>
      </c>
      <c r="F24">
        <v>101.860275</v>
      </c>
      <c r="I24">
        <v>104.98981000000001</v>
      </c>
      <c r="L24">
        <v>287.67207939999997</v>
      </c>
      <c r="O24">
        <v>22.457712000000001</v>
      </c>
      <c r="R24">
        <v>28.571200000000001</v>
      </c>
      <c r="U24">
        <v>51.611145</v>
      </c>
      <c r="X24">
        <v>1.2060622000000001</v>
      </c>
      <c r="AA24">
        <v>1.1540767999999999</v>
      </c>
      <c r="AC24">
        <v>105.00019600000002</v>
      </c>
      <c r="AE24">
        <v>0.4859887309162737</v>
      </c>
      <c r="AG24">
        <v>0.51401126908372619</v>
      </c>
    </row>
    <row r="25" spans="2:33" x14ac:dyDescent="0.25">
      <c r="B25">
        <v>1974</v>
      </c>
      <c r="C25" s="7">
        <f>SUM(us[[#This Row],[Column6]]+us[[#This Row],[Column29]])</f>
        <v>217.57301810000001</v>
      </c>
      <c r="F25">
        <v>107.23820499999999</v>
      </c>
      <c r="I25">
        <v>110.32442500000001</v>
      </c>
      <c r="L25">
        <v>302.28892450000012</v>
      </c>
      <c r="O25">
        <v>22.517945999999998</v>
      </c>
      <c r="R25">
        <v>30.737463000000002</v>
      </c>
      <c r="U25">
        <v>54.886839999999999</v>
      </c>
      <c r="X25">
        <v>1.0495212</v>
      </c>
      <c r="AA25">
        <v>1.1430429</v>
      </c>
      <c r="AC25">
        <v>110.33481310000001</v>
      </c>
      <c r="AE25">
        <v>0.48267094948294254</v>
      </c>
      <c r="AG25">
        <v>0.51732905051705758</v>
      </c>
    </row>
    <row r="26" spans="2:33" x14ac:dyDescent="0.25">
      <c r="B26">
        <v>1975</v>
      </c>
      <c r="C26" s="7">
        <f>SUM(us[[#This Row],[Column6]]+us[[#This Row],[Column29]])</f>
        <v>216.31834670000001</v>
      </c>
      <c r="F26">
        <v>110.16895</v>
      </c>
      <c r="I26">
        <v>106.139015</v>
      </c>
      <c r="L26">
        <v>290.82090110000001</v>
      </c>
      <c r="O26">
        <v>21.977703000000002</v>
      </c>
      <c r="R26">
        <v>25.062474999999999</v>
      </c>
      <c r="U26">
        <v>57.052703999999999</v>
      </c>
      <c r="X26">
        <v>0.93477940000000004</v>
      </c>
      <c r="AA26">
        <v>1.1217353000000001</v>
      </c>
      <c r="AC26">
        <v>106.1493967</v>
      </c>
      <c r="AE26">
        <v>0.44315068631944471</v>
      </c>
      <c r="AG26">
        <v>0.55684931368055535</v>
      </c>
    </row>
    <row r="27" spans="2:33" x14ac:dyDescent="0.25">
      <c r="B27">
        <v>1976</v>
      </c>
      <c r="C27" s="7">
        <f>SUM(us[[#This Row],[Column6]]+us[[#This Row],[Column29]])</f>
        <v>218.8476282</v>
      </c>
      <c r="F27">
        <v>105.61262000000001</v>
      </c>
      <c r="I27">
        <v>113.23501</v>
      </c>
      <c r="L27">
        <v>310.26392740000011</v>
      </c>
      <c r="O27">
        <v>23.697935000000001</v>
      </c>
      <c r="R27">
        <v>26.532965000000001</v>
      </c>
      <c r="U27">
        <v>61.07255</v>
      </c>
      <c r="X27">
        <v>0.85154719999999995</v>
      </c>
      <c r="AA27">
        <v>1.0800110000000001</v>
      </c>
      <c r="AC27">
        <v>113.2350082</v>
      </c>
      <c r="AE27">
        <v>0.44359867852246082</v>
      </c>
      <c r="AG27">
        <v>0.55640132147753929</v>
      </c>
    </row>
    <row r="28" spans="2:33" x14ac:dyDescent="0.25">
      <c r="B28">
        <v>1977</v>
      </c>
      <c r="C28" s="7">
        <f>SUM(us[[#This Row],[Column6]]+us[[#This Row],[Column29]])</f>
        <v>225.64587993999999</v>
      </c>
      <c r="F28">
        <v>112.80737000000001</v>
      </c>
      <c r="I28">
        <v>112.848885</v>
      </c>
      <c r="L28">
        <v>309.20594490000002</v>
      </c>
      <c r="O28">
        <v>24.024754000000001</v>
      </c>
      <c r="R28">
        <v>27.989097999999998</v>
      </c>
      <c r="U28">
        <v>58.998154</v>
      </c>
      <c r="X28">
        <v>0.77833973999999995</v>
      </c>
      <c r="AA28">
        <v>1.0481642</v>
      </c>
      <c r="AC28">
        <v>112.83850993999999</v>
      </c>
      <c r="AE28">
        <v>0.46095833796154784</v>
      </c>
      <c r="AG28">
        <v>0.53904166203845205</v>
      </c>
    </row>
    <row r="29" spans="2:33" x14ac:dyDescent="0.25">
      <c r="B29">
        <v>1978</v>
      </c>
      <c r="C29" s="7">
        <f>SUM(us[[#This Row],[Column6]]+us[[#This Row],[Column29]])</f>
        <v>223.04374309999997</v>
      </c>
      <c r="F29">
        <v>112.28856</v>
      </c>
      <c r="I29">
        <v>110.75519</v>
      </c>
      <c r="L29">
        <v>303.46922060000003</v>
      </c>
      <c r="O29">
        <v>24.958769</v>
      </c>
      <c r="R29">
        <v>27.973713</v>
      </c>
      <c r="U29">
        <v>56.040672000000001</v>
      </c>
      <c r="X29">
        <v>0.71488379999999996</v>
      </c>
      <c r="AA29">
        <v>1.0671453</v>
      </c>
      <c r="AC29">
        <v>110.75518309999998</v>
      </c>
      <c r="AE29">
        <v>0.47792329458936184</v>
      </c>
      <c r="AG29">
        <v>0.52207670541063833</v>
      </c>
    </row>
    <row r="30" spans="2:33" x14ac:dyDescent="0.25">
      <c r="B30">
        <v>1979</v>
      </c>
      <c r="C30" s="7">
        <f>SUM(us[[#This Row],[Column6]]+us[[#This Row],[Column29]])</f>
        <v>225.34363919999998</v>
      </c>
      <c r="F30">
        <v>115.137726</v>
      </c>
      <c r="I30">
        <v>110.20591</v>
      </c>
      <c r="L30">
        <v>301.96419340000011</v>
      </c>
      <c r="O30">
        <v>26.799299999999999</v>
      </c>
      <c r="R30">
        <v>31.875864</v>
      </c>
      <c r="U30">
        <v>49.762740000000001</v>
      </c>
      <c r="X30">
        <v>0.69272880000000003</v>
      </c>
      <c r="AA30">
        <v>1.0752804</v>
      </c>
      <c r="AC30">
        <v>110.2059132</v>
      </c>
      <c r="AE30">
        <v>0.53241393584314489</v>
      </c>
      <c r="AG30">
        <v>0.46758606415685505</v>
      </c>
    </row>
    <row r="31" spans="2:33" x14ac:dyDescent="0.25">
      <c r="B31">
        <v>1980</v>
      </c>
      <c r="C31" s="7">
        <f>SUM(us[[#This Row],[Column6]]+us[[#This Row],[Column29]])</f>
        <v>217.19930769999999</v>
      </c>
      <c r="F31">
        <v>105.47411</v>
      </c>
      <c r="I31">
        <v>111.73551</v>
      </c>
      <c r="L31">
        <v>306.15529740000011</v>
      </c>
      <c r="O31">
        <v>27.211804999999998</v>
      </c>
      <c r="R31">
        <v>33.988970000000002</v>
      </c>
      <c r="U31">
        <v>48.812080000000002</v>
      </c>
      <c r="X31">
        <v>0.71175690000000003</v>
      </c>
      <c r="AA31">
        <v>1.0005858000000001</v>
      </c>
      <c r="AC31">
        <v>111.7251977</v>
      </c>
      <c r="AE31">
        <v>0.5477795184962112</v>
      </c>
      <c r="AG31">
        <v>0.45222048150378891</v>
      </c>
    </row>
    <row r="32" spans="2:33" x14ac:dyDescent="0.25">
      <c r="B32">
        <v>1981</v>
      </c>
      <c r="C32" s="7">
        <f>SUM(us[[#This Row],[Column6]]+us[[#This Row],[Column29]])</f>
        <v>216.37797215000001</v>
      </c>
      <c r="F32">
        <v>104.63522</v>
      </c>
      <c r="I32">
        <v>111.74276</v>
      </c>
      <c r="L32">
        <v>306.17516239999998</v>
      </c>
      <c r="O32">
        <v>28.399222999999999</v>
      </c>
      <c r="R32">
        <v>32.354717000000001</v>
      </c>
      <c r="U32">
        <v>49.247982</v>
      </c>
      <c r="X32">
        <v>0.73135465</v>
      </c>
      <c r="AA32">
        <v>1.0094755</v>
      </c>
      <c r="AC32">
        <v>111.74275215</v>
      </c>
      <c r="AE32">
        <v>0.54369468114089226</v>
      </c>
      <c r="AG32">
        <v>0.45630531885910774</v>
      </c>
    </row>
    <row r="33" spans="2:33" x14ac:dyDescent="0.25">
      <c r="B33">
        <v>1982</v>
      </c>
      <c r="C33" s="7">
        <f>SUM(us[[#This Row],[Column6]]+us[[#This Row],[Column29]])</f>
        <v>224.61058009999999</v>
      </c>
      <c r="F33">
        <v>115.8573</v>
      </c>
      <c r="I33">
        <v>108.77387</v>
      </c>
      <c r="L33">
        <v>298.04040379999998</v>
      </c>
      <c r="O33">
        <v>28.910273</v>
      </c>
      <c r="R33">
        <v>28.930864</v>
      </c>
      <c r="U33">
        <v>49.172173000000001</v>
      </c>
      <c r="X33">
        <v>0.76188040000000001</v>
      </c>
      <c r="AA33">
        <v>0.97808969999999995</v>
      </c>
      <c r="AC33">
        <v>108.7532801</v>
      </c>
      <c r="AE33">
        <v>0.53185648236829597</v>
      </c>
      <c r="AG33">
        <v>0.46814351763170409</v>
      </c>
    </row>
    <row r="34" spans="2:33" x14ac:dyDescent="0.25">
      <c r="B34">
        <v>1983</v>
      </c>
      <c r="C34" s="7">
        <f>SUM(us[[#This Row],[Column6]]+us[[#This Row],[Column29]])</f>
        <v>218.85576900000001</v>
      </c>
      <c r="F34">
        <v>107.22574</v>
      </c>
      <c r="I34">
        <v>111.619736</v>
      </c>
      <c r="L34">
        <v>305.83807664000011</v>
      </c>
      <c r="O34">
        <v>29.595129</v>
      </c>
      <c r="R34">
        <v>30.480103</v>
      </c>
      <c r="U34">
        <v>49.815722999999998</v>
      </c>
      <c r="X34">
        <v>0.77177839999999998</v>
      </c>
      <c r="AA34">
        <v>0.96729560000000003</v>
      </c>
      <c r="AC34">
        <v>111.63002899999999</v>
      </c>
      <c r="AE34">
        <v>0.53816372295307746</v>
      </c>
      <c r="AG34">
        <v>0.46183627704692254</v>
      </c>
    </row>
    <row r="35" spans="2:33" x14ac:dyDescent="0.25">
      <c r="B35">
        <v>1984</v>
      </c>
      <c r="C35" s="7">
        <f>SUM(us[[#This Row],[Column6]]+us[[#This Row],[Column29]])</f>
        <v>227.08407026</v>
      </c>
      <c r="F35">
        <v>115.208595</v>
      </c>
      <c r="I35">
        <v>111.88576500000001</v>
      </c>
      <c r="L35">
        <v>306.56699609999998</v>
      </c>
      <c r="O35">
        <v>30.419841999999999</v>
      </c>
      <c r="R35">
        <v>30.162656999999999</v>
      </c>
      <c r="U35">
        <v>49.616129999999998</v>
      </c>
      <c r="X35">
        <v>0.78184240000000005</v>
      </c>
      <c r="AA35">
        <v>0.89500385999999998</v>
      </c>
      <c r="AC35">
        <v>111.87547526</v>
      </c>
      <c r="AE35">
        <v>0.54151724369622134</v>
      </c>
      <c r="AG35">
        <v>0.45848275630377872</v>
      </c>
    </row>
    <row r="36" spans="2:33" x14ac:dyDescent="0.25">
      <c r="B36">
        <v>1985</v>
      </c>
      <c r="C36" s="7">
        <f>SUM(us[[#This Row],[Column6]]+us[[#This Row],[Column29]])</f>
        <v>228.23477894000001</v>
      </c>
      <c r="F36">
        <v>114.73969</v>
      </c>
      <c r="I36">
        <v>113.49509</v>
      </c>
      <c r="L36">
        <v>310.97654660000012</v>
      </c>
      <c r="O36">
        <v>31.48527</v>
      </c>
      <c r="R36">
        <v>30.281815000000002</v>
      </c>
      <c r="U36">
        <v>50.102825000000003</v>
      </c>
      <c r="X36">
        <v>0.74058789999999997</v>
      </c>
      <c r="AA36">
        <v>0.88459104</v>
      </c>
      <c r="AC36">
        <v>113.49508894</v>
      </c>
      <c r="AE36">
        <v>0.5442269403626232</v>
      </c>
      <c r="AG36">
        <v>0.45577305963737674</v>
      </c>
    </row>
    <row r="37" spans="2:33" x14ac:dyDescent="0.25">
      <c r="B37">
        <v>1986</v>
      </c>
      <c r="C37" s="7">
        <f>SUM(us[[#This Row],[Column6]]+us[[#This Row],[Column29]])</f>
        <v>225.34664930999998</v>
      </c>
      <c r="F37">
        <v>111.59319000000001</v>
      </c>
      <c r="I37">
        <v>113.76374</v>
      </c>
      <c r="L37">
        <v>311.71264760000003</v>
      </c>
      <c r="O37">
        <v>32.980069999999998</v>
      </c>
      <c r="R37">
        <v>28.556664999999999</v>
      </c>
      <c r="U37">
        <v>50.622242</v>
      </c>
      <c r="X37">
        <v>0.73037576999999998</v>
      </c>
      <c r="AA37">
        <v>0.86410653999999998</v>
      </c>
      <c r="AC37">
        <v>113.75345930999998</v>
      </c>
      <c r="AE37">
        <v>0.54096583412290433</v>
      </c>
      <c r="AG37">
        <v>0.45903416587709583</v>
      </c>
    </row>
    <row r="38" spans="2:33" x14ac:dyDescent="0.25">
      <c r="B38">
        <v>1987</v>
      </c>
      <c r="C38" s="7">
        <f>SUM(us[[#This Row],[Column6]]+us[[#This Row],[Column29]])</f>
        <v>231.1359607</v>
      </c>
      <c r="F38">
        <v>116.597084</v>
      </c>
      <c r="I38">
        <v>114.53888000000001</v>
      </c>
      <c r="L38">
        <v>313.83653120000002</v>
      </c>
      <c r="O38">
        <v>35.555419999999998</v>
      </c>
      <c r="R38">
        <v>28.763356999999999</v>
      </c>
      <c r="U38">
        <v>48.717613</v>
      </c>
      <c r="X38">
        <v>0.66891529999999999</v>
      </c>
      <c r="AA38">
        <v>0.83357139999999996</v>
      </c>
      <c r="AC38">
        <v>114.5388767</v>
      </c>
      <c r="AE38">
        <v>0.56154537963964513</v>
      </c>
      <c r="AG38">
        <v>0.43845462036035499</v>
      </c>
    </row>
    <row r="39" spans="2:33" x14ac:dyDescent="0.25">
      <c r="B39">
        <v>1988</v>
      </c>
      <c r="C39" s="7">
        <f>SUM(us[[#This Row],[Column6]]+us[[#This Row],[Column29]])</f>
        <v>226.31839452999998</v>
      </c>
      <c r="F39">
        <v>109.07828499999999</v>
      </c>
      <c r="I39">
        <v>117.24012</v>
      </c>
      <c r="L39">
        <v>321.23792880000002</v>
      </c>
      <c r="O39">
        <v>36.826009999999997</v>
      </c>
      <c r="R39">
        <v>30.732945999999998</v>
      </c>
      <c r="U39">
        <v>48.147593999999998</v>
      </c>
      <c r="X39">
        <v>0.69987949999999999</v>
      </c>
      <c r="AA39">
        <v>0.83368003000000002</v>
      </c>
      <c r="AC39">
        <v>117.24010952999998</v>
      </c>
      <c r="AE39">
        <v>0.57624439512070458</v>
      </c>
      <c r="AG39">
        <v>0.42375560487929553</v>
      </c>
    </row>
    <row r="40" spans="2:33" x14ac:dyDescent="0.25">
      <c r="B40">
        <v>1989</v>
      </c>
      <c r="C40" s="7">
        <f>SUM(us[[#This Row],[Column6]]+us[[#This Row],[Column29]])</f>
        <v>238.73135957</v>
      </c>
      <c r="F40">
        <v>122.76996</v>
      </c>
      <c r="I40">
        <v>115.9614</v>
      </c>
      <c r="L40">
        <v>317.73423600000001</v>
      </c>
      <c r="O40">
        <v>38.557810000000003</v>
      </c>
      <c r="R40">
        <v>30.484220000000001</v>
      </c>
      <c r="U40">
        <v>45.428069999999998</v>
      </c>
      <c r="X40">
        <v>0.70965290000000003</v>
      </c>
      <c r="AA40">
        <v>0.78164666999999999</v>
      </c>
      <c r="AC40">
        <v>115.96139957</v>
      </c>
      <c r="AE40">
        <v>0.59538803650194694</v>
      </c>
      <c r="AG40">
        <v>0.40461196349805317</v>
      </c>
    </row>
    <row r="41" spans="2:33" x14ac:dyDescent="0.25">
      <c r="B41">
        <v>1990</v>
      </c>
      <c r="C41" s="7">
        <f>SUM(us[[#This Row],[Column6]]+us[[#This Row],[Column29]])</f>
        <v>235.36003782999998</v>
      </c>
      <c r="F41">
        <v>119.76258</v>
      </c>
      <c r="I41">
        <v>115.60772</v>
      </c>
      <c r="L41">
        <v>316.76515280000001</v>
      </c>
      <c r="O41">
        <v>40.450904999999999</v>
      </c>
      <c r="R41">
        <v>29.135318999999999</v>
      </c>
      <c r="U41">
        <v>44.533949999999997</v>
      </c>
      <c r="X41">
        <v>0.728383</v>
      </c>
      <c r="AA41">
        <v>0.74890082999999996</v>
      </c>
      <c r="AC41">
        <v>115.59745782999998</v>
      </c>
      <c r="AE41">
        <v>0.60197019299797183</v>
      </c>
      <c r="AG41">
        <v>0.39802980700202834</v>
      </c>
    </row>
    <row r="42" spans="2:33" x14ac:dyDescent="0.25">
      <c r="B42">
        <v>1991</v>
      </c>
      <c r="C42" s="7">
        <f>SUM(us[[#This Row],[Column6]]+us[[#This Row],[Column29]])</f>
        <v>234.13447500000001</v>
      </c>
      <c r="F42">
        <v>117.34827</v>
      </c>
      <c r="I42">
        <v>116.77598</v>
      </c>
      <c r="L42">
        <v>319.96618519999998</v>
      </c>
      <c r="O42">
        <v>41.929802000000002</v>
      </c>
      <c r="R42">
        <v>29.298743999999999</v>
      </c>
      <c r="U42">
        <v>44.075859999999999</v>
      </c>
      <c r="X42">
        <v>0.71535119999999996</v>
      </c>
      <c r="AA42">
        <v>0.76644780000000001</v>
      </c>
      <c r="AC42">
        <v>116.786205</v>
      </c>
      <c r="AE42">
        <v>0.60990547642163728</v>
      </c>
      <c r="AG42">
        <v>0.39009452357836272</v>
      </c>
    </row>
    <row r="43" spans="2:33" x14ac:dyDescent="0.25">
      <c r="B43">
        <v>1992</v>
      </c>
      <c r="C43" s="7">
        <f>SUM(us[[#This Row],[Column6]]+us[[#This Row],[Column29]])</f>
        <v>234.18764319999997</v>
      </c>
      <c r="F43">
        <v>114.71786</v>
      </c>
      <c r="I43">
        <v>119.46979</v>
      </c>
      <c r="L43">
        <v>327.34722460000012</v>
      </c>
      <c r="O43">
        <v>43.265949999999997</v>
      </c>
      <c r="R43">
        <v>30.87227</v>
      </c>
      <c r="U43">
        <v>43.876475999999997</v>
      </c>
      <c r="X43">
        <v>0.69192960000000003</v>
      </c>
      <c r="AA43">
        <v>0.76315759999999999</v>
      </c>
      <c r="AC43">
        <v>119.46978319999998</v>
      </c>
      <c r="AE43">
        <v>0.62056042971039727</v>
      </c>
      <c r="AG43">
        <v>0.37943957028960279</v>
      </c>
    </row>
    <row r="44" spans="2:33" x14ac:dyDescent="0.25">
      <c r="B44">
        <v>1993</v>
      </c>
      <c r="C44" s="7">
        <f>SUM(us[[#This Row],[Column6]]+us[[#This Row],[Column29]])</f>
        <v>232.84619007000001</v>
      </c>
      <c r="F44">
        <v>114.78619</v>
      </c>
      <c r="I44">
        <v>118.060005</v>
      </c>
      <c r="L44">
        <v>323.48441370000012</v>
      </c>
      <c r="O44">
        <v>43.684629999999999</v>
      </c>
      <c r="R44">
        <v>30.406936999999999</v>
      </c>
      <c r="U44">
        <v>42.569713999999998</v>
      </c>
      <c r="X44">
        <v>0.65881692999999997</v>
      </c>
      <c r="AA44">
        <v>0.73990213999999999</v>
      </c>
      <c r="AC44">
        <v>118.06000007</v>
      </c>
      <c r="AE44">
        <v>0.62757552901973324</v>
      </c>
      <c r="AG44">
        <v>0.37242447098026665</v>
      </c>
    </row>
    <row r="45" spans="2:33" x14ac:dyDescent="0.25">
      <c r="B45">
        <v>1994</v>
      </c>
      <c r="C45" s="7">
        <f>SUM(us[[#This Row],[Column6]]+us[[#This Row],[Column29]])</f>
        <v>249.73464588999997</v>
      </c>
      <c r="F45">
        <v>129.46583999999999</v>
      </c>
      <c r="I45">
        <v>120.26881</v>
      </c>
      <c r="L45">
        <v>329.53653939999998</v>
      </c>
      <c r="O45">
        <v>44.378177999999998</v>
      </c>
      <c r="R45">
        <v>30.6736</v>
      </c>
      <c r="U45">
        <v>43.852634000000002</v>
      </c>
      <c r="X45">
        <v>0.59629065000000003</v>
      </c>
      <c r="AA45">
        <v>0.76810323999999996</v>
      </c>
      <c r="AC45">
        <v>120.26880589</v>
      </c>
      <c r="AE45">
        <v>0.62403361740070562</v>
      </c>
      <c r="AG45">
        <v>0.37596638259929432</v>
      </c>
    </row>
    <row r="46" spans="2:33" x14ac:dyDescent="0.25">
      <c r="B46">
        <v>1995</v>
      </c>
      <c r="C46" s="7">
        <f>SUM(us[[#This Row],[Column6]]+us[[#This Row],[Column29]])</f>
        <v>243.13837960000001</v>
      </c>
      <c r="F46">
        <v>123.95032500000001</v>
      </c>
      <c r="I46">
        <v>119.18805</v>
      </c>
      <c r="L46">
        <v>326.57525700000002</v>
      </c>
      <c r="O46">
        <v>43.929974000000001</v>
      </c>
      <c r="R46">
        <v>30.298970000000001</v>
      </c>
      <c r="U46">
        <v>43.576839999999997</v>
      </c>
      <c r="X46">
        <v>0.59528440000000005</v>
      </c>
      <c r="AA46">
        <v>0.78698619999999997</v>
      </c>
      <c r="AC46">
        <v>119.1880546</v>
      </c>
      <c r="AE46">
        <v>0.62278845182191611</v>
      </c>
      <c r="AG46">
        <v>0.37721154817808394</v>
      </c>
    </row>
    <row r="47" spans="2:33" x14ac:dyDescent="0.25">
      <c r="B47">
        <v>1996</v>
      </c>
      <c r="C47" s="7">
        <f>SUM(us[[#This Row],[Column6]]+us[[#This Row],[Column29]])</f>
        <v>244.1734232</v>
      </c>
      <c r="F47">
        <v>125.33866</v>
      </c>
      <c r="I47">
        <v>118.83476</v>
      </c>
      <c r="L47">
        <v>325.60724240000002</v>
      </c>
      <c r="O47">
        <v>45.053350000000002</v>
      </c>
      <c r="R47">
        <v>28.304554</v>
      </c>
      <c r="U47">
        <v>44.196247</v>
      </c>
      <c r="X47">
        <v>0.55459579999999997</v>
      </c>
      <c r="AA47">
        <v>0.72601640000000001</v>
      </c>
      <c r="AC47">
        <v>118.8347632</v>
      </c>
      <c r="AE47">
        <v>0.61731013740935359</v>
      </c>
      <c r="AG47">
        <v>0.38268986259064641</v>
      </c>
    </row>
    <row r="48" spans="2:33" x14ac:dyDescent="0.25">
      <c r="B48">
        <v>1997</v>
      </c>
      <c r="C48" s="7">
        <f>SUM(us[[#This Row],[Column6]]+us[[#This Row],[Column29]])</f>
        <v>241.3932179</v>
      </c>
      <c r="F48">
        <v>123.5647</v>
      </c>
      <c r="I48">
        <v>117.828514</v>
      </c>
      <c r="L48">
        <v>322.85012835999999</v>
      </c>
      <c r="O48">
        <v>45.405513999999997</v>
      </c>
      <c r="R48">
        <v>28.045769</v>
      </c>
      <c r="U48">
        <v>43.197740000000003</v>
      </c>
      <c r="X48">
        <v>0.53430109999999997</v>
      </c>
      <c r="AA48">
        <v>0.64519380000000004</v>
      </c>
      <c r="AC48">
        <v>117.82851789999999</v>
      </c>
      <c r="AE48">
        <v>0.6233744114674975</v>
      </c>
      <c r="AG48">
        <v>0.3766255885325025</v>
      </c>
    </row>
    <row r="49" spans="2:33" x14ac:dyDescent="0.25">
      <c r="B49">
        <v>1998</v>
      </c>
      <c r="C49" s="7">
        <f>SUM(us[[#This Row],[Column6]]+us[[#This Row],[Column29]])</f>
        <v>240.69081569999997</v>
      </c>
      <c r="F49">
        <v>119.32223999999999</v>
      </c>
      <c r="I49">
        <v>121.368576</v>
      </c>
      <c r="L49">
        <v>332.54989824000012</v>
      </c>
      <c r="O49">
        <v>45.674503000000001</v>
      </c>
      <c r="R49">
        <v>30.725200000000001</v>
      </c>
      <c r="U49">
        <v>43.688656000000002</v>
      </c>
      <c r="X49">
        <v>0.58466589999999996</v>
      </c>
      <c r="AA49">
        <v>0.69555080000000002</v>
      </c>
      <c r="AC49">
        <v>121.36857569999999</v>
      </c>
      <c r="AE49">
        <v>0.62948504223074608</v>
      </c>
      <c r="AG49">
        <v>0.37051495776925392</v>
      </c>
    </row>
    <row r="50" spans="2:33" x14ac:dyDescent="0.25">
      <c r="B50">
        <v>1999</v>
      </c>
      <c r="C50" s="7">
        <f>SUM(us[[#This Row],[Column6]]+us[[#This Row],[Column29]])</f>
        <v>259.32175280000001</v>
      </c>
      <c r="F50">
        <v>134.50943000000001</v>
      </c>
      <c r="I50">
        <v>124.802246</v>
      </c>
      <c r="L50">
        <v>341.95815404000001</v>
      </c>
      <c r="O50">
        <v>48.193159999999999</v>
      </c>
      <c r="R50">
        <v>31.087160000000001</v>
      </c>
      <c r="U50">
        <v>44.201424000000003</v>
      </c>
      <c r="X50">
        <v>0.57456810000000003</v>
      </c>
      <c r="AA50">
        <v>0.75601070000000004</v>
      </c>
      <c r="AC50">
        <v>124.8123228</v>
      </c>
      <c r="AE50">
        <v>0.63519625483646558</v>
      </c>
      <c r="AG50">
        <v>0.36480374516353442</v>
      </c>
    </row>
    <row r="51" spans="2:33" x14ac:dyDescent="0.25">
      <c r="B51">
        <v>2000</v>
      </c>
      <c r="C51" s="7">
        <f>SUM(us[[#This Row],[Column6]]+us[[#This Row],[Column29]])</f>
        <v>256.0351326</v>
      </c>
      <c r="F51">
        <v>133.40916000000001</v>
      </c>
      <c r="I51">
        <v>122.62597</v>
      </c>
      <c r="L51">
        <v>335.99515780000002</v>
      </c>
      <c r="O51">
        <v>47.748344000000003</v>
      </c>
      <c r="R51">
        <v>29.769653000000002</v>
      </c>
      <c r="U51">
        <v>43.838180000000001</v>
      </c>
      <c r="X51">
        <v>0.54419810000000002</v>
      </c>
      <c r="AA51">
        <v>0.72559750000000001</v>
      </c>
      <c r="AC51">
        <v>122.6259726</v>
      </c>
      <c r="AE51">
        <v>0.63214990557391915</v>
      </c>
      <c r="AG51">
        <v>0.3678500944260808</v>
      </c>
    </row>
    <row r="52" spans="2:33" x14ac:dyDescent="0.25">
      <c r="B52">
        <v>2001</v>
      </c>
      <c r="C52" s="7">
        <f>SUM(us[[#This Row],[Column6]]+us[[#This Row],[Column29]])</f>
        <v>246.78018116999999</v>
      </c>
      <c r="F52">
        <v>125.127556</v>
      </c>
      <c r="I52">
        <v>121.652626</v>
      </c>
      <c r="L52">
        <v>333.32819524000001</v>
      </c>
      <c r="O52">
        <v>47.913690000000003</v>
      </c>
      <c r="R52">
        <v>29.370678000000002</v>
      </c>
      <c r="U52">
        <v>43.109226</v>
      </c>
      <c r="X52">
        <v>0.56404597000000001</v>
      </c>
      <c r="AA52">
        <v>0.69498519999999997</v>
      </c>
      <c r="AC52">
        <v>121.65262516999999</v>
      </c>
      <c r="AE52">
        <v>0.6352873017906614</v>
      </c>
      <c r="AG52">
        <v>0.3647126982093386</v>
      </c>
    </row>
    <row r="53" spans="2:33" x14ac:dyDescent="0.25">
      <c r="B53">
        <v>2002</v>
      </c>
      <c r="C53" s="7">
        <f>SUM(us[[#This Row],[Column6]]+us[[#This Row],[Column29]])</f>
        <v>256.88899615000003</v>
      </c>
      <c r="F53">
        <v>131.67084</v>
      </c>
      <c r="I53">
        <v>125.218155</v>
      </c>
      <c r="L53">
        <v>343.09774470000002</v>
      </c>
      <c r="O53">
        <v>49.638294000000002</v>
      </c>
      <c r="R53">
        <v>30.159465999999998</v>
      </c>
      <c r="U53">
        <v>44.041274999999999</v>
      </c>
      <c r="X53">
        <v>0.58386150000000003</v>
      </c>
      <c r="AA53">
        <v>0.79525964999999998</v>
      </c>
      <c r="AC53">
        <v>125.21815615</v>
      </c>
      <c r="AE53">
        <v>0.6372698852425962</v>
      </c>
      <c r="AG53">
        <v>0.36273011475740369</v>
      </c>
    </row>
    <row r="54" spans="2:33" x14ac:dyDescent="0.25">
      <c r="B54">
        <v>2003</v>
      </c>
      <c r="C54" s="7">
        <f>SUM(us[[#This Row],[Column6]]+us[[#This Row],[Column29]])</f>
        <v>251.3718623</v>
      </c>
      <c r="F54">
        <v>127.45162000000001</v>
      </c>
      <c r="I54">
        <v>123.92023500000001</v>
      </c>
      <c r="L54">
        <v>339.54144389999999</v>
      </c>
      <c r="O54">
        <v>49.952423000000003</v>
      </c>
      <c r="R54">
        <v>30.303464999999999</v>
      </c>
      <c r="U54">
        <v>42.346375000000002</v>
      </c>
      <c r="X54">
        <v>0.54328920000000003</v>
      </c>
      <c r="AA54">
        <v>0.77469010000000005</v>
      </c>
      <c r="AC54">
        <v>123.9202423</v>
      </c>
      <c r="AE54">
        <v>0.64764147092052615</v>
      </c>
      <c r="AG54">
        <v>0.3523585290794739</v>
      </c>
    </row>
    <row r="55" spans="2:33" x14ac:dyDescent="0.25">
      <c r="B55">
        <v>2004</v>
      </c>
      <c r="C55" s="7">
        <f>SUM(us[[#This Row],[Column6]]+us[[#This Row],[Column29]])</f>
        <v>259.47153686000001</v>
      </c>
      <c r="F55">
        <v>133.04300000000001</v>
      </c>
      <c r="I55">
        <v>126.41849000000001</v>
      </c>
      <c r="L55">
        <v>346.38666260000002</v>
      </c>
      <c r="O55">
        <v>52.141593999999998</v>
      </c>
      <c r="R55">
        <v>30.116869999999999</v>
      </c>
      <c r="U55">
        <v>42.863266000000003</v>
      </c>
      <c r="X55">
        <v>0.53277509999999995</v>
      </c>
      <c r="AA55">
        <v>0.77403175999999996</v>
      </c>
      <c r="AC55">
        <v>126.42853685999999</v>
      </c>
      <c r="AE55">
        <v>0.65063209654232168</v>
      </c>
      <c r="AG55">
        <v>0.34936790345767832</v>
      </c>
    </row>
    <row r="56" spans="2:33" x14ac:dyDescent="0.25">
      <c r="B56">
        <v>2005</v>
      </c>
      <c r="C56" s="7">
        <f>SUM(us[[#This Row],[Column6]]+us[[#This Row],[Column29]])</f>
        <v>249.38685756000001</v>
      </c>
      <c r="F56">
        <v>123.52826</v>
      </c>
      <c r="I56">
        <v>125.8586</v>
      </c>
      <c r="L56">
        <v>344.85256399999997</v>
      </c>
      <c r="O56">
        <v>52.854584000000003</v>
      </c>
      <c r="R56">
        <v>29.310086999999999</v>
      </c>
      <c r="U56">
        <v>42.438353999999997</v>
      </c>
      <c r="X56">
        <v>0.48213985999999998</v>
      </c>
      <c r="AA56">
        <v>0.77343269999999997</v>
      </c>
      <c r="AC56">
        <v>125.85859756000001</v>
      </c>
      <c r="AE56">
        <v>0.65283320005874057</v>
      </c>
      <c r="AG56">
        <v>0.34716679994125937</v>
      </c>
    </row>
    <row r="57" spans="2:33" x14ac:dyDescent="0.25">
      <c r="B57">
        <v>2006</v>
      </c>
      <c r="C57" s="7">
        <f>SUM(us[[#This Row],[Column6]]+us[[#This Row],[Column29]])</f>
        <v>252.44817395000001</v>
      </c>
      <c r="F57">
        <v>126.40982</v>
      </c>
      <c r="I57">
        <v>126.028305</v>
      </c>
      <c r="L57">
        <v>345.31755570000001</v>
      </c>
      <c r="O57">
        <v>53.180275000000002</v>
      </c>
      <c r="R57">
        <v>28.964524999999998</v>
      </c>
      <c r="U57">
        <v>42.568314000000001</v>
      </c>
      <c r="X57">
        <v>0.52206419999999998</v>
      </c>
      <c r="AA57">
        <v>0.80317574999999997</v>
      </c>
      <c r="AC57">
        <v>126.03835395</v>
      </c>
      <c r="AE57">
        <v>0.65174446845431844</v>
      </c>
      <c r="AG57">
        <v>0.34825553154568156</v>
      </c>
    </row>
    <row r="58" spans="2:33" x14ac:dyDescent="0.25">
      <c r="B58">
        <v>2007</v>
      </c>
      <c r="C58" s="7">
        <f>SUM(us[[#This Row],[Column6]]+us[[#This Row],[Column29]])</f>
        <v>255.10637370000001</v>
      </c>
      <c r="F58">
        <v>129.20385999999999</v>
      </c>
      <c r="I58">
        <v>125.90252</v>
      </c>
      <c r="L58">
        <v>344.97290479999998</v>
      </c>
      <c r="O58">
        <v>52.851562000000001</v>
      </c>
      <c r="R58">
        <v>29.661898000000001</v>
      </c>
      <c r="U58">
        <v>42.034399999999998</v>
      </c>
      <c r="X58">
        <v>0.53182700000000005</v>
      </c>
      <c r="AA58">
        <v>0.82282670000000002</v>
      </c>
      <c r="AC58">
        <v>125.9025137</v>
      </c>
      <c r="AE58">
        <v>0.65537579493140807</v>
      </c>
      <c r="AG58">
        <v>0.34462420506859182</v>
      </c>
    </row>
    <row r="59" spans="2:33" x14ac:dyDescent="0.25">
      <c r="B59">
        <v>2008</v>
      </c>
      <c r="C59" s="7">
        <f>SUM(us[[#This Row],[Column6]]+us[[#This Row],[Column29]])</f>
        <v>239.77225320000002</v>
      </c>
      <c r="F59">
        <v>116.776375</v>
      </c>
      <c r="I59">
        <v>122.99588</v>
      </c>
      <c r="L59">
        <v>337.00871120000011</v>
      </c>
      <c r="O59">
        <v>51.772427</v>
      </c>
      <c r="R59">
        <v>29.171520000000001</v>
      </c>
      <c r="U59">
        <v>40.707714000000003</v>
      </c>
      <c r="X59">
        <v>0.50157359999999995</v>
      </c>
      <c r="AA59">
        <v>0.84264360000000005</v>
      </c>
      <c r="AC59">
        <v>122.99587820000002</v>
      </c>
      <c r="AE59">
        <v>0.65810292332218978</v>
      </c>
      <c r="AG59">
        <v>0.34189707667781016</v>
      </c>
    </row>
    <row r="60" spans="2:33" x14ac:dyDescent="0.25">
      <c r="B60">
        <v>2009</v>
      </c>
      <c r="C60" s="7">
        <f>SUM(us[[#This Row],[Column6]]+us[[#This Row],[Column29]])</f>
        <v>241.24386382</v>
      </c>
      <c r="F60">
        <v>122.15679</v>
      </c>
      <c r="I60">
        <v>119.07704</v>
      </c>
      <c r="L60">
        <v>326.27108959999998</v>
      </c>
      <c r="O60">
        <v>48.904850000000003</v>
      </c>
      <c r="R60">
        <v>29.162337999999998</v>
      </c>
      <c r="U60">
        <v>39.735819999999997</v>
      </c>
      <c r="X60">
        <v>0.46146115999999998</v>
      </c>
      <c r="AA60">
        <v>0.82260465999999999</v>
      </c>
      <c r="AC60">
        <v>119.08707382</v>
      </c>
      <c r="AE60">
        <v>0.65554711771655827</v>
      </c>
      <c r="AG60">
        <v>0.34445288228344173</v>
      </c>
    </row>
    <row r="61" spans="2:33" x14ac:dyDescent="0.25">
      <c r="B61">
        <v>2010</v>
      </c>
      <c r="C61" s="7">
        <f>SUM(us[[#This Row],[Column6]]+us[[#This Row],[Column29]])</f>
        <v>248.39</v>
      </c>
      <c r="F61">
        <v>129.16999999999999</v>
      </c>
      <c r="I61">
        <v>119.22</v>
      </c>
      <c r="L61">
        <v>326.6628</v>
      </c>
      <c r="O61">
        <v>51.12</v>
      </c>
      <c r="R61">
        <v>28.08</v>
      </c>
      <c r="U61">
        <v>38.78</v>
      </c>
      <c r="X61">
        <v>0.44</v>
      </c>
      <c r="AA61">
        <v>0.8</v>
      </c>
      <c r="AC61">
        <v>119.21999999999998</v>
      </c>
      <c r="AE61">
        <v>0.66431806743834931</v>
      </c>
      <c r="AG61">
        <v>0.33568193256165074</v>
      </c>
    </row>
    <row r="62" spans="2:33" x14ac:dyDescent="0.25">
      <c r="B62">
        <v>2011</v>
      </c>
      <c r="C62" s="7">
        <f>SUM(us[[#This Row],[Column6]]+us[[#This Row],[Column29]])</f>
        <v>242.98001414000001</v>
      </c>
      <c r="F62">
        <v>126.310005</v>
      </c>
      <c r="I62">
        <v>116.670006</v>
      </c>
      <c r="L62">
        <v>319.67581644000001</v>
      </c>
      <c r="O62">
        <v>51.610004000000004</v>
      </c>
      <c r="R62">
        <v>26.900002000000001</v>
      </c>
      <c r="U62">
        <v>36.960003</v>
      </c>
      <c r="X62">
        <v>0.40000004</v>
      </c>
      <c r="AA62">
        <v>0.80000009999999999</v>
      </c>
      <c r="AC62">
        <v>116.67000914</v>
      </c>
      <c r="AE62">
        <v>0.67292362946325557</v>
      </c>
      <c r="AG62">
        <v>0.32707637053674443</v>
      </c>
    </row>
    <row r="63" spans="2:33" x14ac:dyDescent="0.25">
      <c r="B63">
        <v>2012</v>
      </c>
      <c r="C63" s="7">
        <f>SUM(us[[#This Row],[Column6]]+us[[#This Row],[Column29]])</f>
        <v>243.29999691</v>
      </c>
      <c r="F63">
        <v>128.09</v>
      </c>
      <c r="I63">
        <v>115.20999</v>
      </c>
      <c r="L63">
        <v>315.67537260000012</v>
      </c>
      <c r="O63">
        <v>49.649997999999997</v>
      </c>
      <c r="R63">
        <v>27.289999000000002</v>
      </c>
      <c r="U63">
        <v>37.049999999999997</v>
      </c>
      <c r="X63">
        <v>0.40999996999999999</v>
      </c>
      <c r="AA63">
        <v>0.80999993999999997</v>
      </c>
      <c r="AC63">
        <v>115.20999691</v>
      </c>
      <c r="AE63">
        <v>0.66782396548542711</v>
      </c>
      <c r="AG63">
        <v>0.33217603451457289</v>
      </c>
    </row>
    <row r="64" spans="2:33" x14ac:dyDescent="0.25">
      <c r="B64">
        <v>2013</v>
      </c>
      <c r="C64" s="7">
        <f>SUM(us[[#This Row],[Column6]]+us[[#This Row],[Column29]])</f>
        <v>238.42998898000002</v>
      </c>
      <c r="F64">
        <v>123.05999</v>
      </c>
      <c r="I64">
        <v>115.369995</v>
      </c>
      <c r="L64">
        <v>316.11378630000002</v>
      </c>
      <c r="O64">
        <v>50.12</v>
      </c>
      <c r="R64">
        <v>27.699998999999998</v>
      </c>
      <c r="U64">
        <v>36.31</v>
      </c>
      <c r="X64">
        <v>0.42999998</v>
      </c>
      <c r="AA64">
        <v>0.81</v>
      </c>
      <c r="AC64">
        <v>115.36999898000001</v>
      </c>
      <c r="AE64">
        <v>0.67452543718484825</v>
      </c>
      <c r="AG64">
        <v>0.32547456281515175</v>
      </c>
    </row>
    <row r="65" spans="2:33" x14ac:dyDescent="0.25">
      <c r="B65">
        <v>2014</v>
      </c>
      <c r="C65" s="7">
        <f>SUM(us[[#This Row],[Column6]]+us[[#This Row],[Column29]])</f>
        <v>243.45001014000002</v>
      </c>
      <c r="F65">
        <v>128.66</v>
      </c>
      <c r="I65">
        <v>114.79001</v>
      </c>
      <c r="L65">
        <v>314.52462739999999</v>
      </c>
      <c r="O65">
        <v>50.610004000000004</v>
      </c>
      <c r="R65">
        <v>25.870003000000001</v>
      </c>
      <c r="U65">
        <v>37.050002999999997</v>
      </c>
      <c r="X65">
        <v>0.46000004</v>
      </c>
      <c r="AA65">
        <v>0.80000009999999999</v>
      </c>
      <c r="AC65">
        <v>114.79001014000001</v>
      </c>
      <c r="AE65">
        <v>0.66626012931546552</v>
      </c>
      <c r="AG65">
        <v>0.33373987068453437</v>
      </c>
    </row>
    <row r="66" spans="2:33" x14ac:dyDescent="0.25">
      <c r="B66">
        <v>2015</v>
      </c>
      <c r="C66" s="7">
        <f>SUM(us[[#This Row],[Column6]]+us[[#This Row],[Column29]])</f>
        <v>242.32999999999998</v>
      </c>
      <c r="F66">
        <v>125.91</v>
      </c>
      <c r="I66">
        <v>116.42</v>
      </c>
      <c r="L66">
        <v>318.99079999999998</v>
      </c>
      <c r="O66">
        <v>54.05</v>
      </c>
      <c r="R66">
        <v>26.33</v>
      </c>
      <c r="U66">
        <v>34.770000000000003</v>
      </c>
      <c r="X66">
        <v>0.47</v>
      </c>
      <c r="AA66">
        <v>0.8</v>
      </c>
      <c r="AC66">
        <v>116.42</v>
      </c>
      <c r="AE66">
        <v>0.69043119738876479</v>
      </c>
      <c r="AG66">
        <v>0.30956880261123515</v>
      </c>
    </row>
    <row r="67" spans="2:33" x14ac:dyDescent="0.25">
      <c r="B67">
        <v>2016</v>
      </c>
      <c r="C67" s="7">
        <f>SUM(us[[#This Row],[Column6]]+us[[#This Row],[Column29]])</f>
        <v>244.17998391999998</v>
      </c>
      <c r="F67">
        <v>125.979996</v>
      </c>
      <c r="I67">
        <v>118.19999</v>
      </c>
      <c r="L67">
        <v>323.86797259999997</v>
      </c>
      <c r="O67">
        <v>54.839995999999999</v>
      </c>
      <c r="R67">
        <v>26.469996999999999</v>
      </c>
      <c r="U67">
        <v>35.619995000000003</v>
      </c>
      <c r="X67">
        <v>0.46999996999999999</v>
      </c>
      <c r="AA67">
        <v>0.79999995000000002</v>
      </c>
      <c r="AC67">
        <v>118.19998792</v>
      </c>
      <c r="AE67">
        <v>0.68790187233379541</v>
      </c>
      <c r="AG67">
        <v>0.31209812766620465</v>
      </c>
    </row>
    <row r="68" spans="2:33" x14ac:dyDescent="0.25">
      <c r="B68">
        <v>2017</v>
      </c>
      <c r="C68" s="7">
        <f>SUM(us[[#This Row],[Column6]]+us[[#This Row],[Column29]])</f>
        <v>240.51998992</v>
      </c>
      <c r="F68">
        <v>121.229996</v>
      </c>
      <c r="I68">
        <v>119.299995</v>
      </c>
      <c r="L68">
        <v>326.88198629999999</v>
      </c>
      <c r="O68">
        <v>54.999996000000003</v>
      </c>
      <c r="R68">
        <v>26.419998</v>
      </c>
      <c r="U68">
        <v>36.57</v>
      </c>
      <c r="X68">
        <v>0.49999997000000002</v>
      </c>
      <c r="AA68">
        <v>0.79999995000000002</v>
      </c>
      <c r="AC68">
        <v>119.28999392</v>
      </c>
      <c r="AE68">
        <v>0.68253833640567596</v>
      </c>
      <c r="AG68">
        <v>0.31746166359432404</v>
      </c>
    </row>
    <row r="69" spans="2:33" x14ac:dyDescent="0.25">
      <c r="B69">
        <v>2018</v>
      </c>
      <c r="C69" s="7">
        <f>SUM(us[[#This Row],[Column6]]+us[[#This Row],[Column29]])</f>
        <v>244.4</v>
      </c>
      <c r="F69">
        <v>120.76</v>
      </c>
      <c r="I69">
        <v>123.64</v>
      </c>
      <c r="L69">
        <v>338.77359999999999</v>
      </c>
      <c r="O69">
        <v>56.06</v>
      </c>
      <c r="R69">
        <v>29.63</v>
      </c>
      <c r="U69">
        <v>36.61</v>
      </c>
      <c r="X69">
        <v>0.54</v>
      </c>
      <c r="AA69">
        <v>0.8</v>
      </c>
      <c r="AC69">
        <v>123.64</v>
      </c>
      <c r="AE69">
        <v>0.69306049822064053</v>
      </c>
      <c r="AG69">
        <v>0.30693950177935941</v>
      </c>
    </row>
    <row r="70" spans="2:33" x14ac:dyDescent="0.25">
      <c r="B70">
        <v>2019</v>
      </c>
      <c r="C70" s="7">
        <f>SUM(us[[#This Row],[Column6]]+us[[#This Row],[Column29]])</f>
        <v>255.54996990000001</v>
      </c>
      <c r="F70">
        <v>129.19998000000001</v>
      </c>
      <c r="I70">
        <v>126.33999</v>
      </c>
      <c r="L70">
        <v>346.17157259999999</v>
      </c>
      <c r="O70">
        <v>57.469996999999999</v>
      </c>
      <c r="R70">
        <v>30.349997999999999</v>
      </c>
      <c r="U70">
        <v>37.119995000000003</v>
      </c>
      <c r="X70">
        <v>0.60999994999999996</v>
      </c>
      <c r="AA70">
        <v>0.79999995000000002</v>
      </c>
      <c r="AC70">
        <v>126.3499899</v>
      </c>
      <c r="AE70">
        <v>0.69505343901891359</v>
      </c>
      <c r="AG70">
        <v>0.30494656098108641</v>
      </c>
    </row>
    <row r="71" spans="2:33" x14ac:dyDescent="0.25">
      <c r="B71">
        <v>2020</v>
      </c>
      <c r="C71" s="7">
        <f>SUM(us[[#This Row],[Column6]]+us[[#This Row],[Column29]])</f>
        <v>245.21998495000003</v>
      </c>
      <c r="F71">
        <v>118.26999000000001</v>
      </c>
      <c r="I71">
        <v>126.939995</v>
      </c>
      <c r="L71">
        <v>347.81558630000001</v>
      </c>
      <c r="O71">
        <v>57.889995999999996</v>
      </c>
      <c r="R71">
        <v>30.189999</v>
      </c>
      <c r="U71">
        <v>37.46</v>
      </c>
      <c r="X71">
        <v>0.61</v>
      </c>
      <c r="AA71">
        <v>0.79999995000000002</v>
      </c>
      <c r="AC71">
        <v>126.94999495</v>
      </c>
      <c r="AE71">
        <v>0.69381645138852366</v>
      </c>
      <c r="AG71">
        <v>0.30618354861147634</v>
      </c>
    </row>
    <row r="72" spans="2:33" x14ac:dyDescent="0.25">
      <c r="B72">
        <v>2021</v>
      </c>
      <c r="C72" s="7">
        <f>SUM(us[[#This Row],[Column6]]+us[[#This Row],[Column29]])</f>
        <v>253.3</v>
      </c>
      <c r="F72">
        <v>126.47</v>
      </c>
      <c r="I72">
        <v>126.83</v>
      </c>
      <c r="L72">
        <v>347.51420000000002</v>
      </c>
      <c r="O72">
        <v>57.67</v>
      </c>
      <c r="R72">
        <v>29.73</v>
      </c>
      <c r="U72">
        <v>37.81</v>
      </c>
      <c r="X72">
        <v>0.7</v>
      </c>
      <c r="AA72">
        <v>0.92</v>
      </c>
      <c r="AC72">
        <v>126.83</v>
      </c>
      <c r="AE72">
        <v>0.68911140897264056</v>
      </c>
      <c r="AG72">
        <v>0.3108885910273595</v>
      </c>
    </row>
    <row r="73" spans="2:33" x14ac:dyDescent="0.25">
      <c r="B73">
        <v>2022</v>
      </c>
      <c r="C73" s="7">
        <f t="shared" ref="C73:C74" si="0">SUM(F73+AC73)</f>
        <v>0</v>
      </c>
    </row>
    <row r="74" spans="2:33" x14ac:dyDescent="0.25">
      <c r="B74">
        <v>2023</v>
      </c>
      <c r="C74" s="7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790B-C157-4548-A466-C1358A16AB99}">
  <dimension ref="A1:AG74"/>
  <sheetViews>
    <sheetView topLeftCell="U1" workbookViewId="0">
      <selection activeCell="F15" sqref="F15"/>
    </sheetView>
  </sheetViews>
  <sheetFormatPr defaultColWidth="11" defaultRowHeight="15.75" x14ac:dyDescent="0.25"/>
  <cols>
    <col min="1" max="1" width="15.625" customWidth="1"/>
    <col min="2" max="2" width="16.625" customWidth="1"/>
    <col min="3" max="3" width="31.375" customWidth="1"/>
    <col min="4" max="4" width="31.5" customWidth="1"/>
    <col min="5" max="5" width="11.125" bestFit="1" customWidth="1"/>
    <col min="6" max="6" width="29" bestFit="1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</cols>
  <sheetData>
    <row r="1" spans="1:33" x14ac:dyDescent="0.25">
      <c r="A1" t="s">
        <v>109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</row>
    <row r="2" spans="1:33" x14ac:dyDescent="0.25">
      <c r="A2" t="s">
        <v>151</v>
      </c>
    </row>
    <row r="3" spans="1:33" x14ac:dyDescent="0.25">
      <c r="A3" t="s">
        <v>152</v>
      </c>
    </row>
    <row r="4" spans="1:33" x14ac:dyDescent="0.25">
      <c r="A4" t="s">
        <v>153</v>
      </c>
    </row>
    <row r="5" spans="1:33" x14ac:dyDescent="0.25">
      <c r="B5" t="s">
        <v>154</v>
      </c>
      <c r="C5" t="s">
        <v>155</v>
      </c>
    </row>
    <row r="6" spans="1:33" x14ac:dyDescent="0.25">
      <c r="B6" t="s">
        <v>156</v>
      </c>
      <c r="C6" t="s">
        <v>157</v>
      </c>
    </row>
    <row r="8" spans="1:33" x14ac:dyDescent="0.25">
      <c r="B8" t="s">
        <v>158</v>
      </c>
      <c r="C8" t="s">
        <v>159</v>
      </c>
      <c r="D8" t="s">
        <v>160</v>
      </c>
    </row>
    <row r="9" spans="1:33" x14ac:dyDescent="0.25">
      <c r="B9" t="s">
        <v>161</v>
      </c>
      <c r="C9" t="s">
        <v>111</v>
      </c>
      <c r="D9" t="s">
        <v>162</v>
      </c>
    </row>
    <row r="11" spans="1:33" x14ac:dyDescent="0.25">
      <c r="B11" t="s">
        <v>163</v>
      </c>
      <c r="C11" t="s">
        <v>164</v>
      </c>
    </row>
    <row r="13" spans="1:33" x14ac:dyDescent="0.25">
      <c r="F13" t="s">
        <v>165</v>
      </c>
      <c r="I13" t="s">
        <v>166</v>
      </c>
      <c r="L13" t="s">
        <v>167</v>
      </c>
      <c r="O13" t="s">
        <v>167</v>
      </c>
      <c r="R13" t="s">
        <v>167</v>
      </c>
      <c r="U13" t="s">
        <v>167</v>
      </c>
      <c r="X13" t="s">
        <v>167</v>
      </c>
      <c r="AA13" t="s">
        <v>167</v>
      </c>
      <c r="AC13" t="s">
        <v>167</v>
      </c>
      <c r="AE13" t="s">
        <v>167</v>
      </c>
      <c r="AG13" t="s">
        <v>167</v>
      </c>
    </row>
    <row r="14" spans="1:33" x14ac:dyDescent="0.25">
      <c r="B14" t="s">
        <v>168</v>
      </c>
      <c r="C14" s="7" t="s">
        <v>17</v>
      </c>
      <c r="F14" t="s">
        <v>169</v>
      </c>
      <c r="I14" t="s">
        <v>170</v>
      </c>
      <c r="L14" t="s">
        <v>171</v>
      </c>
      <c r="O14" t="s">
        <v>171</v>
      </c>
      <c r="R14" t="s">
        <v>171</v>
      </c>
      <c r="U14" t="s">
        <v>171</v>
      </c>
      <c r="X14" t="s">
        <v>171</v>
      </c>
      <c r="AA14" t="s">
        <v>196</v>
      </c>
      <c r="AC14" t="s">
        <v>196</v>
      </c>
      <c r="AE14" t="s">
        <v>196</v>
      </c>
      <c r="AG14" t="s">
        <v>196</v>
      </c>
    </row>
    <row r="15" spans="1:33" x14ac:dyDescent="0.25">
      <c r="B15" t="s">
        <v>172</v>
      </c>
      <c r="C15" s="7"/>
      <c r="F15" s="7" t="s">
        <v>173</v>
      </c>
      <c r="I15" t="s">
        <v>174</v>
      </c>
      <c r="L15" t="s">
        <v>175</v>
      </c>
      <c r="O15" t="s">
        <v>176</v>
      </c>
      <c r="R15" t="s">
        <v>177</v>
      </c>
      <c r="U15" t="s">
        <v>178</v>
      </c>
      <c r="X15" t="s">
        <v>179</v>
      </c>
      <c r="AA15" t="s">
        <v>180</v>
      </c>
      <c r="AC15" s="7" t="s">
        <v>181</v>
      </c>
      <c r="AE15" t="s">
        <v>182</v>
      </c>
      <c r="AG15" t="s">
        <v>183</v>
      </c>
    </row>
    <row r="16" spans="1:33" x14ac:dyDescent="0.25">
      <c r="B16" t="s">
        <v>184</v>
      </c>
      <c r="C16" s="7"/>
      <c r="F16" t="s">
        <v>185</v>
      </c>
      <c r="I16" t="s">
        <v>185</v>
      </c>
      <c r="L16" t="s">
        <v>186</v>
      </c>
      <c r="O16" t="s">
        <v>187</v>
      </c>
      <c r="R16" t="s">
        <v>188</v>
      </c>
      <c r="U16" t="s">
        <v>188</v>
      </c>
      <c r="X16" t="s">
        <v>188</v>
      </c>
      <c r="AA16" t="s">
        <v>187</v>
      </c>
      <c r="AC16" t="s">
        <v>187</v>
      </c>
      <c r="AE16" t="s">
        <v>189</v>
      </c>
      <c r="AG16" t="s">
        <v>189</v>
      </c>
    </row>
    <row r="17" spans="2:33" x14ac:dyDescent="0.25">
      <c r="B17" t="s">
        <v>190</v>
      </c>
      <c r="C17" s="7"/>
      <c r="F17" t="s">
        <v>191</v>
      </c>
      <c r="I17" t="s">
        <v>191</v>
      </c>
      <c r="L17" t="s">
        <v>191</v>
      </c>
      <c r="O17" t="s">
        <v>191</v>
      </c>
      <c r="R17" t="s">
        <v>191</v>
      </c>
      <c r="U17" t="s">
        <v>191</v>
      </c>
      <c r="X17" t="s">
        <v>191</v>
      </c>
      <c r="AA17" t="s">
        <v>191</v>
      </c>
      <c r="AC17" t="s">
        <v>192</v>
      </c>
      <c r="AE17" t="s">
        <v>192</v>
      </c>
      <c r="AG17" t="s">
        <v>192</v>
      </c>
    </row>
    <row r="18" spans="2:33" x14ac:dyDescent="0.25">
      <c r="B18" t="s">
        <v>193</v>
      </c>
      <c r="C18" s="7"/>
    </row>
    <row r="19" spans="2:33" x14ac:dyDescent="0.25">
      <c r="C19" s="7"/>
    </row>
    <row r="20" spans="2:33" x14ac:dyDescent="0.25">
      <c r="B20" t="s">
        <v>194</v>
      </c>
      <c r="C20" s="7"/>
      <c r="F20" t="s">
        <v>195</v>
      </c>
      <c r="I20" t="s">
        <v>195</v>
      </c>
      <c r="L20" t="s">
        <v>195</v>
      </c>
      <c r="O20" t="s">
        <v>195</v>
      </c>
      <c r="R20" t="s">
        <v>195</v>
      </c>
      <c r="U20" t="s">
        <v>195</v>
      </c>
      <c r="X20" t="s">
        <v>195</v>
      </c>
      <c r="AA20" t="s">
        <v>195</v>
      </c>
      <c r="AC20" t="s">
        <v>195</v>
      </c>
      <c r="AE20" t="s">
        <v>195</v>
      </c>
      <c r="AG20" t="s">
        <v>195</v>
      </c>
    </row>
    <row r="21" spans="2:33" x14ac:dyDescent="0.25">
      <c r="B21">
        <v>1970</v>
      </c>
      <c r="C21" s="7">
        <f>SUM(uk[[#This Row],[Column6]]+uk[[#This Row],[Column29]])</f>
        <v>148.55998020000001</v>
      </c>
      <c r="F21">
        <v>75.694370000000006</v>
      </c>
      <c r="I21">
        <v>72.865610000000004</v>
      </c>
      <c r="L21">
        <v>199.6517714</v>
      </c>
      <c r="O21">
        <v>10.542643</v>
      </c>
      <c r="R21">
        <v>27.605473</v>
      </c>
      <c r="U21">
        <v>24.194914000000001</v>
      </c>
      <c r="X21">
        <v>9.8003440000000008</v>
      </c>
      <c r="AA21">
        <v>0.72223619999999999</v>
      </c>
      <c r="AC21">
        <v>72.865610200000006</v>
      </c>
      <c r="AE21">
        <v>0.52354074707247844</v>
      </c>
      <c r="AG21">
        <v>0.47645925292752167</v>
      </c>
    </row>
    <row r="22" spans="2:33" x14ac:dyDescent="0.25">
      <c r="B22">
        <v>1971</v>
      </c>
      <c r="C22" s="7">
        <f>SUM(uk[[#This Row],[Column6]]+uk[[#This Row],[Column29]])</f>
        <v>149.8921584</v>
      </c>
      <c r="F22">
        <v>75.4071</v>
      </c>
      <c r="I22">
        <v>74.485060000000004</v>
      </c>
      <c r="L22">
        <v>204.08906440000001</v>
      </c>
      <c r="O22">
        <v>10.773875</v>
      </c>
      <c r="R22">
        <v>29.054383999999999</v>
      </c>
      <c r="U22">
        <v>23.812768999999999</v>
      </c>
      <c r="X22">
        <v>10.202609000000001</v>
      </c>
      <c r="AA22">
        <v>0.64142140000000003</v>
      </c>
      <c r="AC22">
        <v>74.4850584</v>
      </c>
      <c r="AE22">
        <v>0.53471474488365311</v>
      </c>
      <c r="AG22">
        <v>0.46528525511634689</v>
      </c>
    </row>
    <row r="23" spans="2:33" x14ac:dyDescent="0.25">
      <c r="B23">
        <v>1972</v>
      </c>
      <c r="C23" s="7">
        <f>SUM(uk[[#This Row],[Column6]]+uk[[#This Row],[Column29]])</f>
        <v>147.39541485000001</v>
      </c>
      <c r="F23">
        <v>73.16686</v>
      </c>
      <c r="I23">
        <v>74.228549999999998</v>
      </c>
      <c r="L23">
        <v>203.38622699999999</v>
      </c>
      <c r="O23">
        <v>12.029213</v>
      </c>
      <c r="R23">
        <v>28.775959</v>
      </c>
      <c r="U23">
        <v>23.487514000000001</v>
      </c>
      <c r="X23">
        <v>9.4551010000000009</v>
      </c>
      <c r="AA23">
        <v>0.48076785</v>
      </c>
      <c r="AC23">
        <v>74.228554850000009</v>
      </c>
      <c r="AE23">
        <v>0.54972337912894165</v>
      </c>
      <c r="AG23">
        <v>0.45027662087105819</v>
      </c>
    </row>
    <row r="24" spans="2:33" x14ac:dyDescent="0.25">
      <c r="B24">
        <v>1973</v>
      </c>
      <c r="C24" s="7">
        <f>SUM(uk[[#This Row],[Column6]]+uk[[#This Row],[Column29]])</f>
        <v>148.58977349999998</v>
      </c>
      <c r="F24">
        <v>78.226759999999999</v>
      </c>
      <c r="I24">
        <v>70.363014000000007</v>
      </c>
      <c r="L24">
        <v>192.79465836</v>
      </c>
      <c r="O24">
        <v>12.081121</v>
      </c>
      <c r="R24">
        <v>27.538145</v>
      </c>
      <c r="U24">
        <v>22.008476000000002</v>
      </c>
      <c r="X24">
        <v>8.3746410000000004</v>
      </c>
      <c r="AA24">
        <v>0.36063050000000002</v>
      </c>
      <c r="AC24">
        <v>70.363013499999994</v>
      </c>
      <c r="AE24">
        <v>0.56306948820490754</v>
      </c>
      <c r="AG24">
        <v>0.43693051179509246</v>
      </c>
    </row>
    <row r="25" spans="2:33" x14ac:dyDescent="0.25">
      <c r="B25">
        <v>1974</v>
      </c>
      <c r="C25" s="7">
        <f>SUM(uk[[#This Row],[Column6]]+uk[[#This Row],[Column29]])</f>
        <v>151.05761036999996</v>
      </c>
      <c r="F25">
        <v>80.244029999999995</v>
      </c>
      <c r="I25">
        <v>70.813580000000002</v>
      </c>
      <c r="L25">
        <v>194.0292092</v>
      </c>
      <c r="O25">
        <v>11.745474</v>
      </c>
      <c r="R25">
        <v>26.487445999999998</v>
      </c>
      <c r="U25">
        <v>24.593337999999999</v>
      </c>
      <c r="X25">
        <v>7.6766486</v>
      </c>
      <c r="AA25">
        <v>0.31067377000000002</v>
      </c>
      <c r="AC25">
        <v>70.813580369999983</v>
      </c>
      <c r="AE25">
        <v>0.53990943262907365</v>
      </c>
      <c r="AG25">
        <v>0.46009056737092657</v>
      </c>
    </row>
    <row r="26" spans="2:33" x14ac:dyDescent="0.25">
      <c r="B26">
        <v>1975</v>
      </c>
      <c r="C26" s="7">
        <f>SUM(uk[[#This Row],[Column6]]+uk[[#This Row],[Column29]])</f>
        <v>139.35071770000002</v>
      </c>
      <c r="F26">
        <v>70.823493999999997</v>
      </c>
      <c r="I26">
        <v>68.52722</v>
      </c>
      <c r="L26">
        <v>187.7645828</v>
      </c>
      <c r="O26">
        <v>11.330957</v>
      </c>
      <c r="R26">
        <v>23.795010000000001</v>
      </c>
      <c r="U26">
        <v>24.837859999999999</v>
      </c>
      <c r="X26">
        <v>8.2926570000000002</v>
      </c>
      <c r="AA26">
        <v>0.27073970000000003</v>
      </c>
      <c r="AC26">
        <v>68.527223700000008</v>
      </c>
      <c r="AE26">
        <v>0.51258412501541339</v>
      </c>
      <c r="AG26">
        <v>0.48741587498458649</v>
      </c>
    </row>
    <row r="27" spans="2:33" x14ac:dyDescent="0.25">
      <c r="B27">
        <v>1976</v>
      </c>
      <c r="C27" s="7">
        <f>SUM(uk[[#This Row],[Column6]]+uk[[#This Row],[Column29]])</f>
        <v>133.00823415000002</v>
      </c>
      <c r="F27">
        <v>65.721360000000004</v>
      </c>
      <c r="I27">
        <v>67.276840000000007</v>
      </c>
      <c r="L27">
        <v>184.33854160000001</v>
      </c>
      <c r="O27">
        <v>12.283241</v>
      </c>
      <c r="R27">
        <v>24.144998999999999</v>
      </c>
      <c r="U27">
        <v>23.031078000000001</v>
      </c>
      <c r="X27">
        <v>7.5967435999999999</v>
      </c>
      <c r="AA27">
        <v>0.23081255000000001</v>
      </c>
      <c r="AC27">
        <v>67.286874150000003</v>
      </c>
      <c r="AE27">
        <v>0.54138701582112359</v>
      </c>
      <c r="AG27">
        <v>0.45861298417887641</v>
      </c>
    </row>
    <row r="28" spans="2:33" x14ac:dyDescent="0.25">
      <c r="B28">
        <v>1977</v>
      </c>
      <c r="C28" s="7">
        <f>SUM(uk[[#This Row],[Column6]]+uk[[#This Row],[Column29]])</f>
        <v>158.25167766999999</v>
      </c>
      <c r="F28">
        <v>90.548599999999993</v>
      </c>
      <c r="I28">
        <v>67.70308</v>
      </c>
      <c r="L28">
        <v>185.50643919999999</v>
      </c>
      <c r="O28">
        <v>12.421938000000001</v>
      </c>
      <c r="R28">
        <v>25.386144999999999</v>
      </c>
      <c r="U28">
        <v>22.664764000000002</v>
      </c>
      <c r="X28">
        <v>6.9791809999999996</v>
      </c>
      <c r="AA28">
        <v>0.25104967</v>
      </c>
      <c r="AC28">
        <v>67.703077669999999</v>
      </c>
      <c r="AE28">
        <v>0.55843965003016671</v>
      </c>
      <c r="AG28">
        <v>0.44156034996983318</v>
      </c>
    </row>
    <row r="29" spans="2:33" x14ac:dyDescent="0.25">
      <c r="B29">
        <v>1978</v>
      </c>
      <c r="C29" s="7">
        <f>SUM(uk[[#This Row],[Column6]]+uk[[#This Row],[Column29]])</f>
        <v>147.97241982999998</v>
      </c>
      <c r="F29">
        <v>77.616973999999999</v>
      </c>
      <c r="I29">
        <v>70.355446000000001</v>
      </c>
      <c r="L29">
        <v>192.77392204</v>
      </c>
      <c r="O29">
        <v>12.725246</v>
      </c>
      <c r="R29">
        <v>26.103327</v>
      </c>
      <c r="U29">
        <v>24.245259999999998</v>
      </c>
      <c r="X29">
        <v>6.9803046999999996</v>
      </c>
      <c r="AA29">
        <v>0.30130813000000001</v>
      </c>
      <c r="AC29">
        <v>70.355445829999994</v>
      </c>
      <c r="AE29">
        <v>0.55189150664785147</v>
      </c>
      <c r="AG29">
        <v>0.44810849335214858</v>
      </c>
    </row>
    <row r="30" spans="2:33" x14ac:dyDescent="0.25">
      <c r="B30">
        <v>1979</v>
      </c>
      <c r="C30" s="7">
        <f>SUM(uk[[#This Row],[Column6]]+uk[[#This Row],[Column29]])</f>
        <v>152.45412379999999</v>
      </c>
      <c r="F30">
        <v>79.906639999999996</v>
      </c>
      <c r="I30">
        <v>72.547484999999995</v>
      </c>
      <c r="L30">
        <v>198.78010889999999</v>
      </c>
      <c r="O30">
        <v>13.533628999999999</v>
      </c>
      <c r="R30">
        <v>27.197776999999999</v>
      </c>
      <c r="U30">
        <v>24.386637</v>
      </c>
      <c r="X30">
        <v>7.1182074999999996</v>
      </c>
      <c r="AA30">
        <v>0.31123329999999999</v>
      </c>
      <c r="AC30">
        <v>72.547483799999995</v>
      </c>
      <c r="AE30">
        <v>0.5614447788746052</v>
      </c>
      <c r="AG30">
        <v>0.43855522112539486</v>
      </c>
    </row>
    <row r="31" spans="2:33" x14ac:dyDescent="0.25">
      <c r="B31">
        <v>1980</v>
      </c>
      <c r="C31" s="7">
        <f>SUM(uk[[#This Row],[Column6]]+uk[[#This Row],[Column29]])</f>
        <v>149.18804795</v>
      </c>
      <c r="F31">
        <v>78.335260000000005</v>
      </c>
      <c r="I31">
        <v>70.852789999999999</v>
      </c>
      <c r="L31">
        <v>194.13664460000001</v>
      </c>
      <c r="O31">
        <v>13.640967</v>
      </c>
      <c r="R31">
        <v>26.499583999999999</v>
      </c>
      <c r="U31">
        <v>22.808499999999999</v>
      </c>
      <c r="X31">
        <v>7.6329235999999998</v>
      </c>
      <c r="AA31">
        <v>0.27081335000000001</v>
      </c>
      <c r="AC31">
        <v>70.852787949999993</v>
      </c>
      <c r="AE31">
        <v>0.56653453112285057</v>
      </c>
      <c r="AG31">
        <v>0.4334654688771496</v>
      </c>
    </row>
    <row r="32" spans="2:33" x14ac:dyDescent="0.25">
      <c r="B32">
        <v>1981</v>
      </c>
      <c r="C32" s="7">
        <f>SUM(uk[[#This Row],[Column6]]+uk[[#This Row],[Column29]])</f>
        <v>147.39293616999998</v>
      </c>
      <c r="F32">
        <v>77.970249999999993</v>
      </c>
      <c r="I32">
        <v>69.42268</v>
      </c>
      <c r="L32">
        <v>190.21814319999999</v>
      </c>
      <c r="O32">
        <v>13.477701</v>
      </c>
      <c r="R32">
        <v>26.113672000000001</v>
      </c>
      <c r="U32">
        <v>22.616484</v>
      </c>
      <c r="X32">
        <v>6.9142112999999998</v>
      </c>
      <c r="AA32">
        <v>0.30061787000000001</v>
      </c>
      <c r="AC32">
        <v>69.422686170000006</v>
      </c>
      <c r="AE32">
        <v>0.57029445537514845</v>
      </c>
      <c r="AG32">
        <v>0.4297055446248515</v>
      </c>
    </row>
    <row r="33" spans="2:33" x14ac:dyDescent="0.25">
      <c r="B33">
        <v>1982</v>
      </c>
      <c r="C33" s="7">
        <f>SUM(uk[[#This Row],[Column6]]+uk[[#This Row],[Column29]])</f>
        <v>154.86521519999999</v>
      </c>
      <c r="F33">
        <v>85.800315999999995</v>
      </c>
      <c r="I33">
        <v>69.064896000000005</v>
      </c>
      <c r="L33">
        <v>189.23781503999999</v>
      </c>
      <c r="O33">
        <v>14.582148999999999</v>
      </c>
      <c r="R33">
        <v>25.809200000000001</v>
      </c>
      <c r="U33">
        <v>20.941807000000001</v>
      </c>
      <c r="X33">
        <v>7.4513173000000004</v>
      </c>
      <c r="AA33">
        <v>0.28042590000000001</v>
      </c>
      <c r="AC33">
        <v>69.064899199999999</v>
      </c>
      <c r="AE33">
        <v>0.58483179542525121</v>
      </c>
      <c r="AG33">
        <v>0.41516820457474873</v>
      </c>
    </row>
    <row r="34" spans="2:33" x14ac:dyDescent="0.25">
      <c r="B34">
        <v>1983</v>
      </c>
      <c r="C34" s="7">
        <f>SUM(uk[[#This Row],[Column6]]+uk[[#This Row],[Column29]])</f>
        <v>149.42382305999999</v>
      </c>
      <c r="F34">
        <v>80.544479999999993</v>
      </c>
      <c r="I34">
        <v>68.879350000000002</v>
      </c>
      <c r="L34">
        <v>188.72941900000001</v>
      </c>
      <c r="O34">
        <v>14.548871</v>
      </c>
      <c r="R34">
        <v>25.893587</v>
      </c>
      <c r="U34">
        <v>21.007248000000001</v>
      </c>
      <c r="X34">
        <v>7.2293773000000003</v>
      </c>
      <c r="AA34">
        <v>0.20025976000000001</v>
      </c>
      <c r="AC34">
        <v>68.879343059999997</v>
      </c>
      <c r="AE34">
        <v>0.5871492990978594</v>
      </c>
      <c r="AG34">
        <v>0.41285070090214071</v>
      </c>
    </row>
    <row r="35" spans="2:33" x14ac:dyDescent="0.25">
      <c r="B35">
        <v>1984</v>
      </c>
      <c r="C35" s="7">
        <f>SUM(uk[[#This Row],[Column6]]+uk[[#This Row],[Column29]])</f>
        <v>153.85589880999999</v>
      </c>
      <c r="F35">
        <v>84.236305000000002</v>
      </c>
      <c r="I35">
        <v>69.619600000000005</v>
      </c>
      <c r="L35">
        <v>190.75770399999999</v>
      </c>
      <c r="O35">
        <v>14.88702</v>
      </c>
      <c r="R35">
        <v>25.028614000000001</v>
      </c>
      <c r="U35">
        <v>22.455673000000001</v>
      </c>
      <c r="X35">
        <v>7.028035</v>
      </c>
      <c r="AA35">
        <v>0.22025180999999999</v>
      </c>
      <c r="AC35">
        <v>69.619593809999998</v>
      </c>
      <c r="AE35">
        <v>0.57333908193912231</v>
      </c>
      <c r="AG35">
        <v>0.42666091806087775</v>
      </c>
    </row>
    <row r="36" spans="2:33" x14ac:dyDescent="0.25">
      <c r="B36">
        <v>1985</v>
      </c>
      <c r="C36" s="7">
        <f>SUM(uk[[#This Row],[Column6]]+uk[[#This Row],[Column29]])</f>
        <v>152.09297341999999</v>
      </c>
      <c r="F36">
        <v>81.463359999999994</v>
      </c>
      <c r="I36">
        <v>70.639629999999997</v>
      </c>
      <c r="L36">
        <v>193.55258620000001</v>
      </c>
      <c r="O36">
        <v>16.100428000000001</v>
      </c>
      <c r="R36">
        <v>25.181950000000001</v>
      </c>
      <c r="U36">
        <v>21.917808999999998</v>
      </c>
      <c r="X36">
        <v>7.1490707000000002</v>
      </c>
      <c r="AA36">
        <v>0.28035571999999997</v>
      </c>
      <c r="AC36">
        <v>70.629613419999998</v>
      </c>
      <c r="AE36">
        <v>0.58449106544748808</v>
      </c>
      <c r="AG36">
        <v>0.41550893455251192</v>
      </c>
    </row>
    <row r="37" spans="2:33" x14ac:dyDescent="0.25">
      <c r="B37">
        <v>1986</v>
      </c>
      <c r="C37" s="7">
        <f>SUM(uk[[#This Row],[Column6]]+uk[[#This Row],[Column29]])</f>
        <v>154.55767494999998</v>
      </c>
      <c r="F37">
        <v>82.768699999999995</v>
      </c>
      <c r="I37">
        <v>71.798990000000003</v>
      </c>
      <c r="L37">
        <v>196.72923259999999</v>
      </c>
      <c r="O37">
        <v>17.591604</v>
      </c>
      <c r="R37">
        <v>25.055014</v>
      </c>
      <c r="U37">
        <v>22.11974</v>
      </c>
      <c r="X37">
        <v>6.762149</v>
      </c>
      <c r="AA37">
        <v>0.26046795</v>
      </c>
      <c r="AC37">
        <v>71.788974949999997</v>
      </c>
      <c r="AE37">
        <v>0.59405525750580457</v>
      </c>
      <c r="AG37">
        <v>0.40594474249419554</v>
      </c>
    </row>
    <row r="38" spans="2:33" x14ac:dyDescent="0.25">
      <c r="B38">
        <v>1987</v>
      </c>
      <c r="C38" s="7">
        <f>SUM(uk[[#This Row],[Column6]]+uk[[#This Row],[Column29]])</f>
        <v>154.16370688000001</v>
      </c>
      <c r="F38">
        <v>80.384429999999995</v>
      </c>
      <c r="I38">
        <v>73.789299999999997</v>
      </c>
      <c r="L38">
        <v>202.182682</v>
      </c>
      <c r="O38">
        <v>17.99128</v>
      </c>
      <c r="R38">
        <v>25.939513999999999</v>
      </c>
      <c r="U38">
        <v>22.822362999999999</v>
      </c>
      <c r="X38">
        <v>6.7354529999999997</v>
      </c>
      <c r="AA38">
        <v>0.29066688000000002</v>
      </c>
      <c r="AC38">
        <v>73.779276879999998</v>
      </c>
      <c r="AE38">
        <v>0.59543541029078195</v>
      </c>
      <c r="AG38">
        <v>0.4045645897092181</v>
      </c>
    </row>
    <row r="39" spans="2:33" x14ac:dyDescent="0.25">
      <c r="B39">
        <v>1988</v>
      </c>
      <c r="C39" s="7">
        <f>SUM(uk[[#This Row],[Column6]]+uk[[#This Row],[Column29]])</f>
        <v>161.21136042999998</v>
      </c>
      <c r="F39">
        <v>87.599829999999997</v>
      </c>
      <c r="I39">
        <v>73.611534000000006</v>
      </c>
      <c r="L39">
        <v>201.69560315999999</v>
      </c>
      <c r="O39">
        <v>18.871666000000001</v>
      </c>
      <c r="R39">
        <v>26.061350000000001</v>
      </c>
      <c r="U39">
        <v>21.709434999999999</v>
      </c>
      <c r="X39">
        <v>6.8487499999999999</v>
      </c>
      <c r="AA39">
        <v>0.12032943</v>
      </c>
      <c r="AC39">
        <v>73.611530429999988</v>
      </c>
      <c r="AE39">
        <v>0.61040730626744033</v>
      </c>
      <c r="AG39">
        <v>0.38959269373255995</v>
      </c>
    </row>
    <row r="40" spans="2:33" x14ac:dyDescent="0.25">
      <c r="B40">
        <v>1989</v>
      </c>
      <c r="C40" s="7">
        <f>SUM(uk[[#This Row],[Column6]]+uk[[#This Row],[Column29]])</f>
        <v>158.47102731000001</v>
      </c>
      <c r="F40">
        <v>86.740660000000005</v>
      </c>
      <c r="I40">
        <v>71.740399999999994</v>
      </c>
      <c r="L40">
        <v>196.56869599999999</v>
      </c>
      <c r="O40">
        <v>17.598973999999998</v>
      </c>
      <c r="R40">
        <v>25.314829</v>
      </c>
      <c r="U40">
        <v>21.85323</v>
      </c>
      <c r="X40">
        <v>6.8228635999999998</v>
      </c>
      <c r="AA40">
        <v>0.14047071</v>
      </c>
      <c r="AC40">
        <v>71.730367310000005</v>
      </c>
      <c r="AE40">
        <v>0.59826548516805578</v>
      </c>
      <c r="AG40">
        <v>0.40173451483194417</v>
      </c>
    </row>
    <row r="41" spans="2:33" x14ac:dyDescent="0.25">
      <c r="B41">
        <v>1990</v>
      </c>
      <c r="C41" s="7">
        <f>SUM(uk[[#This Row],[Column6]]+uk[[#This Row],[Column29]])</f>
        <v>160.78072066999999</v>
      </c>
      <c r="F41">
        <v>88.540809999999993</v>
      </c>
      <c r="I41">
        <v>72.239909999999995</v>
      </c>
      <c r="L41">
        <v>197.93735340000001</v>
      </c>
      <c r="O41">
        <v>18.770132</v>
      </c>
      <c r="R41">
        <v>25.153981999999999</v>
      </c>
      <c r="U41">
        <v>20.757556999999998</v>
      </c>
      <c r="X41">
        <v>7.3574896000000001</v>
      </c>
      <c r="AA41">
        <v>0.20075007</v>
      </c>
      <c r="AC41">
        <v>72.239910669999986</v>
      </c>
      <c r="AE41">
        <v>0.60803112286019123</v>
      </c>
      <c r="AG41">
        <v>0.39196887713980894</v>
      </c>
    </row>
    <row r="42" spans="2:33" x14ac:dyDescent="0.25">
      <c r="B42">
        <v>1991</v>
      </c>
      <c r="C42" s="7">
        <f>SUM(uk[[#This Row],[Column6]]+uk[[#This Row],[Column29]])</f>
        <v>162.00051250999999</v>
      </c>
      <c r="F42">
        <v>89.201669999999993</v>
      </c>
      <c r="I42">
        <v>72.788799999999995</v>
      </c>
      <c r="L42">
        <v>199.44131200000001</v>
      </c>
      <c r="O42">
        <v>19.24371</v>
      </c>
      <c r="R42">
        <v>25.025856000000001</v>
      </c>
      <c r="U42">
        <v>21.201208000000001</v>
      </c>
      <c r="X42">
        <v>7.1072226000000001</v>
      </c>
      <c r="AA42">
        <v>0.22084591000000001</v>
      </c>
      <c r="AC42">
        <v>72.79884251</v>
      </c>
      <c r="AE42">
        <v>0.60810810273417348</v>
      </c>
      <c r="AG42">
        <v>0.39189189726582657</v>
      </c>
    </row>
    <row r="43" spans="2:33" x14ac:dyDescent="0.25">
      <c r="B43">
        <v>1992</v>
      </c>
      <c r="C43" s="7">
        <f>SUM(uk[[#This Row],[Column6]]+uk[[#This Row],[Column29]])</f>
        <v>167.21095958000001</v>
      </c>
      <c r="F43">
        <v>91.285380000000004</v>
      </c>
      <c r="I43">
        <v>75.925574999999995</v>
      </c>
      <c r="L43">
        <v>208.03607550000001</v>
      </c>
      <c r="O43">
        <v>23.330828</v>
      </c>
      <c r="R43">
        <v>24.696141999999998</v>
      </c>
      <c r="U43">
        <v>20.630313999999998</v>
      </c>
      <c r="X43">
        <v>7.0273576000000002</v>
      </c>
      <c r="AA43">
        <v>0.24093798</v>
      </c>
      <c r="AC43">
        <v>75.925579580000004</v>
      </c>
      <c r="AE43">
        <v>0.63255322205865727</v>
      </c>
      <c r="AG43">
        <v>0.36744677794134262</v>
      </c>
    </row>
    <row r="44" spans="2:33" x14ac:dyDescent="0.25">
      <c r="B44">
        <v>1993</v>
      </c>
      <c r="C44" s="7">
        <f>SUM(uk[[#This Row],[Column6]]+uk[[#This Row],[Column29]])</f>
        <v>162.26704308000001</v>
      </c>
      <c r="F44">
        <v>89.724365000000006</v>
      </c>
      <c r="I44">
        <v>72.532640000000001</v>
      </c>
      <c r="L44">
        <v>198.73943360000001</v>
      </c>
      <c r="O44">
        <v>23.829426000000002</v>
      </c>
      <c r="R44">
        <v>24.482150000000001</v>
      </c>
      <c r="U44">
        <v>17.091311999999999</v>
      </c>
      <c r="X44">
        <v>6.9489939999999999</v>
      </c>
      <c r="AA44">
        <v>0.19079608000000001</v>
      </c>
      <c r="AC44">
        <v>72.542678080000002</v>
      </c>
      <c r="AE44">
        <v>0.66597453083717195</v>
      </c>
      <c r="AG44">
        <v>0.33402546916282794</v>
      </c>
    </row>
    <row r="45" spans="2:33" x14ac:dyDescent="0.25">
      <c r="B45">
        <v>1994</v>
      </c>
      <c r="C45" s="7">
        <f>SUM(uk[[#This Row],[Column6]]+uk[[#This Row],[Column29]])</f>
        <v>155.67289848000001</v>
      </c>
      <c r="F45">
        <v>81.648660000000007</v>
      </c>
      <c r="I45">
        <v>74.024240000000006</v>
      </c>
      <c r="L45">
        <v>202.82641760000001</v>
      </c>
      <c r="O45">
        <v>25.193756</v>
      </c>
      <c r="R45">
        <v>25.103348</v>
      </c>
      <c r="U45">
        <v>16.926428000000001</v>
      </c>
      <c r="X45">
        <v>6.6098447</v>
      </c>
      <c r="AA45">
        <v>0.19086178000000001</v>
      </c>
      <c r="AC45">
        <v>74.024238479999994</v>
      </c>
      <c r="AE45">
        <v>0.67946803685916146</v>
      </c>
      <c r="AG45">
        <v>0.32053196314083848</v>
      </c>
    </row>
    <row r="46" spans="2:33" x14ac:dyDescent="0.25">
      <c r="B46">
        <v>1995</v>
      </c>
      <c r="C46" s="7">
        <f>SUM(uk[[#This Row],[Column6]]+uk[[#This Row],[Column29]])</f>
        <v>151.17398079999998</v>
      </c>
      <c r="F46">
        <v>77.315383999999995</v>
      </c>
      <c r="I46">
        <v>73.858599999999996</v>
      </c>
      <c r="L46">
        <v>202.37256400000001</v>
      </c>
      <c r="O46">
        <v>25.463629999999998</v>
      </c>
      <c r="R46">
        <v>24.056799999999999</v>
      </c>
      <c r="U46">
        <v>17.474844000000001</v>
      </c>
      <c r="X46">
        <v>6.6824446000000002</v>
      </c>
      <c r="AA46">
        <v>0.18087819999999999</v>
      </c>
      <c r="AC46">
        <v>73.858596799999987</v>
      </c>
      <c r="AE46">
        <v>0.67047618213077131</v>
      </c>
      <c r="AG46">
        <v>0.3295238178692288</v>
      </c>
    </row>
    <row r="47" spans="2:33" x14ac:dyDescent="0.25">
      <c r="B47">
        <v>1996</v>
      </c>
      <c r="C47" s="7">
        <f>SUM(uk[[#This Row],[Column6]]+uk[[#This Row],[Column29]])</f>
        <v>154.92571819</v>
      </c>
      <c r="F47">
        <v>81.388530000000003</v>
      </c>
      <c r="I47">
        <v>73.547250000000005</v>
      </c>
      <c r="L47">
        <v>201.519465</v>
      </c>
      <c r="O47">
        <v>26.398996</v>
      </c>
      <c r="R47">
        <v>24.780474000000002</v>
      </c>
      <c r="U47">
        <v>15.360878</v>
      </c>
      <c r="X47">
        <v>6.8359933000000002</v>
      </c>
      <c r="AA47">
        <v>0.16084688999999999</v>
      </c>
      <c r="AC47">
        <v>73.537188189999995</v>
      </c>
      <c r="AE47">
        <v>0.69596718693902515</v>
      </c>
      <c r="AG47">
        <v>0.30403281306097485</v>
      </c>
    </row>
    <row r="48" spans="2:33" x14ac:dyDescent="0.25">
      <c r="B48">
        <v>1997</v>
      </c>
      <c r="C48" s="7">
        <f>SUM(uk[[#This Row],[Column6]]+uk[[#This Row],[Column29]])</f>
        <v>158.58515123999999</v>
      </c>
      <c r="F48">
        <v>84.897803999999994</v>
      </c>
      <c r="I48">
        <v>73.687349999999995</v>
      </c>
      <c r="L48">
        <v>201.90333899999999</v>
      </c>
      <c r="O48">
        <v>26.020309999999998</v>
      </c>
      <c r="R48">
        <v>24.240715000000002</v>
      </c>
      <c r="U48">
        <v>16.901136000000001</v>
      </c>
      <c r="X48">
        <v>6.3743730000000003</v>
      </c>
      <c r="AA48">
        <v>0.15081323999999999</v>
      </c>
      <c r="AC48">
        <v>73.687347239999994</v>
      </c>
      <c r="AE48">
        <v>0.68208487457554456</v>
      </c>
      <c r="AG48">
        <v>0.31791512542445544</v>
      </c>
    </row>
    <row r="49" spans="2:33" x14ac:dyDescent="0.25">
      <c r="B49">
        <v>1998</v>
      </c>
      <c r="C49" s="7">
        <f>SUM(uk[[#This Row],[Column6]]+uk[[#This Row],[Column29]])</f>
        <v>165.53501413999999</v>
      </c>
      <c r="F49">
        <v>88.810180000000003</v>
      </c>
      <c r="I49">
        <v>76.724829999999997</v>
      </c>
      <c r="L49">
        <v>210.22603419999999</v>
      </c>
      <c r="O49">
        <v>28.58455</v>
      </c>
      <c r="R49">
        <v>24.924762999999999</v>
      </c>
      <c r="U49">
        <v>16.428826999999998</v>
      </c>
      <c r="X49">
        <v>6.6157700000000004</v>
      </c>
      <c r="AA49">
        <v>0.17092414</v>
      </c>
      <c r="AC49">
        <v>76.724834139999999</v>
      </c>
      <c r="AE49">
        <v>0.69741842520456176</v>
      </c>
      <c r="AG49">
        <v>0.30258157479543818</v>
      </c>
    </row>
    <row r="50" spans="2:33" x14ac:dyDescent="0.25">
      <c r="B50">
        <v>1999</v>
      </c>
      <c r="C50" s="7">
        <f>SUM(uk[[#This Row],[Column6]]+uk[[#This Row],[Column29]])</f>
        <v>169.19922414999996</v>
      </c>
      <c r="F50">
        <v>92.799644000000001</v>
      </c>
      <c r="I50">
        <v>76.389529999999993</v>
      </c>
      <c r="L50">
        <v>209.30731220000001</v>
      </c>
      <c r="O50">
        <v>28.275286000000001</v>
      </c>
      <c r="R50">
        <v>24.494522</v>
      </c>
      <c r="U50">
        <v>16.661503</v>
      </c>
      <c r="X50">
        <v>6.7671647000000004</v>
      </c>
      <c r="AA50">
        <v>0.20110444999999999</v>
      </c>
      <c r="AC50">
        <v>76.399580149999977</v>
      </c>
      <c r="AE50">
        <v>0.69070808892396773</v>
      </c>
      <c r="AG50">
        <v>0.30929191107603227</v>
      </c>
    </row>
    <row r="51" spans="2:33" x14ac:dyDescent="0.25">
      <c r="B51">
        <v>2000</v>
      </c>
      <c r="C51" s="7">
        <f>SUM(uk[[#This Row],[Column6]]+uk[[#This Row],[Column29]])</f>
        <v>165.10220068000001</v>
      </c>
      <c r="F51">
        <v>87.604020000000006</v>
      </c>
      <c r="I51">
        <v>77.488119999999995</v>
      </c>
      <c r="L51">
        <v>212.31744879999999</v>
      </c>
      <c r="O51">
        <v>28.658339000000002</v>
      </c>
      <c r="R51">
        <v>24.28417</v>
      </c>
      <c r="U51">
        <v>17.345837</v>
      </c>
      <c r="X51">
        <v>6.8478345999999997</v>
      </c>
      <c r="AA51">
        <v>0.36200008</v>
      </c>
      <c r="AC51">
        <v>77.498180680000004</v>
      </c>
      <c r="AE51">
        <v>0.6831451852864322</v>
      </c>
      <c r="AG51">
        <v>0.3168548147135678</v>
      </c>
    </row>
    <row r="52" spans="2:33" x14ac:dyDescent="0.25">
      <c r="B52">
        <v>2001</v>
      </c>
      <c r="C52" s="7">
        <f>SUM(uk[[#This Row],[Column6]]+uk[[#This Row],[Column29]])</f>
        <v>170.22394980000001</v>
      </c>
      <c r="F52">
        <v>91.340416000000005</v>
      </c>
      <c r="I52">
        <v>78.893590000000003</v>
      </c>
      <c r="L52">
        <v>216.16843660000001</v>
      </c>
      <c r="O52">
        <v>29.267140000000001</v>
      </c>
      <c r="R52">
        <v>25.687919999999998</v>
      </c>
      <c r="U52">
        <v>17.503979999999999</v>
      </c>
      <c r="X52">
        <v>5.5799593999999999</v>
      </c>
      <c r="AA52">
        <v>0.84453440000000002</v>
      </c>
      <c r="AC52">
        <v>78.883533799999995</v>
      </c>
      <c r="AE52">
        <v>0.69666072693107473</v>
      </c>
      <c r="AG52">
        <v>0.30333927306892533</v>
      </c>
    </row>
    <row r="53" spans="2:33" x14ac:dyDescent="0.25">
      <c r="B53">
        <v>2002</v>
      </c>
      <c r="C53" s="7">
        <f>SUM(uk[[#This Row],[Column6]]+uk[[#This Row],[Column29]])</f>
        <v>165.76831390000001</v>
      </c>
      <c r="F53">
        <v>86.130775</v>
      </c>
      <c r="I53">
        <v>79.637540000000001</v>
      </c>
      <c r="L53">
        <v>218.2068596</v>
      </c>
      <c r="O53">
        <v>29.229579999999999</v>
      </c>
      <c r="R53">
        <v>24.244067999999999</v>
      </c>
      <c r="U53">
        <v>19.168089999999999</v>
      </c>
      <c r="X53">
        <v>5.9504514000000004</v>
      </c>
      <c r="AA53">
        <v>1.0453494999999999</v>
      </c>
      <c r="AC53">
        <v>79.63753890000001</v>
      </c>
      <c r="AE53">
        <v>0.67146283949264518</v>
      </c>
      <c r="AG53">
        <v>0.3285371605073546</v>
      </c>
    </row>
    <row r="54" spans="2:33" x14ac:dyDescent="0.25">
      <c r="B54">
        <v>2003</v>
      </c>
      <c r="C54" s="7">
        <f>SUM(uk[[#This Row],[Column6]]+uk[[#This Row],[Column29]])</f>
        <v>176.03010060000003</v>
      </c>
      <c r="F54">
        <v>92.721980000000002</v>
      </c>
      <c r="I54">
        <v>83.308120000000002</v>
      </c>
      <c r="L54">
        <v>228.26424879999999</v>
      </c>
      <c r="O54">
        <v>29.899296</v>
      </c>
      <c r="R54">
        <v>26.051369000000001</v>
      </c>
      <c r="U54">
        <v>21.048061000000001</v>
      </c>
      <c r="X54">
        <v>5.6965393999999998</v>
      </c>
      <c r="AA54">
        <v>0.61285520000000004</v>
      </c>
      <c r="AC54">
        <v>83.308120600000009</v>
      </c>
      <c r="AE54">
        <v>0.67161117784236746</v>
      </c>
      <c r="AG54">
        <v>0.32838882215763243</v>
      </c>
    </row>
    <row r="55" spans="2:33" x14ac:dyDescent="0.25">
      <c r="B55">
        <v>2004</v>
      </c>
      <c r="C55" s="7">
        <f>SUM(uk[[#This Row],[Column6]]+uk[[#This Row],[Column29]])</f>
        <v>175.89597320000001</v>
      </c>
      <c r="F55">
        <v>90.642880000000005</v>
      </c>
      <c r="I55">
        <v>85.253100000000003</v>
      </c>
      <c r="L55">
        <v>233.59349399999999</v>
      </c>
      <c r="O55">
        <v>31.084156</v>
      </c>
      <c r="R55">
        <v>25.955321999999999</v>
      </c>
      <c r="U55">
        <v>21.970687999999999</v>
      </c>
      <c r="X55">
        <v>5.8615265000000001</v>
      </c>
      <c r="AA55">
        <v>0.38140069999999998</v>
      </c>
      <c r="AC55">
        <v>85.253093199999995</v>
      </c>
      <c r="AE55">
        <v>0.66906050981854581</v>
      </c>
      <c r="AG55">
        <v>0.33093949018145424</v>
      </c>
    </row>
    <row r="56" spans="2:33" x14ac:dyDescent="0.25">
      <c r="B56">
        <v>2005</v>
      </c>
      <c r="C56" s="7">
        <f>SUM(uk[[#This Row],[Column6]]+uk[[#This Row],[Column29]])</f>
        <v>179.81263016000003</v>
      </c>
      <c r="F56">
        <v>96.095860000000002</v>
      </c>
      <c r="I56">
        <v>83.70675</v>
      </c>
      <c r="L56">
        <v>229.356495</v>
      </c>
      <c r="O56">
        <v>30.862539999999999</v>
      </c>
      <c r="R56">
        <v>25.890854000000001</v>
      </c>
      <c r="U56">
        <v>20.728722000000001</v>
      </c>
      <c r="X56">
        <v>5.8738060000000001</v>
      </c>
      <c r="AA56">
        <v>0.36084815999999997</v>
      </c>
      <c r="AC56">
        <v>83.71677016000001</v>
      </c>
      <c r="AE56">
        <v>0.67792144741767468</v>
      </c>
      <c r="AG56">
        <v>0.32207855258232521</v>
      </c>
    </row>
    <row r="57" spans="2:33" x14ac:dyDescent="0.25">
      <c r="B57">
        <v>2006</v>
      </c>
      <c r="C57" s="7">
        <f>SUM(uk[[#This Row],[Column6]]+uk[[#This Row],[Column29]])</f>
        <v>179.2269694</v>
      </c>
      <c r="F57">
        <v>93.441839999999999</v>
      </c>
      <c r="I57">
        <v>85.775120000000001</v>
      </c>
      <c r="L57">
        <v>235.02382879999999</v>
      </c>
      <c r="O57">
        <v>30.756937000000001</v>
      </c>
      <c r="R57">
        <v>26.91357</v>
      </c>
      <c r="U57">
        <v>21.759056000000001</v>
      </c>
      <c r="X57">
        <v>5.9452069999999999</v>
      </c>
      <c r="AA57">
        <v>0.41035939999999999</v>
      </c>
      <c r="AC57">
        <v>85.785129400000002</v>
      </c>
      <c r="AE57">
        <v>0.67226694653677355</v>
      </c>
      <c r="AG57">
        <v>0.32773305346322645</v>
      </c>
    </row>
    <row r="58" spans="2:33" x14ac:dyDescent="0.25">
      <c r="B58">
        <v>2007</v>
      </c>
      <c r="C58" s="7">
        <f>SUM(uk[[#This Row],[Column6]]+uk[[#This Row],[Column29]])</f>
        <v>176.58090379999999</v>
      </c>
      <c r="F58">
        <v>91.522720000000007</v>
      </c>
      <c r="I58">
        <v>85.058179999999993</v>
      </c>
      <c r="L58">
        <v>233.05941319999999</v>
      </c>
      <c r="O58">
        <v>28.995519999999999</v>
      </c>
      <c r="R58">
        <v>27.376884</v>
      </c>
      <c r="U58">
        <v>21.901508</v>
      </c>
      <c r="X58">
        <v>6.1148369999999996</v>
      </c>
      <c r="AA58">
        <v>0.6694348</v>
      </c>
      <c r="AC58">
        <v>85.058183799999995</v>
      </c>
      <c r="AE58">
        <v>0.66275108968409469</v>
      </c>
      <c r="AG58">
        <v>0.33724891031590548</v>
      </c>
    </row>
    <row r="59" spans="2:33" x14ac:dyDescent="0.25">
      <c r="B59">
        <v>2008</v>
      </c>
      <c r="C59" s="7">
        <f>SUM(uk[[#This Row],[Column6]]+uk[[#This Row],[Column29]])</f>
        <v>174.0119565</v>
      </c>
      <c r="F59">
        <v>92.735240000000005</v>
      </c>
      <c r="I59">
        <v>81.266750000000002</v>
      </c>
      <c r="L59">
        <v>222.670895</v>
      </c>
      <c r="O59">
        <v>28.082851000000002</v>
      </c>
      <c r="R59">
        <v>26.00855</v>
      </c>
      <c r="U59">
        <v>20.832767</v>
      </c>
      <c r="X59">
        <v>5.7741375000000001</v>
      </c>
      <c r="AA59">
        <v>0.57841100000000001</v>
      </c>
      <c r="AC59">
        <v>81.276716500000006</v>
      </c>
      <c r="AE59">
        <v>0.66552148424942836</v>
      </c>
      <c r="AG59">
        <v>0.33447851575057164</v>
      </c>
    </row>
    <row r="60" spans="2:33" x14ac:dyDescent="0.25">
      <c r="B60">
        <v>2009</v>
      </c>
      <c r="C60" s="7">
        <f>SUM(uk[[#This Row],[Column6]]+uk[[#This Row],[Column29]])</f>
        <v>168.6123388</v>
      </c>
      <c r="F60">
        <v>88.222179999999994</v>
      </c>
      <c r="I60">
        <v>80.390159999999995</v>
      </c>
      <c r="L60">
        <v>220.2690384</v>
      </c>
      <c r="O60">
        <v>28.840143000000001</v>
      </c>
      <c r="R60">
        <v>25.993946000000001</v>
      </c>
      <c r="U60">
        <v>19.415845999999998</v>
      </c>
      <c r="X60">
        <v>5.3540362999999997</v>
      </c>
      <c r="AA60">
        <v>0.78618750000000004</v>
      </c>
      <c r="AC60">
        <v>80.390158800000009</v>
      </c>
      <c r="AE60">
        <v>0.68209952335608526</v>
      </c>
      <c r="AG60">
        <v>0.31790047664391474</v>
      </c>
    </row>
    <row r="61" spans="2:33" x14ac:dyDescent="0.25">
      <c r="B61">
        <v>2010</v>
      </c>
      <c r="C61" s="7">
        <f>SUM(uk[[#This Row],[Column6]]+uk[[#This Row],[Column29]])</f>
        <v>210.09997070000003</v>
      </c>
      <c r="F61">
        <v>130.92998</v>
      </c>
      <c r="I61">
        <v>79.169989999999999</v>
      </c>
      <c r="L61">
        <v>216.92577259999999</v>
      </c>
      <c r="O61">
        <v>28.879995000000001</v>
      </c>
      <c r="R61">
        <v>25.189997000000002</v>
      </c>
      <c r="U61">
        <v>19.539999000000002</v>
      </c>
      <c r="X61">
        <v>4.7599998000000001</v>
      </c>
      <c r="AA61">
        <v>0.79999989999999999</v>
      </c>
      <c r="AC61">
        <v>79.169990700000014</v>
      </c>
      <c r="AE61">
        <v>0.68296069662163028</v>
      </c>
      <c r="AG61">
        <v>0.31703930337836955</v>
      </c>
    </row>
    <row r="62" spans="2:33" x14ac:dyDescent="0.25">
      <c r="B62">
        <v>2011</v>
      </c>
      <c r="C62" s="7">
        <f>SUM(uk[[#This Row],[Column6]]+uk[[#This Row],[Column29]])</f>
        <v>215.53000000000003</v>
      </c>
      <c r="F62">
        <v>135.61000000000001</v>
      </c>
      <c r="I62">
        <v>79.92</v>
      </c>
      <c r="L62">
        <v>218.98079999999999</v>
      </c>
      <c r="O62">
        <v>29.28</v>
      </c>
      <c r="R62">
        <v>25.8</v>
      </c>
      <c r="U62">
        <v>18.79</v>
      </c>
      <c r="X62">
        <v>4.63</v>
      </c>
      <c r="AA62">
        <v>1.42</v>
      </c>
      <c r="AC62">
        <v>79.92</v>
      </c>
      <c r="AE62">
        <v>0.68918918918918914</v>
      </c>
      <c r="AG62">
        <v>0.31081081081081074</v>
      </c>
    </row>
    <row r="63" spans="2:33" x14ac:dyDescent="0.25">
      <c r="B63">
        <v>2012</v>
      </c>
      <c r="C63" s="7">
        <f>SUM(uk[[#This Row],[Column6]]+uk[[#This Row],[Column29]])</f>
        <v>209.2100021</v>
      </c>
      <c r="F63">
        <v>129.22999999999999</v>
      </c>
      <c r="I63">
        <v>79.98</v>
      </c>
      <c r="L63">
        <v>219.14519999999999</v>
      </c>
      <c r="O63">
        <v>29.970001</v>
      </c>
      <c r="R63">
        <v>25.460000999999998</v>
      </c>
      <c r="U63">
        <v>18.75</v>
      </c>
      <c r="X63">
        <v>4.18</v>
      </c>
      <c r="AA63">
        <v>1.6200000999999999</v>
      </c>
      <c r="AC63">
        <v>79.980002099999993</v>
      </c>
      <c r="AE63">
        <v>0.69304826887470161</v>
      </c>
      <c r="AG63">
        <v>0.30695173112529833</v>
      </c>
    </row>
    <row r="64" spans="2:33" x14ac:dyDescent="0.25">
      <c r="B64">
        <v>2013</v>
      </c>
      <c r="C64" s="7">
        <f>SUM(uk[[#This Row],[Column6]]+uk[[#This Row],[Column29]])</f>
        <v>210.86001680000001</v>
      </c>
      <c r="F64">
        <v>132.40001000000001</v>
      </c>
      <c r="I64">
        <v>78.460009999999997</v>
      </c>
      <c r="L64">
        <v>214.9804274</v>
      </c>
      <c r="O64">
        <v>29.770002000000002</v>
      </c>
      <c r="R64">
        <v>24.740002</v>
      </c>
      <c r="U64">
        <v>18.080002</v>
      </c>
      <c r="X64">
        <v>4.4200005999999998</v>
      </c>
      <c r="AA64">
        <v>1.4500002000000001</v>
      </c>
      <c r="AC64">
        <v>78.460006800000002</v>
      </c>
      <c r="AE64">
        <v>0.69474890741406359</v>
      </c>
      <c r="AG64">
        <v>0.30525109258593647</v>
      </c>
    </row>
    <row r="65" spans="2:33" x14ac:dyDescent="0.25">
      <c r="B65">
        <v>2014</v>
      </c>
      <c r="C65" s="7">
        <f>SUM(uk[[#This Row],[Column6]]+uk[[#This Row],[Column29]])</f>
        <v>208.65998450000001</v>
      </c>
      <c r="F65">
        <v>130.21999</v>
      </c>
      <c r="I65">
        <v>78.439994999999996</v>
      </c>
      <c r="L65">
        <v>214.92558629999999</v>
      </c>
      <c r="O65">
        <v>29.419998</v>
      </c>
      <c r="R65">
        <v>24.779999</v>
      </c>
      <c r="U65">
        <v>18.339998000000001</v>
      </c>
      <c r="X65">
        <v>4.4399996000000002</v>
      </c>
      <c r="AA65">
        <v>1.4599998999999999</v>
      </c>
      <c r="AC65">
        <v>78.439994499999997</v>
      </c>
      <c r="AE65">
        <v>0.69097400306421486</v>
      </c>
      <c r="AG65">
        <v>0.30902599693578514</v>
      </c>
    </row>
    <row r="66" spans="2:33" x14ac:dyDescent="0.25">
      <c r="B66">
        <v>2015</v>
      </c>
      <c r="C66" s="7">
        <f>SUM(uk[[#This Row],[Column6]]+uk[[#This Row],[Column29]])</f>
        <v>209.99996949999999</v>
      </c>
      <c r="F66">
        <v>127.52997999999999</v>
      </c>
      <c r="I66">
        <v>82.459990000000005</v>
      </c>
      <c r="L66">
        <v>225.94037259999999</v>
      </c>
      <c r="O66">
        <v>31.799994999999999</v>
      </c>
      <c r="R66">
        <v>25.649996000000002</v>
      </c>
      <c r="U66">
        <v>18.689999</v>
      </c>
      <c r="X66">
        <v>4.8199997000000003</v>
      </c>
      <c r="AA66">
        <v>1.5099997999999999</v>
      </c>
      <c r="AC66">
        <v>82.469989499999997</v>
      </c>
      <c r="AE66">
        <v>0.69661693118076606</v>
      </c>
      <c r="AG66">
        <v>0.30338306881923394</v>
      </c>
    </row>
    <row r="67" spans="2:33" x14ac:dyDescent="0.25">
      <c r="B67">
        <v>2016</v>
      </c>
      <c r="C67" s="7">
        <f>SUM(uk[[#This Row],[Column6]]+uk[[#This Row],[Column29]])</f>
        <v>217.23000000000002</v>
      </c>
      <c r="F67">
        <v>132.37</v>
      </c>
      <c r="I67">
        <v>84.86</v>
      </c>
      <c r="L67">
        <v>232.5164</v>
      </c>
      <c r="O67">
        <v>33.590000000000003</v>
      </c>
      <c r="R67">
        <v>26.45</v>
      </c>
      <c r="U67">
        <v>18.739999999999998</v>
      </c>
      <c r="X67">
        <v>4.58</v>
      </c>
      <c r="AA67">
        <v>1.5</v>
      </c>
      <c r="AC67">
        <v>84.86</v>
      </c>
      <c r="AE67">
        <v>0.70751826537827012</v>
      </c>
      <c r="AG67">
        <v>0.29248173462172994</v>
      </c>
    </row>
    <row r="68" spans="2:33" x14ac:dyDescent="0.25">
      <c r="B68">
        <v>2017</v>
      </c>
      <c r="C68" s="7">
        <f>SUM(uk[[#This Row],[Column6]]+uk[[#This Row],[Column29]])</f>
        <v>214.23996770000002</v>
      </c>
      <c r="F68">
        <v>131.00998000000001</v>
      </c>
      <c r="I68">
        <v>83.219986000000006</v>
      </c>
      <c r="L68">
        <v>228.02276164</v>
      </c>
      <c r="O68">
        <v>33.409996</v>
      </c>
      <c r="R68">
        <v>25.699997</v>
      </c>
      <c r="U68">
        <v>18.639996</v>
      </c>
      <c r="X68">
        <v>4.3199990000000001</v>
      </c>
      <c r="AA68">
        <v>1.1599997</v>
      </c>
      <c r="AC68">
        <v>83.229987699999995</v>
      </c>
      <c r="AE68">
        <v>0.71020066965599238</v>
      </c>
      <c r="AG68">
        <v>0.28979933034400773</v>
      </c>
    </row>
    <row r="69" spans="2:33" x14ac:dyDescent="0.25">
      <c r="B69">
        <v>2018</v>
      </c>
      <c r="C69" s="7">
        <f>SUM(uk[[#This Row],[Column6]]+uk[[#This Row],[Column29]])</f>
        <v>209.21998924000002</v>
      </c>
      <c r="F69">
        <v>125.14999400000001</v>
      </c>
      <c r="I69">
        <v>84.069990000000004</v>
      </c>
      <c r="L69">
        <v>230.3517726</v>
      </c>
      <c r="O69">
        <v>34.489998</v>
      </c>
      <c r="R69">
        <v>25.869999</v>
      </c>
      <c r="U69">
        <v>18.609998999999998</v>
      </c>
      <c r="X69">
        <v>4.2199992999999996</v>
      </c>
      <c r="AA69">
        <v>0.87999994000000004</v>
      </c>
      <c r="AC69">
        <v>84.069995239999997</v>
      </c>
      <c r="AE69">
        <v>0.71797312260678081</v>
      </c>
      <c r="AG69">
        <v>0.28202687739321919</v>
      </c>
    </row>
    <row r="70" spans="2:33" x14ac:dyDescent="0.25">
      <c r="B70">
        <v>2019</v>
      </c>
      <c r="C70" s="7">
        <f>SUM(uk[[#This Row],[Column6]]+uk[[#This Row],[Column29]])</f>
        <v>214.46999299999999</v>
      </c>
      <c r="F70">
        <v>132.4</v>
      </c>
      <c r="I70">
        <v>82.059989999999999</v>
      </c>
      <c r="L70">
        <v>224.84437260000001</v>
      </c>
      <c r="O70">
        <v>34.219996999999999</v>
      </c>
      <c r="R70">
        <v>25.549997000000001</v>
      </c>
      <c r="U70">
        <v>17.189999</v>
      </c>
      <c r="X70">
        <v>4.09</v>
      </c>
      <c r="AA70">
        <v>1.02</v>
      </c>
      <c r="AC70">
        <v>82.069992999999997</v>
      </c>
      <c r="AE70">
        <v>0.72828072496606644</v>
      </c>
      <c r="AG70">
        <v>0.27171927503393356</v>
      </c>
    </row>
    <row r="71" spans="2:33" x14ac:dyDescent="0.25">
      <c r="B71">
        <v>2020</v>
      </c>
      <c r="C71" s="7">
        <f>SUM(uk[[#This Row],[Column6]]+uk[[#This Row],[Column29]])</f>
        <v>227.91999480000001</v>
      </c>
      <c r="F71">
        <v>143.5</v>
      </c>
      <c r="I71">
        <v>84.419989999999999</v>
      </c>
      <c r="L71">
        <v>231.31077260000001</v>
      </c>
      <c r="O71">
        <v>33.840000000000003</v>
      </c>
      <c r="R71">
        <v>25.239998</v>
      </c>
      <c r="U71">
        <v>20.299997000000001</v>
      </c>
      <c r="X71">
        <v>3.9899998000000001</v>
      </c>
      <c r="AA71">
        <v>1.05</v>
      </c>
      <c r="AC71">
        <v>84.419994800000012</v>
      </c>
      <c r="AE71">
        <v>0.69983418193719193</v>
      </c>
      <c r="AG71">
        <v>0.30016581806280801</v>
      </c>
    </row>
    <row r="72" spans="2:33" x14ac:dyDescent="0.25">
      <c r="B72">
        <v>2021</v>
      </c>
      <c r="C72" s="7">
        <f>SUM(uk[[#This Row],[Column6]]+uk[[#This Row],[Column29]])</f>
        <v>252.37</v>
      </c>
      <c r="F72">
        <v>170.11</v>
      </c>
      <c r="I72">
        <v>82.27</v>
      </c>
      <c r="L72">
        <v>225.41980000000001</v>
      </c>
      <c r="O72">
        <v>34.14</v>
      </c>
      <c r="R72">
        <v>25.32</v>
      </c>
      <c r="U72">
        <v>18</v>
      </c>
      <c r="X72">
        <v>3.64</v>
      </c>
      <c r="AA72">
        <v>1.1599999999999999</v>
      </c>
      <c r="AC72">
        <v>82.26</v>
      </c>
      <c r="AE72">
        <v>0.7228300510576221</v>
      </c>
      <c r="AG72">
        <v>0.27716994894237784</v>
      </c>
    </row>
    <row r="73" spans="2:33" x14ac:dyDescent="0.25">
      <c r="B73">
        <v>2022</v>
      </c>
      <c r="C73" s="7"/>
    </row>
    <row r="74" spans="2:33" x14ac:dyDescent="0.25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DBF7-8C73-D14E-86E0-DC673C2BF9E5}">
  <dimension ref="A1:AG74"/>
  <sheetViews>
    <sheetView topLeftCell="B1" workbookViewId="0">
      <selection activeCell="D23" sqref="D23"/>
    </sheetView>
  </sheetViews>
  <sheetFormatPr defaultColWidth="11" defaultRowHeight="15.75" x14ac:dyDescent="0.25"/>
  <cols>
    <col min="1" max="1" width="15" customWidth="1"/>
    <col min="2" max="2" width="28.125" bestFit="1" customWidth="1"/>
    <col min="3" max="3" width="35.5" customWidth="1"/>
    <col min="4" max="4" width="32.625" customWidth="1"/>
    <col min="5" max="5" width="11.125" bestFit="1" customWidth="1"/>
    <col min="6" max="6" width="29" bestFit="1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</cols>
  <sheetData>
    <row r="1" spans="1:33" x14ac:dyDescent="0.25">
      <c r="A1" t="s">
        <v>109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</row>
    <row r="2" spans="1:33" x14ac:dyDescent="0.25">
      <c r="A2" t="s">
        <v>151</v>
      </c>
    </row>
    <row r="3" spans="1:33" x14ac:dyDescent="0.25">
      <c r="A3" t="s">
        <v>152</v>
      </c>
    </row>
    <row r="4" spans="1:33" x14ac:dyDescent="0.25">
      <c r="A4" t="s">
        <v>153</v>
      </c>
    </row>
    <row r="5" spans="1:33" x14ac:dyDescent="0.25">
      <c r="B5" t="s">
        <v>154</v>
      </c>
      <c r="C5" t="s">
        <v>155</v>
      </c>
    </row>
    <row r="6" spans="1:33" x14ac:dyDescent="0.25">
      <c r="B6" t="s">
        <v>156</v>
      </c>
      <c r="C6" t="s">
        <v>157</v>
      </c>
    </row>
    <row r="8" spans="1:33" x14ac:dyDescent="0.25">
      <c r="B8" t="s">
        <v>158</v>
      </c>
      <c r="C8" t="s">
        <v>159</v>
      </c>
      <c r="D8" t="s">
        <v>160</v>
      </c>
    </row>
    <row r="9" spans="1:33" x14ac:dyDescent="0.25">
      <c r="B9" t="s">
        <v>161</v>
      </c>
      <c r="C9" t="s">
        <v>30</v>
      </c>
      <c r="D9" t="s">
        <v>162</v>
      </c>
    </row>
    <row r="11" spans="1:33" x14ac:dyDescent="0.25">
      <c r="B11" t="s">
        <v>163</v>
      </c>
      <c r="C11" t="s">
        <v>164</v>
      </c>
    </row>
    <row r="13" spans="1:33" x14ac:dyDescent="0.25">
      <c r="F13" t="s">
        <v>165</v>
      </c>
      <c r="I13" t="s">
        <v>166</v>
      </c>
      <c r="L13" t="s">
        <v>167</v>
      </c>
      <c r="O13" t="s">
        <v>167</v>
      </c>
      <c r="R13" t="s">
        <v>167</v>
      </c>
      <c r="U13" t="s">
        <v>167</v>
      </c>
      <c r="X13" t="s">
        <v>167</v>
      </c>
      <c r="AA13" t="s">
        <v>167</v>
      </c>
      <c r="AC13" t="s">
        <v>167</v>
      </c>
      <c r="AE13" t="s">
        <v>167</v>
      </c>
      <c r="AG13" t="s">
        <v>167</v>
      </c>
    </row>
    <row r="14" spans="1:33" x14ac:dyDescent="0.25">
      <c r="B14" t="s">
        <v>168</v>
      </c>
      <c r="C14" s="7" t="s">
        <v>17</v>
      </c>
      <c r="F14" t="s">
        <v>169</v>
      </c>
      <c r="I14" t="s">
        <v>170</v>
      </c>
      <c r="L14" t="s">
        <v>171</v>
      </c>
      <c r="O14" t="s">
        <v>171</v>
      </c>
      <c r="R14" t="s">
        <v>171</v>
      </c>
      <c r="U14" t="s">
        <v>171</v>
      </c>
      <c r="X14" t="s">
        <v>171</v>
      </c>
      <c r="AA14" t="s">
        <v>171</v>
      </c>
      <c r="AC14" t="s">
        <v>171</v>
      </c>
      <c r="AE14" t="s">
        <v>171</v>
      </c>
      <c r="AG14" t="s">
        <v>171</v>
      </c>
    </row>
    <row r="15" spans="1:33" x14ac:dyDescent="0.25">
      <c r="B15" t="s">
        <v>172</v>
      </c>
      <c r="C15" s="7"/>
      <c r="F15" s="7" t="s">
        <v>173</v>
      </c>
      <c r="I15" t="s">
        <v>174</v>
      </c>
      <c r="L15" t="s">
        <v>175</v>
      </c>
      <c r="O15" t="s">
        <v>176</v>
      </c>
      <c r="R15" t="s">
        <v>177</v>
      </c>
      <c r="U15" t="s">
        <v>178</v>
      </c>
      <c r="X15" t="s">
        <v>179</v>
      </c>
      <c r="AA15" t="s">
        <v>180</v>
      </c>
      <c r="AC15" s="7" t="s">
        <v>181</v>
      </c>
      <c r="AE15" t="s">
        <v>182</v>
      </c>
      <c r="AG15" t="s">
        <v>183</v>
      </c>
    </row>
    <row r="16" spans="1:33" x14ac:dyDescent="0.25">
      <c r="B16" t="s">
        <v>184</v>
      </c>
      <c r="C16" s="7"/>
      <c r="F16" t="s">
        <v>185</v>
      </c>
      <c r="I16" t="s">
        <v>185</v>
      </c>
      <c r="L16" t="s">
        <v>186</v>
      </c>
      <c r="O16" t="s">
        <v>187</v>
      </c>
      <c r="R16" t="s">
        <v>188</v>
      </c>
      <c r="U16" t="s">
        <v>188</v>
      </c>
      <c r="X16" t="s">
        <v>188</v>
      </c>
      <c r="AA16" t="s">
        <v>187</v>
      </c>
      <c r="AC16" t="s">
        <v>187</v>
      </c>
      <c r="AE16" t="s">
        <v>189</v>
      </c>
      <c r="AG16" t="s">
        <v>189</v>
      </c>
    </row>
    <row r="17" spans="2:33" x14ac:dyDescent="0.25">
      <c r="B17" t="s">
        <v>190</v>
      </c>
      <c r="C17" s="7"/>
      <c r="F17" t="s">
        <v>191</v>
      </c>
      <c r="I17" t="s">
        <v>191</v>
      </c>
      <c r="L17" t="s">
        <v>191</v>
      </c>
      <c r="O17" t="s">
        <v>191</v>
      </c>
      <c r="R17" t="s">
        <v>191</v>
      </c>
      <c r="U17" t="s">
        <v>191</v>
      </c>
      <c r="X17" t="s">
        <v>191</v>
      </c>
      <c r="AA17" t="s">
        <v>191</v>
      </c>
      <c r="AC17" t="s">
        <v>192</v>
      </c>
      <c r="AE17" t="s">
        <v>192</v>
      </c>
      <c r="AG17" t="s">
        <v>192</v>
      </c>
    </row>
    <row r="18" spans="2:33" x14ac:dyDescent="0.25">
      <c r="B18" t="s">
        <v>193</v>
      </c>
      <c r="C18" s="7"/>
    </row>
    <row r="19" spans="2:33" x14ac:dyDescent="0.25">
      <c r="C19" s="7"/>
    </row>
    <row r="20" spans="2:33" x14ac:dyDescent="0.25">
      <c r="B20" t="s">
        <v>194</v>
      </c>
      <c r="C20" s="7"/>
      <c r="F20" t="s">
        <v>195</v>
      </c>
      <c r="I20" t="s">
        <v>195</v>
      </c>
      <c r="L20" t="s">
        <v>195</v>
      </c>
      <c r="O20" t="s">
        <v>195</v>
      </c>
      <c r="R20" t="s">
        <v>195</v>
      </c>
      <c r="U20" t="s">
        <v>195</v>
      </c>
      <c r="X20" t="s">
        <v>195</v>
      </c>
      <c r="AA20" t="s">
        <v>195</v>
      </c>
      <c r="AC20" t="s">
        <v>195</v>
      </c>
      <c r="AE20" t="s">
        <v>195</v>
      </c>
      <c r="AG20" t="s">
        <v>195</v>
      </c>
    </row>
    <row r="21" spans="2:33" x14ac:dyDescent="0.25">
      <c r="B21">
        <v>1970</v>
      </c>
      <c r="C21" s="7">
        <f>SUM(india[[#This Row],[Column6]]+india[[#This Row],[Column29]])</f>
        <v>46.437518084999994</v>
      </c>
      <c r="F21">
        <v>42.842419999999997</v>
      </c>
      <c r="I21">
        <v>3.6050567999999998</v>
      </c>
      <c r="L21">
        <v>9.8778556320000011</v>
      </c>
      <c r="O21">
        <v>0.16929826000000001</v>
      </c>
      <c r="R21">
        <v>0.30872034999999998</v>
      </c>
      <c r="U21">
        <v>2.3104231</v>
      </c>
      <c r="X21">
        <v>0.68715172999999996</v>
      </c>
      <c r="AA21">
        <v>0.11950464500000001</v>
      </c>
      <c r="AC21">
        <v>3.5950980850000001</v>
      </c>
      <c r="AE21">
        <v>0.13296399672500173</v>
      </c>
      <c r="AG21">
        <v>0.8670360032749983</v>
      </c>
    </row>
    <row r="22" spans="2:33" x14ac:dyDescent="0.25">
      <c r="B22">
        <v>1971</v>
      </c>
      <c r="C22" s="7">
        <f>SUM(india[[#This Row],[Column6]]+india[[#This Row],[Column29]])</f>
        <v>47.267345169999999</v>
      </c>
      <c r="F22">
        <v>43.641356999999999</v>
      </c>
      <c r="I22">
        <v>3.6259882000000001</v>
      </c>
      <c r="L22">
        <v>9.9352076680000003</v>
      </c>
      <c r="O22">
        <v>0.16934560000000001</v>
      </c>
      <c r="R22">
        <v>0.33869120000000003</v>
      </c>
      <c r="U22">
        <v>2.3210308999999998</v>
      </c>
      <c r="X22">
        <v>0.66742089999999998</v>
      </c>
      <c r="AA22">
        <v>0.12949957000000001</v>
      </c>
      <c r="AC22">
        <v>3.6259881699999998</v>
      </c>
      <c r="AE22">
        <v>0.14010988899613536</v>
      </c>
      <c r="AG22">
        <v>0.85989011100386459</v>
      </c>
    </row>
    <row r="23" spans="2:33" x14ac:dyDescent="0.25">
      <c r="B23">
        <v>1972</v>
      </c>
      <c r="C23" s="7">
        <f>SUM(india[[#This Row],[Column6]]+india[[#This Row],[Column29]])</f>
        <v>48.061273929999999</v>
      </c>
      <c r="F23">
        <v>44.483832999999997</v>
      </c>
      <c r="I23">
        <v>3.5874060000000001</v>
      </c>
      <c r="L23">
        <v>9.8294924399999992</v>
      </c>
      <c r="O23">
        <v>0.15944026</v>
      </c>
      <c r="R23">
        <v>0.34877560000000002</v>
      </c>
      <c r="U23">
        <v>2.2919537999999999</v>
      </c>
      <c r="X23">
        <v>0.64772605999999999</v>
      </c>
      <c r="AA23">
        <v>0.12954520999999999</v>
      </c>
      <c r="AC23">
        <v>3.5774409299999999</v>
      </c>
      <c r="AE23">
        <v>0.14206128625022468</v>
      </c>
      <c r="AG23">
        <v>0.85793871374977537</v>
      </c>
    </row>
    <row r="24" spans="2:33" x14ac:dyDescent="0.25">
      <c r="B24">
        <v>1973</v>
      </c>
      <c r="C24" s="7">
        <f>SUM(india[[#This Row],[Column6]]+india[[#This Row],[Column29]])</f>
        <v>48.533628049999997</v>
      </c>
      <c r="F24">
        <v>44.945189999999997</v>
      </c>
      <c r="I24">
        <v>3.5884383</v>
      </c>
      <c r="L24">
        <v>9.8323209420000008</v>
      </c>
      <c r="O24">
        <v>0.15948614</v>
      </c>
      <c r="R24">
        <v>0.34887594</v>
      </c>
      <c r="U24">
        <v>2.302581</v>
      </c>
      <c r="X24">
        <v>0.63794459999999997</v>
      </c>
      <c r="AA24">
        <v>0.13955037000000001</v>
      </c>
      <c r="AC24">
        <v>3.5884380499999997</v>
      </c>
      <c r="AE24">
        <v>0.14166667305291783</v>
      </c>
      <c r="AG24">
        <v>0.8583333269470822</v>
      </c>
    </row>
    <row r="25" spans="2:33" x14ac:dyDescent="0.25">
      <c r="B25">
        <v>1974</v>
      </c>
      <c r="C25" s="7">
        <f>SUM(india[[#This Row],[Column6]]+india[[#This Row],[Column29]])</f>
        <v>49.071265699999998</v>
      </c>
      <c r="F25">
        <v>45.471443000000001</v>
      </c>
      <c r="I25">
        <v>3.5998225000000001</v>
      </c>
      <c r="L25">
        <v>9.8635136500000016</v>
      </c>
      <c r="O25">
        <v>0.15954892000000001</v>
      </c>
      <c r="R25">
        <v>0.34901326999999999</v>
      </c>
      <c r="U25">
        <v>2.3234313000000002</v>
      </c>
      <c r="X25">
        <v>0.62822389999999995</v>
      </c>
      <c r="AA25">
        <v>0.13960531000000001</v>
      </c>
      <c r="AC25">
        <v>3.5998227000000003</v>
      </c>
      <c r="AE25">
        <v>0.14127423275596324</v>
      </c>
      <c r="AG25">
        <v>0.8587257672440366</v>
      </c>
    </row>
    <row r="26" spans="2:33" x14ac:dyDescent="0.25">
      <c r="B26">
        <v>1975</v>
      </c>
      <c r="C26" s="7">
        <f>SUM(india[[#This Row],[Column6]]+india[[#This Row],[Column29]])</f>
        <v>49.427351439999995</v>
      </c>
      <c r="F26">
        <v>45.824832999999998</v>
      </c>
      <c r="I26">
        <v>3.6025182999999998</v>
      </c>
      <c r="L26">
        <v>9.870900142</v>
      </c>
      <c r="O26">
        <v>0.15966839999999999</v>
      </c>
      <c r="R26">
        <v>0.33929535999999999</v>
      </c>
      <c r="U26">
        <v>2.3351505000000001</v>
      </c>
      <c r="X26">
        <v>0.63867359999999995</v>
      </c>
      <c r="AA26">
        <v>0.12973058000000001</v>
      </c>
      <c r="AC26">
        <v>3.6025184400000003</v>
      </c>
      <c r="AE26">
        <v>0.13850415155682033</v>
      </c>
      <c r="AG26">
        <v>0.8614958484431795</v>
      </c>
    </row>
    <row r="27" spans="2:33" x14ac:dyDescent="0.25">
      <c r="B27">
        <v>1976</v>
      </c>
      <c r="C27" s="7">
        <f>SUM(india[[#This Row],[Column6]]+india[[#This Row],[Column29]])</f>
        <v>49.825605270000004</v>
      </c>
      <c r="F27">
        <v>46.228810000000003</v>
      </c>
      <c r="I27">
        <v>3.5967953000000001</v>
      </c>
      <c r="L27">
        <v>9.8552191220000012</v>
      </c>
      <c r="O27">
        <v>0.15985757</v>
      </c>
      <c r="R27">
        <v>0.33969733000000002</v>
      </c>
      <c r="U27">
        <v>2.3479079999999999</v>
      </c>
      <c r="X27">
        <v>0.62943919999999998</v>
      </c>
      <c r="AA27">
        <v>0.11989316999999999</v>
      </c>
      <c r="AC27">
        <v>3.5967952700000003</v>
      </c>
      <c r="AE27">
        <v>0.13888888927503509</v>
      </c>
      <c r="AG27">
        <v>0.8611111107249646</v>
      </c>
    </row>
    <row r="28" spans="2:33" x14ac:dyDescent="0.25">
      <c r="B28">
        <v>1977</v>
      </c>
      <c r="C28" s="7">
        <f>SUM(india[[#This Row],[Column6]]+india[[#This Row],[Column29]])</f>
        <v>50.279229874999999</v>
      </c>
      <c r="F28">
        <v>46.697859999999999</v>
      </c>
      <c r="I28">
        <v>3.5913737000000001</v>
      </c>
      <c r="L28">
        <v>9.8403639380000012</v>
      </c>
      <c r="O28">
        <v>0.16006123</v>
      </c>
      <c r="R28">
        <v>0.34013009999999999</v>
      </c>
      <c r="U28">
        <v>2.3408954</v>
      </c>
      <c r="X28">
        <v>0.62023722999999997</v>
      </c>
      <c r="AA28">
        <v>0.120045915</v>
      </c>
      <c r="AC28">
        <v>3.5813698749999996</v>
      </c>
      <c r="AE28">
        <v>0.1396648063333587</v>
      </c>
      <c r="AG28">
        <v>0.86033519366664124</v>
      </c>
    </row>
    <row r="29" spans="2:33" x14ac:dyDescent="0.25">
      <c r="B29">
        <v>1978</v>
      </c>
      <c r="C29" s="7">
        <f>SUM(india[[#This Row],[Column6]]+india[[#This Row],[Column29]])</f>
        <v>50.771495999999999</v>
      </c>
      <c r="F29">
        <v>47.175724000000002</v>
      </c>
      <c r="I29">
        <v>3.605788</v>
      </c>
      <c r="L29">
        <v>9.8798591200000008</v>
      </c>
      <c r="O29">
        <v>0.16025724999999999</v>
      </c>
      <c r="R29">
        <v>0.35056271999999999</v>
      </c>
      <c r="U29">
        <v>2.3337462000000002</v>
      </c>
      <c r="X29">
        <v>0.63101289999999999</v>
      </c>
      <c r="AA29">
        <v>0.12019293</v>
      </c>
      <c r="AC29">
        <v>3.5957720000000002</v>
      </c>
      <c r="AE29">
        <v>0.14206127919122791</v>
      </c>
      <c r="AG29">
        <v>0.8579387208087722</v>
      </c>
    </row>
    <row r="30" spans="2:33" x14ac:dyDescent="0.25">
      <c r="B30">
        <v>1979</v>
      </c>
      <c r="C30" s="7">
        <f>SUM(india[[#This Row],[Column6]]+india[[#This Row],[Column29]])</f>
        <v>51.043366059999997</v>
      </c>
      <c r="F30">
        <v>47.413882999999998</v>
      </c>
      <c r="I30">
        <v>3.6395094000000001</v>
      </c>
      <c r="L30">
        <v>9.9722557560000009</v>
      </c>
      <c r="O30">
        <v>0.17044534</v>
      </c>
      <c r="R30">
        <v>0.37096927000000002</v>
      </c>
      <c r="U30">
        <v>2.3361036999999998</v>
      </c>
      <c r="X30">
        <v>0.62162419999999996</v>
      </c>
      <c r="AA30">
        <v>0.13034055</v>
      </c>
      <c r="AC30">
        <v>3.6294830600000001</v>
      </c>
      <c r="AE30">
        <v>0.14917127344300102</v>
      </c>
      <c r="AG30">
        <v>0.85082872655699904</v>
      </c>
    </row>
    <row r="31" spans="2:33" x14ac:dyDescent="0.25">
      <c r="B31">
        <v>1980</v>
      </c>
      <c r="C31" s="7">
        <f>SUM(india[[#This Row],[Column6]]+india[[#This Row],[Column29]])</f>
        <v>51.397191100000001</v>
      </c>
      <c r="F31">
        <v>47.705902000000002</v>
      </c>
      <c r="I31">
        <v>3.6912891999999999</v>
      </c>
      <c r="L31">
        <v>10.114132408</v>
      </c>
      <c r="O31">
        <v>0.19058285999999999</v>
      </c>
      <c r="R31">
        <v>0.37113506000000002</v>
      </c>
      <c r="U31">
        <v>2.3371477000000001</v>
      </c>
      <c r="X31">
        <v>0.65199399999999996</v>
      </c>
      <c r="AA31">
        <v>0.14042948</v>
      </c>
      <c r="AC31">
        <v>3.6912891000000001</v>
      </c>
      <c r="AE31">
        <v>0.15217391669484789</v>
      </c>
      <c r="AG31">
        <v>0.84782608330515219</v>
      </c>
    </row>
    <row r="32" spans="2:33" x14ac:dyDescent="0.25">
      <c r="B32">
        <v>1981</v>
      </c>
      <c r="C32" s="7">
        <f>SUM(india[[#This Row],[Column6]]+india[[#This Row],[Column29]])</f>
        <v>52.193175099999998</v>
      </c>
      <c r="F32">
        <v>48.471539999999997</v>
      </c>
      <c r="I32">
        <v>3.7216353</v>
      </c>
      <c r="L32">
        <v>10.197280722</v>
      </c>
      <c r="O32">
        <v>0.20062724000000001</v>
      </c>
      <c r="R32">
        <v>0.39122309999999999</v>
      </c>
      <c r="U32">
        <v>2.3373072000000001</v>
      </c>
      <c r="X32">
        <v>0.65203849999999997</v>
      </c>
      <c r="AA32">
        <v>0.14043906</v>
      </c>
      <c r="AC32">
        <v>3.7216350999999999</v>
      </c>
      <c r="AE32">
        <v>0.15902965339079053</v>
      </c>
      <c r="AG32">
        <v>0.84097034660920955</v>
      </c>
    </row>
    <row r="33" spans="2:33" x14ac:dyDescent="0.25">
      <c r="B33">
        <v>1982</v>
      </c>
      <c r="C33" s="7">
        <f>SUM(india[[#This Row],[Column6]]+india[[#This Row],[Column29]])</f>
        <v>53.235543190000001</v>
      </c>
      <c r="F33">
        <v>49.283253000000002</v>
      </c>
      <c r="I33">
        <v>3.942259</v>
      </c>
      <c r="L33">
        <v>10.801789660000001</v>
      </c>
      <c r="O33">
        <v>0.21065505000000001</v>
      </c>
      <c r="R33">
        <v>0.40124774000000002</v>
      </c>
      <c r="U33">
        <v>2.4977672000000002</v>
      </c>
      <c r="X33">
        <v>0.69215230000000005</v>
      </c>
      <c r="AA33">
        <v>0.15046789999999999</v>
      </c>
      <c r="AC33">
        <v>3.9522901899999998</v>
      </c>
      <c r="AE33">
        <v>0.1548223335291076</v>
      </c>
      <c r="AG33">
        <v>0.84517766647089232</v>
      </c>
    </row>
    <row r="34" spans="2:33" x14ac:dyDescent="0.25">
      <c r="B34">
        <v>1983</v>
      </c>
      <c r="C34" s="7">
        <f>SUM(india[[#This Row],[Column6]]+india[[#This Row],[Column29]])</f>
        <v>54.16637686</v>
      </c>
      <c r="F34">
        <v>50.235027000000002</v>
      </c>
      <c r="I34">
        <v>3.9313500000000001</v>
      </c>
      <c r="L34">
        <v>10.771898999999999</v>
      </c>
      <c r="O34">
        <v>0.22063698000000001</v>
      </c>
      <c r="R34">
        <v>0.40115814999999999</v>
      </c>
      <c r="U34">
        <v>2.4871805</v>
      </c>
      <c r="X34">
        <v>0.68196886999999995</v>
      </c>
      <c r="AA34">
        <v>0.14040536000000001</v>
      </c>
      <c r="AC34">
        <v>3.9313498600000001</v>
      </c>
      <c r="AE34">
        <v>0.15816326507252143</v>
      </c>
      <c r="AG34">
        <v>0.84183673492747857</v>
      </c>
    </row>
    <row r="35" spans="2:33" x14ac:dyDescent="0.25">
      <c r="B35">
        <v>1984</v>
      </c>
      <c r="C35" s="7">
        <f>SUM(india[[#This Row],[Column6]]+india[[#This Row],[Column29]])</f>
        <v>54.662506799999996</v>
      </c>
      <c r="F35">
        <v>50.763053999999997</v>
      </c>
      <c r="I35">
        <v>3.9094769999999999</v>
      </c>
      <c r="L35">
        <v>10.71196698</v>
      </c>
      <c r="O35">
        <v>0.23055890000000001</v>
      </c>
      <c r="R35">
        <v>0.400972</v>
      </c>
      <c r="U35">
        <v>2.4559536</v>
      </c>
      <c r="X35">
        <v>0.67162809999999995</v>
      </c>
      <c r="AA35">
        <v>0.1403402</v>
      </c>
      <c r="AC35">
        <v>3.8994528000000002</v>
      </c>
      <c r="AE35">
        <v>0.16195372335318434</v>
      </c>
      <c r="AG35">
        <v>0.83804627664681564</v>
      </c>
    </row>
    <row r="36" spans="2:33" x14ac:dyDescent="0.25">
      <c r="B36">
        <v>1985</v>
      </c>
      <c r="C36" s="7">
        <f>SUM(india[[#This Row],[Column6]]+india[[#This Row],[Column29]])</f>
        <v>54.774746180000001</v>
      </c>
      <c r="F36">
        <v>50.797139999999999</v>
      </c>
      <c r="I36">
        <v>3.9675872000000001</v>
      </c>
      <c r="L36">
        <v>10.871188928</v>
      </c>
      <c r="O36">
        <v>0.24045981</v>
      </c>
      <c r="R36">
        <v>0.46088131999999998</v>
      </c>
      <c r="U36">
        <v>2.4546939999999999</v>
      </c>
      <c r="X36">
        <v>0.67128365999999995</v>
      </c>
      <c r="AA36">
        <v>0.15028738999999999</v>
      </c>
      <c r="AC36">
        <v>3.9776061799999991</v>
      </c>
      <c r="AE36">
        <v>0.17632241560927986</v>
      </c>
      <c r="AG36">
        <v>0.82367758439072014</v>
      </c>
    </row>
    <row r="37" spans="2:33" x14ac:dyDescent="0.25">
      <c r="B37">
        <v>1986</v>
      </c>
      <c r="C37" s="7">
        <f>SUM(india[[#This Row],[Column6]]+india[[#This Row],[Column29]])</f>
        <v>55.263531349999994</v>
      </c>
      <c r="F37">
        <v>51.288241999999997</v>
      </c>
      <c r="I37">
        <v>3.9652759999999998</v>
      </c>
      <c r="L37">
        <v>10.86485624</v>
      </c>
      <c r="O37">
        <v>0.26034637999999999</v>
      </c>
      <c r="R37">
        <v>0.46061286000000001</v>
      </c>
      <c r="U37">
        <v>2.4332376</v>
      </c>
      <c r="X37">
        <v>0.67089266000000003</v>
      </c>
      <c r="AA37">
        <v>0.15019985</v>
      </c>
      <c r="AC37">
        <v>3.9752893500000002</v>
      </c>
      <c r="AE37">
        <v>0.18136019205746623</v>
      </c>
      <c r="AG37">
        <v>0.81863980794253377</v>
      </c>
    </row>
    <row r="38" spans="2:33" x14ac:dyDescent="0.25">
      <c r="B38">
        <v>1987</v>
      </c>
      <c r="C38" s="7">
        <f>SUM(india[[#This Row],[Column6]]+india[[#This Row],[Column29]])</f>
        <v>56.242225429999998</v>
      </c>
      <c r="F38">
        <v>52.119129999999998</v>
      </c>
      <c r="I38">
        <v>4.1230950000000002</v>
      </c>
      <c r="L38">
        <v>11.297280300000001</v>
      </c>
      <c r="O38">
        <v>0.38028547000000001</v>
      </c>
      <c r="R38">
        <v>0.45033806999999998</v>
      </c>
      <c r="U38">
        <v>2.4418332999999999</v>
      </c>
      <c r="X38">
        <v>0.71053339999999998</v>
      </c>
      <c r="AA38">
        <v>0.14010518999999999</v>
      </c>
      <c r="AC38">
        <v>4.1230954300000002</v>
      </c>
      <c r="AE38">
        <v>0.20145629760502537</v>
      </c>
      <c r="AG38">
        <v>0.79854370239497452</v>
      </c>
    </row>
    <row r="39" spans="2:33" x14ac:dyDescent="0.25">
      <c r="B39">
        <v>1988</v>
      </c>
      <c r="C39" s="7">
        <f>SUM(india[[#This Row],[Column6]]+india[[#This Row],[Column29]])</f>
        <v>56.247038490000001</v>
      </c>
      <c r="F39">
        <v>52.136524000000001</v>
      </c>
      <c r="I39">
        <v>4.1005130000000003</v>
      </c>
      <c r="L39">
        <v>11.23540562</v>
      </c>
      <c r="O39">
        <v>0.38004756000000001</v>
      </c>
      <c r="R39">
        <v>0.46005760000000001</v>
      </c>
      <c r="U39">
        <v>2.4103017000000002</v>
      </c>
      <c r="X39">
        <v>0.71008884999999999</v>
      </c>
      <c r="AA39">
        <v>0.15001877999999999</v>
      </c>
      <c r="AC39">
        <v>4.1105144899999999</v>
      </c>
      <c r="AE39">
        <v>0.20437956417470263</v>
      </c>
      <c r="AG39">
        <v>0.7956204358252974</v>
      </c>
    </row>
    <row r="40" spans="2:33" x14ac:dyDescent="0.25">
      <c r="B40">
        <v>1989</v>
      </c>
      <c r="C40" s="7">
        <f>SUM(india[[#This Row],[Column6]]+india[[#This Row],[Column29]])</f>
        <v>56.068004679999994</v>
      </c>
      <c r="F40">
        <v>51.971072999999997</v>
      </c>
      <c r="I40">
        <v>4.0969315000000002</v>
      </c>
      <c r="L40">
        <v>11.22559231</v>
      </c>
      <c r="O40">
        <v>0.40969315000000001</v>
      </c>
      <c r="R40">
        <v>0.45965572999999998</v>
      </c>
      <c r="U40">
        <v>2.3782190000000001</v>
      </c>
      <c r="X40">
        <v>0.69947605999999996</v>
      </c>
      <c r="AA40">
        <v>0.14988773999999999</v>
      </c>
      <c r="AC40">
        <v>4.09693168</v>
      </c>
      <c r="AE40">
        <v>0.21219511280695799</v>
      </c>
      <c r="AG40">
        <v>0.78780488719304187</v>
      </c>
    </row>
    <row r="41" spans="2:33" x14ac:dyDescent="0.25">
      <c r="B41">
        <v>1990</v>
      </c>
      <c r="C41" s="7">
        <f>SUM(india[[#This Row],[Column6]]+india[[#This Row],[Column29]])</f>
        <v>56.079243740000003</v>
      </c>
      <c r="F41">
        <v>51.966633000000002</v>
      </c>
      <c r="I41">
        <v>4.1126110000000002</v>
      </c>
      <c r="L41">
        <v>11.268554140000001</v>
      </c>
      <c r="O41">
        <v>0.44919290000000001</v>
      </c>
      <c r="R41">
        <v>0.47913911999999997</v>
      </c>
      <c r="U41">
        <v>2.3557673000000001</v>
      </c>
      <c r="X41">
        <v>0.68876250000000006</v>
      </c>
      <c r="AA41">
        <v>0.13974892</v>
      </c>
      <c r="AC41">
        <v>4.11261074</v>
      </c>
      <c r="AE41">
        <v>0.22572815145641523</v>
      </c>
      <c r="AG41">
        <v>0.774271848543585</v>
      </c>
    </row>
    <row r="42" spans="2:33" x14ac:dyDescent="0.25">
      <c r="B42">
        <v>1991</v>
      </c>
      <c r="C42" s="7">
        <f>SUM(india[[#This Row],[Column6]]+india[[#This Row],[Column29]])</f>
        <v>56.016141359999999</v>
      </c>
      <c r="F42">
        <v>51.808450000000001</v>
      </c>
      <c r="I42">
        <v>4.2176622999999998</v>
      </c>
      <c r="L42">
        <v>11.556394702</v>
      </c>
      <c r="O42">
        <v>0.58827910000000005</v>
      </c>
      <c r="R42">
        <v>0.47860000000000003</v>
      </c>
      <c r="U42">
        <v>2.3132331000000002</v>
      </c>
      <c r="X42">
        <v>0.68798749999999997</v>
      </c>
      <c r="AA42">
        <v>0.13959166000000001</v>
      </c>
      <c r="AC42">
        <v>4.2076913600000001</v>
      </c>
      <c r="AE42">
        <v>0.25355450500532911</v>
      </c>
      <c r="AG42">
        <v>0.74644549499467083</v>
      </c>
    </row>
    <row r="43" spans="2:33" x14ac:dyDescent="0.25">
      <c r="B43">
        <v>1992</v>
      </c>
      <c r="C43" s="7">
        <f>SUM(india[[#This Row],[Column6]]+india[[#This Row],[Column29]])</f>
        <v>55.674420910000002</v>
      </c>
      <c r="F43">
        <v>51.472202000000003</v>
      </c>
      <c r="I43">
        <v>4.2121769999999996</v>
      </c>
      <c r="L43">
        <v>11.541364980000001</v>
      </c>
      <c r="O43">
        <v>0.59747189999999994</v>
      </c>
      <c r="R43">
        <v>0.48793540000000002</v>
      </c>
      <c r="U43">
        <v>2.3002666999999999</v>
      </c>
      <c r="X43">
        <v>0.67713480000000004</v>
      </c>
      <c r="AA43">
        <v>0.13941011</v>
      </c>
      <c r="AC43">
        <v>4.20221891</v>
      </c>
      <c r="AE43">
        <v>0.25829384980802916</v>
      </c>
      <c r="AG43">
        <v>0.74170615019197084</v>
      </c>
    </row>
    <row r="44" spans="2:33" x14ac:dyDescent="0.25">
      <c r="B44">
        <v>1993</v>
      </c>
      <c r="C44" s="7">
        <f>SUM(india[[#This Row],[Column6]]+india[[#This Row],[Column29]])</f>
        <v>57.144713520000003</v>
      </c>
      <c r="F44">
        <v>52.938656000000002</v>
      </c>
      <c r="I44">
        <v>4.2060575</v>
      </c>
      <c r="L44">
        <v>11.524597549999999</v>
      </c>
      <c r="O44">
        <v>0.65626430000000002</v>
      </c>
      <c r="R44">
        <v>0.48722654999999998</v>
      </c>
      <c r="U44">
        <v>2.2472080000000001</v>
      </c>
      <c r="X44">
        <v>0.6761511</v>
      </c>
      <c r="AA44">
        <v>0.13920757</v>
      </c>
      <c r="AC44">
        <v>4.2060575199999999</v>
      </c>
      <c r="AE44">
        <v>0.27186762058356256</v>
      </c>
      <c r="AG44">
        <v>0.72813237941643749</v>
      </c>
    </row>
    <row r="45" spans="2:33" x14ac:dyDescent="0.25">
      <c r="B45">
        <v>1994</v>
      </c>
      <c r="C45" s="7">
        <f>SUM(india[[#This Row],[Column6]]+india[[#This Row],[Column29]])</f>
        <v>57.214877390000005</v>
      </c>
      <c r="F45">
        <v>53.064987000000002</v>
      </c>
      <c r="I45">
        <v>4.1498904000000003</v>
      </c>
      <c r="L45">
        <v>11.370699696000001</v>
      </c>
      <c r="O45">
        <v>0.66517380000000004</v>
      </c>
      <c r="R45">
        <v>0.47654244000000001</v>
      </c>
      <c r="U45">
        <v>2.1940808000000001</v>
      </c>
      <c r="X45">
        <v>0.67510179999999997</v>
      </c>
      <c r="AA45">
        <v>0.13899154999999999</v>
      </c>
      <c r="AC45">
        <v>4.1498903900000004</v>
      </c>
      <c r="AE45">
        <v>0.27511961346044128</v>
      </c>
      <c r="AG45">
        <v>0.72488038653955877</v>
      </c>
    </row>
    <row r="46" spans="2:33" x14ac:dyDescent="0.25">
      <c r="B46">
        <v>1995</v>
      </c>
      <c r="C46" s="7">
        <f>SUM(india[[#This Row],[Column6]]+india[[#This Row],[Column29]])</f>
        <v>58.570655019999997</v>
      </c>
      <c r="F46">
        <v>54.506689999999999</v>
      </c>
      <c r="I46">
        <v>4.0639649999999996</v>
      </c>
      <c r="L46">
        <v>11.135264100000001</v>
      </c>
      <c r="O46">
        <v>0.66411140000000002</v>
      </c>
      <c r="R46">
        <v>0.46586913000000002</v>
      </c>
      <c r="U46">
        <v>2.1211915000000001</v>
      </c>
      <c r="X46">
        <v>0.67402344999999997</v>
      </c>
      <c r="AA46">
        <v>0.13876954</v>
      </c>
      <c r="AC46">
        <v>4.0639650200000004</v>
      </c>
      <c r="AE46">
        <v>0.27804878350060208</v>
      </c>
      <c r="AG46">
        <v>0.72195121649939797</v>
      </c>
    </row>
    <row r="47" spans="2:33" x14ac:dyDescent="0.25">
      <c r="B47">
        <v>1996</v>
      </c>
      <c r="C47" s="7">
        <f>SUM(india[[#This Row],[Column6]]+india[[#This Row],[Column29]])</f>
        <v>58.114863229999997</v>
      </c>
      <c r="F47">
        <v>54.076909999999998</v>
      </c>
      <c r="I47">
        <v>4.0379534000000001</v>
      </c>
      <c r="L47">
        <v>11.063992316</v>
      </c>
      <c r="O47">
        <v>0.67299220000000004</v>
      </c>
      <c r="R47">
        <v>0.46515640000000003</v>
      </c>
      <c r="U47">
        <v>2.0882551999999999</v>
      </c>
      <c r="X47">
        <v>0.67299220000000004</v>
      </c>
      <c r="AA47">
        <v>0.13855723</v>
      </c>
      <c r="AC47">
        <v>4.0379532300000003</v>
      </c>
      <c r="AE47">
        <v>0.28186274955938506</v>
      </c>
      <c r="AG47">
        <v>0.71813725044061483</v>
      </c>
    </row>
    <row r="48" spans="2:33" x14ac:dyDescent="0.25">
      <c r="B48">
        <v>1997</v>
      </c>
      <c r="C48" s="7">
        <f>SUM(india[[#This Row],[Column6]]+india[[#This Row],[Column29]])</f>
        <v>54.249572810000004</v>
      </c>
      <c r="F48">
        <v>50.277200000000001</v>
      </c>
      <c r="I48">
        <v>3.9723728</v>
      </c>
      <c r="L48">
        <v>10.884301472000001</v>
      </c>
      <c r="O48">
        <v>0.66206217000000001</v>
      </c>
      <c r="R48">
        <v>0.46443163999999998</v>
      </c>
      <c r="U48">
        <v>2.0355940000000001</v>
      </c>
      <c r="X48">
        <v>0.67194366000000005</v>
      </c>
      <c r="AA48">
        <v>0.13834134000000001</v>
      </c>
      <c r="AC48">
        <v>3.97237281</v>
      </c>
      <c r="AE48">
        <v>0.28358209661595174</v>
      </c>
      <c r="AG48">
        <v>0.7164179033840482</v>
      </c>
    </row>
    <row r="49" spans="2:33" x14ac:dyDescent="0.25">
      <c r="B49">
        <v>1998</v>
      </c>
      <c r="C49" s="7">
        <f>SUM(india[[#This Row],[Column6]]+india[[#This Row],[Column29]])</f>
        <v>62.284036729999997</v>
      </c>
      <c r="F49">
        <v>58.278441999999998</v>
      </c>
      <c r="I49">
        <v>4.0055946999999996</v>
      </c>
      <c r="L49">
        <v>10.975329478000001</v>
      </c>
      <c r="O49">
        <v>0.72021776000000004</v>
      </c>
      <c r="R49">
        <v>0.45383583999999999</v>
      </c>
      <c r="U49">
        <v>2.0323954</v>
      </c>
      <c r="X49">
        <v>0.66102176999999995</v>
      </c>
      <c r="AA49">
        <v>0.13812395999999999</v>
      </c>
      <c r="AC49">
        <v>4.0055947300000003</v>
      </c>
      <c r="AE49">
        <v>0.29310344134589972</v>
      </c>
      <c r="AG49">
        <v>0.70689655865410028</v>
      </c>
    </row>
    <row r="50" spans="2:33" x14ac:dyDescent="0.25">
      <c r="B50">
        <v>1999</v>
      </c>
      <c r="C50" s="7">
        <f>SUM(india[[#This Row],[Column6]]+india[[#This Row],[Column29]])</f>
        <v>67.382049739999999</v>
      </c>
      <c r="F50">
        <v>63.392322999999998</v>
      </c>
      <c r="I50">
        <v>3.9897268000000001</v>
      </c>
      <c r="L50">
        <v>10.931851432</v>
      </c>
      <c r="O50">
        <v>0.77824300000000002</v>
      </c>
      <c r="R50">
        <v>0.44330296000000002</v>
      </c>
      <c r="U50">
        <v>1.9800865999999999</v>
      </c>
      <c r="X50">
        <v>0.65017769999999997</v>
      </c>
      <c r="AA50">
        <v>0.13791648000000001</v>
      </c>
      <c r="AC50">
        <v>3.98972674</v>
      </c>
      <c r="AE50">
        <v>0.30617283829318098</v>
      </c>
      <c r="AG50">
        <v>0.69382716170681902</v>
      </c>
    </row>
    <row r="51" spans="2:33" x14ac:dyDescent="0.25">
      <c r="B51">
        <v>2000</v>
      </c>
      <c r="C51" s="7">
        <f>SUM(india[[#This Row],[Column6]]+india[[#This Row],[Column29]])</f>
        <v>67.150781749999993</v>
      </c>
      <c r="F51">
        <v>63.23603</v>
      </c>
      <c r="I51">
        <v>3.9049157999999999</v>
      </c>
      <c r="L51">
        <v>10.699469292</v>
      </c>
      <c r="O51">
        <v>0.85573719999999998</v>
      </c>
      <c r="R51">
        <v>0.44262266</v>
      </c>
      <c r="U51">
        <v>1.8393432000000001</v>
      </c>
      <c r="X51">
        <v>0.63934385999999999</v>
      </c>
      <c r="AA51">
        <v>0.13770483</v>
      </c>
      <c r="AC51">
        <v>3.9147517500000002</v>
      </c>
      <c r="AE51">
        <v>0.33165828714426143</v>
      </c>
      <c r="AG51">
        <v>0.66834171285573862</v>
      </c>
    </row>
    <row r="52" spans="2:33" x14ac:dyDescent="0.25">
      <c r="B52">
        <v>2001</v>
      </c>
      <c r="C52" s="7">
        <f>SUM(india[[#This Row],[Column6]]+india[[#This Row],[Column29]])</f>
        <v>71.456875189999991</v>
      </c>
      <c r="F52">
        <v>67.499595999999997</v>
      </c>
      <c r="I52">
        <v>3.9572794</v>
      </c>
      <c r="L52">
        <v>10.842945556</v>
      </c>
      <c r="O52">
        <v>0.89357920000000002</v>
      </c>
      <c r="R52">
        <v>0.43206027000000002</v>
      </c>
      <c r="U52">
        <v>1.8558952</v>
      </c>
      <c r="X52">
        <v>0.63827080000000003</v>
      </c>
      <c r="AA52">
        <v>0.13747371999999999</v>
      </c>
      <c r="AC52">
        <v>3.9572791899999999</v>
      </c>
      <c r="AE52">
        <v>0.33498760293432822</v>
      </c>
      <c r="AG52">
        <v>0.66501239706567172</v>
      </c>
    </row>
    <row r="53" spans="2:33" x14ac:dyDescent="0.25">
      <c r="B53">
        <v>2002</v>
      </c>
      <c r="C53" s="7">
        <f>SUM(india[[#This Row],[Column6]]+india[[#This Row],[Column29]])</f>
        <v>62.103716009999999</v>
      </c>
      <c r="F53">
        <v>58.113785</v>
      </c>
      <c r="I53">
        <v>3.9899309999999999</v>
      </c>
      <c r="L53">
        <v>10.93241094</v>
      </c>
      <c r="O53">
        <v>1.0293433999999999</v>
      </c>
      <c r="R53">
        <v>0.42154061999999998</v>
      </c>
      <c r="U53">
        <v>1.7743918999999999</v>
      </c>
      <c r="X53">
        <v>0.62740929999999995</v>
      </c>
      <c r="AA53">
        <v>0.13724579000000001</v>
      </c>
      <c r="AC53">
        <v>3.9899310099999998</v>
      </c>
      <c r="AE53">
        <v>0.36363636773759656</v>
      </c>
      <c r="AG53">
        <v>0.63636363226240356</v>
      </c>
    </row>
    <row r="54" spans="2:33" x14ac:dyDescent="0.25">
      <c r="B54">
        <v>2003</v>
      </c>
      <c r="C54" s="7">
        <f>SUM(india[[#This Row],[Column6]]+india[[#This Row],[Column29]])</f>
        <v>68.911360250000001</v>
      </c>
      <c r="F54">
        <v>64.907844999999995</v>
      </c>
      <c r="I54">
        <v>3.9937266999999999</v>
      </c>
      <c r="L54">
        <v>10.942811158</v>
      </c>
      <c r="O54">
        <v>1.1158942000000001</v>
      </c>
      <c r="R54">
        <v>0.42090749999999999</v>
      </c>
      <c r="U54">
        <v>1.7129954999999999</v>
      </c>
      <c r="X54">
        <v>0.61667839999999996</v>
      </c>
      <c r="AA54">
        <v>0.13703965000000001</v>
      </c>
      <c r="AC54">
        <v>4.0035152499999995</v>
      </c>
      <c r="AE54">
        <v>0.3838630813258424</v>
      </c>
      <c r="AG54">
        <v>0.61613691867415776</v>
      </c>
    </row>
    <row r="55" spans="2:33" x14ac:dyDescent="0.25">
      <c r="B55">
        <v>2004</v>
      </c>
      <c r="C55" s="7">
        <f>SUM(india[[#This Row],[Column6]]+india[[#This Row],[Column29]])</f>
        <v>57.326626789999999</v>
      </c>
      <c r="F55">
        <v>53.240943999999999</v>
      </c>
      <c r="I55">
        <v>4.0856830000000004</v>
      </c>
      <c r="L55">
        <v>11.19477142</v>
      </c>
      <c r="O55">
        <v>1.1826977000000001</v>
      </c>
      <c r="R55">
        <v>0.39097442999999998</v>
      </c>
      <c r="U55">
        <v>1.7496105</v>
      </c>
      <c r="X55">
        <v>0.62555910000000003</v>
      </c>
      <c r="AA55">
        <v>0.13684105999999999</v>
      </c>
      <c r="AC55">
        <v>4.0856827899999999</v>
      </c>
      <c r="AE55">
        <v>0.38516747649907496</v>
      </c>
      <c r="AG55">
        <v>0.6148325235009251</v>
      </c>
    </row>
    <row r="56" spans="2:33" x14ac:dyDescent="0.25">
      <c r="B56">
        <v>2005</v>
      </c>
      <c r="C56" s="7">
        <f>SUM(india[[#This Row],[Column6]]+india[[#This Row],[Column29]])</f>
        <v>60.7969668</v>
      </c>
      <c r="F56">
        <v>56.765312000000002</v>
      </c>
      <c r="I56">
        <v>4.0218930000000004</v>
      </c>
      <c r="L56">
        <v>11.01998682</v>
      </c>
      <c r="O56">
        <v>1.2495201</v>
      </c>
      <c r="R56">
        <v>0.37095129999999998</v>
      </c>
      <c r="U56">
        <v>1.6302333</v>
      </c>
      <c r="X56">
        <v>0.64428383</v>
      </c>
      <c r="AA56">
        <v>0.13666627000000001</v>
      </c>
      <c r="AC56">
        <v>4.0316548000000001</v>
      </c>
      <c r="AE56">
        <v>0.40193704083990522</v>
      </c>
      <c r="AG56">
        <v>0.59806295916009478</v>
      </c>
    </row>
    <row r="57" spans="2:33" x14ac:dyDescent="0.25">
      <c r="B57">
        <v>2006</v>
      </c>
      <c r="C57" s="7">
        <f>SUM(india[[#This Row],[Column6]]+india[[#This Row],[Column29]])</f>
        <v>67.824572889999999</v>
      </c>
      <c r="F57">
        <v>63.767775999999998</v>
      </c>
      <c r="I57">
        <v>4.0567966000000002</v>
      </c>
      <c r="L57">
        <v>11.115622684</v>
      </c>
      <c r="O57">
        <v>1.3262605999999999</v>
      </c>
      <c r="R57">
        <v>0.34131703000000002</v>
      </c>
      <c r="U57">
        <v>1.6090660000000001</v>
      </c>
      <c r="X57">
        <v>0.65337836999999999</v>
      </c>
      <c r="AA57">
        <v>0.12677489</v>
      </c>
      <c r="AC57">
        <v>4.0567968899999993</v>
      </c>
      <c r="AE57">
        <v>0.41105770764875538</v>
      </c>
      <c r="AG57">
        <v>0.58894229235124473</v>
      </c>
    </row>
    <row r="58" spans="2:33" x14ac:dyDescent="0.25">
      <c r="B58">
        <v>2007</v>
      </c>
      <c r="C58" s="7">
        <f>SUM(india[[#This Row],[Column6]]+india[[#This Row],[Column29]])</f>
        <v>72.03838562</v>
      </c>
      <c r="F58">
        <v>67.800259999999994</v>
      </c>
      <c r="I58">
        <v>4.2478685</v>
      </c>
      <c r="L58">
        <v>11.63915969</v>
      </c>
      <c r="O58">
        <v>1.5003938999999999</v>
      </c>
      <c r="R58">
        <v>0.32151299999999999</v>
      </c>
      <c r="U58">
        <v>1.6270505</v>
      </c>
      <c r="X58">
        <v>0.66251159999999998</v>
      </c>
      <c r="AA58">
        <v>0.12665662</v>
      </c>
      <c r="AC58">
        <v>4.2381256199999999</v>
      </c>
      <c r="AE58">
        <v>0.4298850631992357</v>
      </c>
      <c r="AG58">
        <v>0.5701149368007643</v>
      </c>
    </row>
    <row r="59" spans="2:33" x14ac:dyDescent="0.25">
      <c r="B59">
        <v>2008</v>
      </c>
      <c r="C59" s="7">
        <f>SUM(india[[#This Row],[Column6]]+india[[#This Row],[Column29]])</f>
        <v>73.425206200000005</v>
      </c>
      <c r="F59">
        <v>69.132416000000006</v>
      </c>
      <c r="I59">
        <v>4.2927900000000001</v>
      </c>
      <c r="L59">
        <v>11.762244600000001</v>
      </c>
      <c r="O59">
        <v>1.5866776</v>
      </c>
      <c r="R59">
        <v>0.32122921999999998</v>
      </c>
      <c r="U59">
        <v>1.6353485999999999</v>
      </c>
      <c r="X59">
        <v>0.62298995000000001</v>
      </c>
      <c r="AA59">
        <v>0.12654483</v>
      </c>
      <c r="AC59">
        <v>4.2927902000000007</v>
      </c>
      <c r="AE59">
        <v>0.44444445945669542</v>
      </c>
      <c r="AG59">
        <v>0.55555554054330436</v>
      </c>
    </row>
    <row r="60" spans="2:33" x14ac:dyDescent="0.25">
      <c r="B60">
        <v>2009</v>
      </c>
      <c r="C60" s="7">
        <f>SUM(india[[#This Row],[Column6]]+india[[#This Row],[Column29]])</f>
        <v>71.798866809999993</v>
      </c>
      <c r="F60">
        <v>67.480429999999998</v>
      </c>
      <c r="I60">
        <v>4.3281627</v>
      </c>
      <c r="L60">
        <v>11.859165797999999</v>
      </c>
      <c r="O60">
        <v>1.7312651999999999</v>
      </c>
      <c r="R60">
        <v>0.31123867999999999</v>
      </c>
      <c r="U60">
        <v>1.5561935</v>
      </c>
      <c r="X60">
        <v>0.59329873</v>
      </c>
      <c r="AA60">
        <v>0.12644069999999999</v>
      </c>
      <c r="AC60">
        <v>4.3184368099999997</v>
      </c>
      <c r="AE60">
        <v>0.47297296912398262</v>
      </c>
      <c r="AG60">
        <v>0.52702703087601732</v>
      </c>
    </row>
    <row r="61" spans="2:33" x14ac:dyDescent="0.25">
      <c r="B61">
        <v>2010</v>
      </c>
      <c r="C61" s="7">
        <f>SUM(india[[#This Row],[Column6]]+india[[#This Row],[Column29]])</f>
        <v>76.569999999999993</v>
      </c>
      <c r="F61">
        <v>72.44</v>
      </c>
      <c r="I61">
        <v>4.13</v>
      </c>
      <c r="L61">
        <v>11.3162</v>
      </c>
      <c r="O61">
        <v>1.79</v>
      </c>
      <c r="R61">
        <v>0.3</v>
      </c>
      <c r="U61">
        <v>1.43</v>
      </c>
      <c r="X61">
        <v>0.61</v>
      </c>
      <c r="AA61">
        <v>0</v>
      </c>
      <c r="AC61">
        <v>4.13</v>
      </c>
      <c r="AE61">
        <v>0.50605326876513312</v>
      </c>
      <c r="AG61">
        <v>0.49394673123486688</v>
      </c>
    </row>
    <row r="62" spans="2:33" x14ac:dyDescent="0.25">
      <c r="B62">
        <v>2011</v>
      </c>
      <c r="C62" s="7">
        <f>SUM(india[[#This Row],[Column6]]+india[[#This Row],[Column29]])</f>
        <v>80.88</v>
      </c>
      <c r="F62">
        <v>76.91</v>
      </c>
      <c r="I62">
        <v>3.97</v>
      </c>
      <c r="L62">
        <v>10.877800000000001</v>
      </c>
      <c r="O62">
        <v>1.93</v>
      </c>
      <c r="R62">
        <v>0.27</v>
      </c>
      <c r="U62">
        <v>1.17</v>
      </c>
      <c r="X62">
        <v>0.6</v>
      </c>
      <c r="AA62">
        <v>0</v>
      </c>
      <c r="AC62">
        <v>3.97</v>
      </c>
      <c r="AE62">
        <v>0.55415617128463479</v>
      </c>
      <c r="AG62">
        <v>0.44584382871536521</v>
      </c>
    </row>
    <row r="63" spans="2:33" x14ac:dyDescent="0.25">
      <c r="B63">
        <v>2012</v>
      </c>
      <c r="C63" s="7">
        <f>SUM(india[[#This Row],[Column6]]+india[[#This Row],[Column29]])</f>
        <v>84.750010479999986</v>
      </c>
      <c r="F63">
        <v>80.980009999999993</v>
      </c>
      <c r="I63">
        <v>3.7800001999999999</v>
      </c>
      <c r="L63">
        <v>10.357200548</v>
      </c>
      <c r="O63">
        <v>1.9400002000000001</v>
      </c>
      <c r="R63">
        <v>0.25000002999999998</v>
      </c>
      <c r="U63">
        <v>1.0700002</v>
      </c>
      <c r="X63">
        <v>0.51000005000000004</v>
      </c>
      <c r="AA63">
        <v>0</v>
      </c>
      <c r="AC63">
        <v>3.7700004800000002</v>
      </c>
      <c r="AE63">
        <v>0.58090184381090582</v>
      </c>
      <c r="AG63">
        <v>0.41909815618909418</v>
      </c>
    </row>
    <row r="64" spans="2:33" x14ac:dyDescent="0.25">
      <c r="B64">
        <v>2013</v>
      </c>
      <c r="C64" s="7">
        <f>SUM(india[[#This Row],[Column6]]+india[[#This Row],[Column29]])</f>
        <v>88.45</v>
      </c>
      <c r="F64">
        <v>84.73</v>
      </c>
      <c r="I64">
        <v>3.73</v>
      </c>
      <c r="L64">
        <v>10.2202</v>
      </c>
      <c r="O64">
        <v>2.1</v>
      </c>
      <c r="R64">
        <v>0.26</v>
      </c>
      <c r="U64">
        <v>0.84</v>
      </c>
      <c r="X64">
        <v>0.52</v>
      </c>
      <c r="AA64">
        <v>0</v>
      </c>
      <c r="AC64">
        <v>3.72</v>
      </c>
      <c r="AE64">
        <v>0.63440860215053774</v>
      </c>
      <c r="AG64">
        <v>0.36559139784946232</v>
      </c>
    </row>
    <row r="65" spans="2:33" x14ac:dyDescent="0.25">
      <c r="B65">
        <v>2014</v>
      </c>
      <c r="C65" s="7">
        <f>SUM(india[[#This Row],[Column6]]+india[[#This Row],[Column29]])</f>
        <v>91.67</v>
      </c>
      <c r="F65">
        <v>87.56</v>
      </c>
      <c r="I65">
        <v>4.0999999999999996</v>
      </c>
      <c r="L65">
        <v>11.234</v>
      </c>
      <c r="O65">
        <v>2.35</v>
      </c>
      <c r="R65">
        <v>0.28999999999999998</v>
      </c>
      <c r="U65">
        <v>0.92</v>
      </c>
      <c r="X65">
        <v>0.55000000000000004</v>
      </c>
      <c r="AA65">
        <v>0</v>
      </c>
      <c r="AC65">
        <v>4.1100000000000003</v>
      </c>
      <c r="AE65">
        <v>0.64233576642335766</v>
      </c>
      <c r="AG65">
        <v>0.35766423357664234</v>
      </c>
    </row>
    <row r="66" spans="2:33" x14ac:dyDescent="0.25">
      <c r="B66">
        <v>2015</v>
      </c>
      <c r="C66" s="7">
        <f>SUM(india[[#This Row],[Column6]]+india[[#This Row],[Column29]])</f>
        <v>87.94999996</v>
      </c>
      <c r="F66">
        <v>83.62</v>
      </c>
      <c r="I66">
        <v>4.32</v>
      </c>
      <c r="L66">
        <v>11.8368</v>
      </c>
      <c r="O66">
        <v>2.4900000000000002</v>
      </c>
      <c r="R66">
        <v>0.28999999999999998</v>
      </c>
      <c r="U66">
        <v>0.97999996</v>
      </c>
      <c r="X66">
        <v>0.56999999999999995</v>
      </c>
      <c r="AA66">
        <v>0</v>
      </c>
      <c r="AC66">
        <v>4.3299999600000003</v>
      </c>
      <c r="AE66">
        <v>0.64203233849452512</v>
      </c>
      <c r="AG66">
        <v>0.35796766150547493</v>
      </c>
    </row>
    <row r="67" spans="2:33" x14ac:dyDescent="0.25">
      <c r="B67">
        <v>2016</v>
      </c>
      <c r="C67" s="7">
        <f>SUM(india[[#This Row],[Column6]]+india[[#This Row],[Column29]])</f>
        <v>90.42001037</v>
      </c>
      <c r="F67">
        <v>86.05001</v>
      </c>
      <c r="I67">
        <v>4.3700004000000003</v>
      </c>
      <c r="L67">
        <v>11.973801096000001</v>
      </c>
      <c r="O67">
        <v>2.5900002</v>
      </c>
      <c r="R67">
        <v>0.29000002000000003</v>
      </c>
      <c r="U67">
        <v>0.92000009999999999</v>
      </c>
      <c r="X67">
        <v>0.57000004999999998</v>
      </c>
      <c r="AA67">
        <v>0</v>
      </c>
      <c r="AC67">
        <v>4.3700003699999996</v>
      </c>
      <c r="AE67">
        <v>0.65903889614544819</v>
      </c>
      <c r="AG67">
        <v>0.34096110385455186</v>
      </c>
    </row>
    <row r="68" spans="2:33" x14ac:dyDescent="0.25">
      <c r="B68">
        <v>2017</v>
      </c>
      <c r="C68" s="7">
        <f>SUM(india[[#This Row],[Column6]]+india[[#This Row],[Column29]])</f>
        <v>93.699994559999993</v>
      </c>
      <c r="F68">
        <v>89.189994999999996</v>
      </c>
      <c r="I68">
        <v>4.5099998000000001</v>
      </c>
      <c r="L68">
        <v>12.357399451999999</v>
      </c>
      <c r="O68">
        <v>2.8099997000000001</v>
      </c>
      <c r="R68">
        <v>0.27999996999999999</v>
      </c>
      <c r="U68">
        <v>0.84999996</v>
      </c>
      <c r="X68">
        <v>0.56999993000000004</v>
      </c>
      <c r="AA68">
        <v>0</v>
      </c>
      <c r="AC68">
        <v>4.5099995599999998</v>
      </c>
      <c r="AE68">
        <v>0.68514411784111129</v>
      </c>
      <c r="AG68">
        <v>0.31485588215888877</v>
      </c>
    </row>
    <row r="69" spans="2:33" x14ac:dyDescent="0.25">
      <c r="B69">
        <v>2018</v>
      </c>
      <c r="C69" s="7">
        <f>SUM(india[[#This Row],[Column6]]+india[[#This Row],[Column29]])</f>
        <v>92.339999999999989</v>
      </c>
      <c r="F69">
        <v>87.46</v>
      </c>
      <c r="I69">
        <v>4.8899999999999997</v>
      </c>
      <c r="L69">
        <v>13.3986</v>
      </c>
      <c r="O69">
        <v>2.99</v>
      </c>
      <c r="R69">
        <v>0.27</v>
      </c>
      <c r="U69">
        <v>1.05</v>
      </c>
      <c r="X69">
        <v>0.56999999999999995</v>
      </c>
      <c r="AA69">
        <v>0</v>
      </c>
      <c r="AC69">
        <v>4.8800000000000008</v>
      </c>
      <c r="AE69">
        <v>0.66803278688524581</v>
      </c>
      <c r="AG69">
        <v>0.33196721311475408</v>
      </c>
    </row>
    <row r="70" spans="2:33" x14ac:dyDescent="0.25">
      <c r="B70">
        <v>2019</v>
      </c>
      <c r="C70" s="7">
        <f>SUM(india[[#This Row],[Column6]]+india[[#This Row],[Column29]])</f>
        <v>92.959993800000007</v>
      </c>
      <c r="F70">
        <v>87.899994000000007</v>
      </c>
      <c r="I70">
        <v>5.0599999999999996</v>
      </c>
      <c r="L70">
        <v>13.8644</v>
      </c>
      <c r="O70">
        <v>3.1699997999999998</v>
      </c>
      <c r="R70">
        <v>0.26</v>
      </c>
      <c r="U70">
        <v>1.04</v>
      </c>
      <c r="X70">
        <v>0.59</v>
      </c>
      <c r="AA70">
        <v>0</v>
      </c>
      <c r="AC70">
        <v>5.0599997999999999</v>
      </c>
      <c r="AE70">
        <v>0.67786559991563633</v>
      </c>
      <c r="AG70">
        <v>0.32213440008436361</v>
      </c>
    </row>
    <row r="71" spans="2:33" x14ac:dyDescent="0.25">
      <c r="B71">
        <v>2020</v>
      </c>
      <c r="C71" s="7">
        <f>SUM(india[[#This Row],[Column6]]+india[[#This Row],[Column29]])</f>
        <v>95.820000320000005</v>
      </c>
      <c r="F71">
        <v>89.75</v>
      </c>
      <c r="I71">
        <v>6.08</v>
      </c>
      <c r="L71">
        <v>16.659199999999998</v>
      </c>
      <c r="O71">
        <v>3.2300002999999999</v>
      </c>
      <c r="R71">
        <v>0.23000002</v>
      </c>
      <c r="U71">
        <v>2.02</v>
      </c>
      <c r="X71">
        <v>0.59</v>
      </c>
      <c r="AA71">
        <v>0</v>
      </c>
      <c r="AC71">
        <v>6.0700003200000001</v>
      </c>
      <c r="AE71">
        <v>0.57001649713257341</v>
      </c>
      <c r="AG71">
        <v>0.42998350286742648</v>
      </c>
    </row>
    <row r="72" spans="2:33" x14ac:dyDescent="0.25">
      <c r="B72">
        <v>2021</v>
      </c>
      <c r="C72" s="7">
        <f>SUM(india[[#This Row],[Column6]]+india[[#This Row],[Column29]])</f>
        <v>96.44</v>
      </c>
      <c r="F72">
        <v>90.75</v>
      </c>
      <c r="I72">
        <v>5.69</v>
      </c>
      <c r="L72">
        <v>15.5906</v>
      </c>
      <c r="O72">
        <v>2.63</v>
      </c>
      <c r="R72">
        <v>0.23</v>
      </c>
      <c r="U72">
        <v>2.25</v>
      </c>
      <c r="X72">
        <v>0.57999999999999996</v>
      </c>
      <c r="AA72">
        <v>0</v>
      </c>
      <c r="AC72">
        <v>5.6899999999999995</v>
      </c>
      <c r="AE72">
        <v>0.50263620386643237</v>
      </c>
      <c r="AG72">
        <v>0.49736379613356774</v>
      </c>
    </row>
    <row r="73" spans="2:33" x14ac:dyDescent="0.25">
      <c r="B73">
        <v>2022</v>
      </c>
      <c r="C73" s="7"/>
    </row>
    <row r="74" spans="2:33" x14ac:dyDescent="0.25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9878-FCFF-8B4C-A588-1D8657F090F5}">
  <dimension ref="A1:AG74"/>
  <sheetViews>
    <sheetView topLeftCell="U1" workbookViewId="0">
      <selection activeCell="C29" sqref="C29"/>
    </sheetView>
  </sheetViews>
  <sheetFormatPr defaultColWidth="11" defaultRowHeight="15.75" x14ac:dyDescent="0.25"/>
  <cols>
    <col min="1" max="1" width="14.625" customWidth="1"/>
    <col min="2" max="2" width="28.125" bestFit="1" customWidth="1"/>
    <col min="3" max="3" width="35" customWidth="1"/>
    <col min="4" max="4" width="43.125" customWidth="1"/>
    <col min="5" max="5" width="11.125" bestFit="1" customWidth="1"/>
    <col min="6" max="6" width="29" bestFit="1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</cols>
  <sheetData>
    <row r="1" spans="1:33" x14ac:dyDescent="0.25">
      <c r="A1" t="s">
        <v>109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</row>
    <row r="2" spans="1:33" x14ac:dyDescent="0.25">
      <c r="A2" t="s">
        <v>151</v>
      </c>
    </row>
    <row r="3" spans="1:33" x14ac:dyDescent="0.25">
      <c r="A3" t="s">
        <v>152</v>
      </c>
    </row>
    <row r="4" spans="1:33" x14ac:dyDescent="0.25">
      <c r="A4" t="s">
        <v>153</v>
      </c>
    </row>
    <row r="5" spans="1:33" x14ac:dyDescent="0.25">
      <c r="B5" t="s">
        <v>154</v>
      </c>
      <c r="C5" t="s">
        <v>155</v>
      </c>
    </row>
    <row r="6" spans="1:33" x14ac:dyDescent="0.25">
      <c r="B6" t="s">
        <v>156</v>
      </c>
      <c r="C6" t="s">
        <v>157</v>
      </c>
    </row>
    <row r="8" spans="1:33" x14ac:dyDescent="0.25">
      <c r="B8" t="s">
        <v>158</v>
      </c>
      <c r="C8" t="s">
        <v>159</v>
      </c>
      <c r="D8" t="s">
        <v>160</v>
      </c>
    </row>
    <row r="9" spans="1:33" x14ac:dyDescent="0.25">
      <c r="B9" t="s">
        <v>161</v>
      </c>
      <c r="C9" t="s">
        <v>29</v>
      </c>
      <c r="D9" t="s">
        <v>162</v>
      </c>
    </row>
    <row r="11" spans="1:33" x14ac:dyDescent="0.25">
      <c r="B11" t="s">
        <v>163</v>
      </c>
      <c r="C11" t="s">
        <v>164</v>
      </c>
    </row>
    <row r="13" spans="1:33" x14ac:dyDescent="0.25">
      <c r="F13" t="s">
        <v>165</v>
      </c>
      <c r="I13" t="s">
        <v>166</v>
      </c>
      <c r="L13" t="s">
        <v>167</v>
      </c>
      <c r="O13" t="s">
        <v>167</v>
      </c>
      <c r="R13" t="s">
        <v>167</v>
      </c>
      <c r="U13" t="s">
        <v>167</v>
      </c>
      <c r="X13" t="s">
        <v>167</v>
      </c>
      <c r="AA13" t="s">
        <v>167</v>
      </c>
      <c r="AC13" t="s">
        <v>167</v>
      </c>
      <c r="AE13" t="s">
        <v>167</v>
      </c>
      <c r="AG13" t="s">
        <v>167</v>
      </c>
    </row>
    <row r="14" spans="1:33" x14ac:dyDescent="0.25">
      <c r="B14" t="s">
        <v>168</v>
      </c>
      <c r="C14" s="7" t="s">
        <v>17</v>
      </c>
      <c r="F14" t="s">
        <v>169</v>
      </c>
      <c r="I14" t="s">
        <v>170</v>
      </c>
      <c r="L14" t="s">
        <v>171</v>
      </c>
      <c r="O14" t="s">
        <v>171</v>
      </c>
      <c r="R14" t="s">
        <v>171</v>
      </c>
      <c r="U14" t="s">
        <v>171</v>
      </c>
      <c r="X14" t="s">
        <v>171</v>
      </c>
      <c r="AA14" t="s">
        <v>196</v>
      </c>
      <c r="AC14" t="s">
        <v>196</v>
      </c>
      <c r="AE14" t="s">
        <v>196</v>
      </c>
      <c r="AG14" t="s">
        <v>196</v>
      </c>
    </row>
    <row r="15" spans="1:33" x14ac:dyDescent="0.25">
      <c r="B15" t="s">
        <v>172</v>
      </c>
      <c r="C15" s="7"/>
      <c r="F15" s="7" t="s">
        <v>173</v>
      </c>
      <c r="I15" t="s">
        <v>174</v>
      </c>
      <c r="L15" t="s">
        <v>175</v>
      </c>
      <c r="O15" t="s">
        <v>176</v>
      </c>
      <c r="R15" t="s">
        <v>177</v>
      </c>
      <c r="U15" t="s">
        <v>178</v>
      </c>
      <c r="X15" t="s">
        <v>179</v>
      </c>
      <c r="AA15" t="s">
        <v>180</v>
      </c>
      <c r="AC15" s="7" t="s">
        <v>181</v>
      </c>
      <c r="AE15" t="s">
        <v>182</v>
      </c>
      <c r="AG15" t="s">
        <v>183</v>
      </c>
    </row>
    <row r="16" spans="1:33" x14ac:dyDescent="0.25">
      <c r="B16" t="s">
        <v>184</v>
      </c>
      <c r="C16" s="7"/>
      <c r="F16" t="s">
        <v>185</v>
      </c>
      <c r="I16" t="s">
        <v>185</v>
      </c>
      <c r="L16" t="s">
        <v>186</v>
      </c>
      <c r="O16" t="s">
        <v>187</v>
      </c>
      <c r="R16" t="s">
        <v>188</v>
      </c>
      <c r="U16" t="s">
        <v>188</v>
      </c>
      <c r="X16" t="s">
        <v>188</v>
      </c>
      <c r="AA16" t="s">
        <v>187</v>
      </c>
      <c r="AC16" t="s">
        <v>187</v>
      </c>
      <c r="AE16" t="s">
        <v>189</v>
      </c>
      <c r="AG16" t="s">
        <v>189</v>
      </c>
    </row>
    <row r="17" spans="2:33" x14ac:dyDescent="0.25">
      <c r="B17" t="s">
        <v>190</v>
      </c>
      <c r="C17" s="7"/>
      <c r="F17" t="s">
        <v>191</v>
      </c>
      <c r="I17" t="s">
        <v>191</v>
      </c>
      <c r="L17" t="s">
        <v>191</v>
      </c>
      <c r="O17" t="s">
        <v>191</v>
      </c>
      <c r="R17" t="s">
        <v>191</v>
      </c>
      <c r="U17" t="s">
        <v>191</v>
      </c>
      <c r="X17" t="s">
        <v>191</v>
      </c>
      <c r="AA17" t="s">
        <v>191</v>
      </c>
      <c r="AC17" t="s">
        <v>192</v>
      </c>
      <c r="AE17" t="s">
        <v>192</v>
      </c>
      <c r="AG17" t="s">
        <v>192</v>
      </c>
    </row>
    <row r="18" spans="2:33" x14ac:dyDescent="0.25">
      <c r="B18" t="s">
        <v>193</v>
      </c>
      <c r="C18" s="7"/>
    </row>
    <row r="19" spans="2:33" x14ac:dyDescent="0.25">
      <c r="C19" s="7"/>
    </row>
    <row r="20" spans="2:33" x14ac:dyDescent="0.25">
      <c r="B20" t="s">
        <v>194</v>
      </c>
      <c r="C20" s="7"/>
      <c r="F20" t="s">
        <v>195</v>
      </c>
      <c r="I20" t="s">
        <v>195</v>
      </c>
      <c r="L20" t="s">
        <v>195</v>
      </c>
      <c r="O20" t="s">
        <v>195</v>
      </c>
      <c r="R20" t="s">
        <v>195</v>
      </c>
      <c r="U20" t="s">
        <v>195</v>
      </c>
      <c r="X20" t="s">
        <v>195</v>
      </c>
      <c r="AA20" t="s">
        <v>195</v>
      </c>
      <c r="AC20" t="s">
        <v>195</v>
      </c>
      <c r="AE20" t="s">
        <v>195</v>
      </c>
      <c r="AG20" t="s">
        <v>195</v>
      </c>
    </row>
    <row r="21" spans="2:33" x14ac:dyDescent="0.25">
      <c r="B21">
        <v>1970</v>
      </c>
      <c r="C21" s="7">
        <f>SUM(japan[[#This Row],[Column6]]+japan[[#This Row],[Column29]])</f>
        <v>142.01987270000001</v>
      </c>
      <c r="F21">
        <v>124.754364</v>
      </c>
      <c r="I21">
        <v>17.265509000000002</v>
      </c>
      <c r="L21">
        <v>47.307494660000003</v>
      </c>
      <c r="O21">
        <v>4.6533249999999997</v>
      </c>
      <c r="R21">
        <v>6.9849066999999998</v>
      </c>
      <c r="U21">
        <v>2.8628279999999999</v>
      </c>
      <c r="X21">
        <v>1.0428170000000001</v>
      </c>
      <c r="AA21">
        <v>1.7216320000000001</v>
      </c>
      <c r="AC21">
        <v>17.265508699999998</v>
      </c>
      <c r="AE21">
        <v>0.67407406883991783</v>
      </c>
      <c r="AG21">
        <v>0.32592593116008217</v>
      </c>
    </row>
    <row r="22" spans="2:33" x14ac:dyDescent="0.25">
      <c r="B22">
        <v>1971</v>
      </c>
      <c r="C22" s="7">
        <f>SUM(japan[[#This Row],[Column6]]+japan[[#This Row],[Column29]])</f>
        <v>147.91391300000001</v>
      </c>
      <c r="F22">
        <v>128.62593000000001</v>
      </c>
      <c r="I22">
        <v>19.287983000000001</v>
      </c>
      <c r="L22">
        <v>52.849073420000003</v>
      </c>
      <c r="O22">
        <v>5.1985989999999997</v>
      </c>
      <c r="R22">
        <v>7.9849686999999996</v>
      </c>
      <c r="U22">
        <v>3.2097408999999999</v>
      </c>
      <c r="X22">
        <v>1.2011913999999999</v>
      </c>
      <c r="AA22">
        <v>1.6934830000000001</v>
      </c>
      <c r="AC22">
        <v>19.287982999999997</v>
      </c>
      <c r="AE22">
        <v>0.6835119929336313</v>
      </c>
      <c r="AG22">
        <v>0.31648800706636876</v>
      </c>
    </row>
    <row r="23" spans="2:33" x14ac:dyDescent="0.25">
      <c r="B23">
        <v>1972</v>
      </c>
      <c r="C23" s="7">
        <f>SUM(japan[[#This Row],[Column6]]+japan[[#This Row],[Column29]])</f>
        <v>149.3046281</v>
      </c>
      <c r="F23">
        <v>128.10346999999999</v>
      </c>
      <c r="I23">
        <v>21.201159000000001</v>
      </c>
      <c r="L23">
        <v>58.091175659999998</v>
      </c>
      <c r="O23">
        <v>5.8914</v>
      </c>
      <c r="R23">
        <v>8.6400629999999996</v>
      </c>
      <c r="U23">
        <v>3.556514</v>
      </c>
      <c r="X23">
        <v>1.3792574</v>
      </c>
      <c r="AA23">
        <v>1.7339237000000001</v>
      </c>
      <c r="AC23">
        <v>21.201158100000001</v>
      </c>
      <c r="AE23">
        <v>0.68540892584542346</v>
      </c>
      <c r="AG23">
        <v>0.31459107415457649</v>
      </c>
    </row>
    <row r="24" spans="2:33" x14ac:dyDescent="0.25">
      <c r="B24">
        <v>1973</v>
      </c>
      <c r="C24" s="7">
        <f>SUM(japan[[#This Row],[Column6]]+japan[[#This Row],[Column29]])</f>
        <v>145.9680395</v>
      </c>
      <c r="F24">
        <v>123.10509999999999</v>
      </c>
      <c r="I24">
        <v>22.872793000000001</v>
      </c>
      <c r="L24">
        <v>62.671452819999999</v>
      </c>
      <c r="O24">
        <v>6.3365817</v>
      </c>
      <c r="R24">
        <v>9.9335529999999999</v>
      </c>
      <c r="U24">
        <v>3.6363902000000001</v>
      </c>
      <c r="X24">
        <v>1.2022752999999999</v>
      </c>
      <c r="AA24">
        <v>1.7541393000000001</v>
      </c>
      <c r="AC24">
        <v>22.8629395</v>
      </c>
      <c r="AE24">
        <v>0.71163791952473998</v>
      </c>
      <c r="AG24">
        <v>0.28836208047526002</v>
      </c>
    </row>
    <row r="25" spans="2:33" x14ac:dyDescent="0.25">
      <c r="B25">
        <v>1974</v>
      </c>
      <c r="C25" s="7">
        <f>SUM(japan[[#This Row],[Column6]]+japan[[#This Row],[Column29]])</f>
        <v>143.07277529999999</v>
      </c>
      <c r="F25">
        <v>120.44447</v>
      </c>
      <c r="I25">
        <v>22.618449999999999</v>
      </c>
      <c r="L25">
        <v>61.974553</v>
      </c>
      <c r="O25">
        <v>6.6032070000000003</v>
      </c>
      <c r="R25">
        <v>10.200478</v>
      </c>
      <c r="U25">
        <v>3.4395812000000001</v>
      </c>
      <c r="X25">
        <v>0.79829819999999996</v>
      </c>
      <c r="AA25">
        <v>1.5867408999999999</v>
      </c>
      <c r="AC25">
        <v>22.628305300000001</v>
      </c>
      <c r="AE25">
        <v>0.74259582311716477</v>
      </c>
      <c r="AG25">
        <v>0.25740417688283529</v>
      </c>
    </row>
    <row r="26" spans="2:33" x14ac:dyDescent="0.25">
      <c r="B26">
        <v>1975</v>
      </c>
      <c r="C26" s="7">
        <f>SUM(japan[[#This Row],[Column6]]+japan[[#This Row],[Column29]])</f>
        <v>142.55301879999999</v>
      </c>
      <c r="F26">
        <v>119.52688999999999</v>
      </c>
      <c r="I26">
        <v>23.026129000000001</v>
      </c>
      <c r="L26">
        <v>63.091593459999999</v>
      </c>
      <c r="O26">
        <v>6.6140976</v>
      </c>
      <c r="R26">
        <v>10.241502000000001</v>
      </c>
      <c r="U26">
        <v>3.6076896000000001</v>
      </c>
      <c r="X26">
        <v>1.1434207000000001</v>
      </c>
      <c r="AA26">
        <v>1.4194188999999999</v>
      </c>
      <c r="AC26">
        <v>23.026128799999999</v>
      </c>
      <c r="AE26">
        <v>0.73202055570886926</v>
      </c>
      <c r="AG26">
        <v>0.26797944429113069</v>
      </c>
    </row>
    <row r="27" spans="2:33" x14ac:dyDescent="0.25">
      <c r="B27">
        <v>1976</v>
      </c>
      <c r="C27" s="7">
        <f>SUM(japan[[#This Row],[Column6]]+japan[[#This Row],[Column29]])</f>
        <v>143.84402399999999</v>
      </c>
      <c r="F27">
        <v>119.83387999999999</v>
      </c>
      <c r="I27">
        <v>24.010142999999999</v>
      </c>
      <c r="L27">
        <v>65.787791819999995</v>
      </c>
      <c r="O27">
        <v>7.4218549999999999</v>
      </c>
      <c r="R27">
        <v>10.4970455</v>
      </c>
      <c r="U27">
        <v>3.6271482000000002</v>
      </c>
      <c r="X27">
        <v>1.1729094</v>
      </c>
      <c r="AA27">
        <v>1.2911859000000001</v>
      </c>
      <c r="AC27">
        <v>24.010144</v>
      </c>
      <c r="AE27">
        <v>0.74630541574427867</v>
      </c>
      <c r="AG27">
        <v>0.25369458425572128</v>
      </c>
    </row>
    <row r="28" spans="2:33" x14ac:dyDescent="0.25">
      <c r="B28">
        <v>1977</v>
      </c>
      <c r="C28" s="7">
        <f>SUM(japan[[#This Row],[Column6]]+japan[[#This Row],[Column29]])</f>
        <v>149.87518560000001</v>
      </c>
      <c r="F28">
        <v>124.16034000000001</v>
      </c>
      <c r="I28">
        <v>25.704993999999999</v>
      </c>
      <c r="L28">
        <v>70.431683559999996</v>
      </c>
      <c r="O28">
        <v>8.0986989999999999</v>
      </c>
      <c r="R28">
        <v>11.02487</v>
      </c>
      <c r="U28">
        <v>4.0887589999999996</v>
      </c>
      <c r="X28">
        <v>1.2709637</v>
      </c>
      <c r="AA28">
        <v>1.2315539</v>
      </c>
      <c r="AC28">
        <v>25.7148456</v>
      </c>
      <c r="AE28">
        <v>0.74367815764758083</v>
      </c>
      <c r="AG28">
        <v>0.25632184235241917</v>
      </c>
    </row>
    <row r="29" spans="2:33" x14ac:dyDescent="0.25">
      <c r="B29">
        <v>1978</v>
      </c>
      <c r="C29" s="7">
        <f>SUM(japan[[#This Row],[Column6]]+japan[[#This Row],[Column29]])</f>
        <v>151.75552769999999</v>
      </c>
      <c r="F29">
        <v>123.97291</v>
      </c>
      <c r="I29">
        <v>27.782616000000001</v>
      </c>
      <c r="L29">
        <v>76.124367840000005</v>
      </c>
      <c r="O29">
        <v>9.0015289999999997</v>
      </c>
      <c r="R29">
        <v>11.828048000000001</v>
      </c>
      <c r="U29">
        <v>4.6386433</v>
      </c>
      <c r="X29">
        <v>1.1818200000000001</v>
      </c>
      <c r="AA29">
        <v>1.1325774</v>
      </c>
      <c r="AC29">
        <v>27.782617699999999</v>
      </c>
      <c r="AE29">
        <v>0.74973414042262843</v>
      </c>
      <c r="AG29">
        <v>0.25026585957737163</v>
      </c>
    </row>
    <row r="30" spans="2:33" x14ac:dyDescent="0.25">
      <c r="B30">
        <v>1979</v>
      </c>
      <c r="C30" s="7">
        <f>SUM(japan[[#This Row],[Column6]]+japan[[#This Row],[Column29]])</f>
        <v>151.38652056999999</v>
      </c>
      <c r="F30">
        <v>121.42829999999999</v>
      </c>
      <c r="I30">
        <v>29.968070000000001</v>
      </c>
      <c r="L30">
        <v>82.112511799999993</v>
      </c>
      <c r="O30">
        <v>9.7398690000000006</v>
      </c>
      <c r="R30">
        <v>13.206434</v>
      </c>
      <c r="U30">
        <v>4.9437956999999999</v>
      </c>
      <c r="X30">
        <v>0.99466807000000002</v>
      </c>
      <c r="AA30">
        <v>1.0734538</v>
      </c>
      <c r="AC30">
        <v>29.958220570000002</v>
      </c>
      <c r="AE30">
        <v>0.76594345603351044</v>
      </c>
      <c r="AG30">
        <v>0.2340565439664897</v>
      </c>
    </row>
    <row r="31" spans="2:33" x14ac:dyDescent="0.25">
      <c r="B31">
        <v>1980</v>
      </c>
      <c r="C31" s="7">
        <f>SUM(japan[[#This Row],[Column6]]+japan[[#This Row],[Column29]])</f>
        <v>150.56591035</v>
      </c>
      <c r="F31">
        <v>120.825226</v>
      </c>
      <c r="I31">
        <v>29.740684999999999</v>
      </c>
      <c r="L31">
        <v>81.4894769</v>
      </c>
      <c r="O31">
        <v>9.9628329999999998</v>
      </c>
      <c r="R31">
        <v>13.26407</v>
      </c>
      <c r="U31">
        <v>4.8976540000000002</v>
      </c>
      <c r="X31">
        <v>0.66024715</v>
      </c>
      <c r="AA31">
        <v>0.95588019999999996</v>
      </c>
      <c r="AC31">
        <v>29.740684349999999</v>
      </c>
      <c r="AE31">
        <v>0.78098078466039067</v>
      </c>
      <c r="AG31">
        <v>0.21901921533960941</v>
      </c>
    </row>
    <row r="32" spans="2:33" x14ac:dyDescent="0.25">
      <c r="B32">
        <v>1981</v>
      </c>
      <c r="C32" s="7">
        <f>SUM(japan[[#This Row],[Column6]]+japan[[#This Row],[Column29]])</f>
        <v>152.45924687000002</v>
      </c>
      <c r="F32">
        <v>122.263435</v>
      </c>
      <c r="I32">
        <v>30.195812</v>
      </c>
      <c r="L32">
        <v>82.736524880000005</v>
      </c>
      <c r="O32">
        <v>10.124478</v>
      </c>
      <c r="R32">
        <v>13.163795</v>
      </c>
      <c r="U32">
        <v>5.2892013000000002</v>
      </c>
      <c r="X32">
        <v>0.73022549999999997</v>
      </c>
      <c r="AA32">
        <v>0.88811207000000003</v>
      </c>
      <c r="AC32">
        <v>30.19581187</v>
      </c>
      <c r="AE32">
        <v>0.77124182321248513</v>
      </c>
      <c r="AG32">
        <v>0.22875817678751487</v>
      </c>
    </row>
    <row r="33" spans="2:33" x14ac:dyDescent="0.25">
      <c r="B33">
        <v>1982</v>
      </c>
      <c r="C33" s="7">
        <f>SUM(japan[[#This Row],[Column6]]+japan[[#This Row],[Column29]])</f>
        <v>152.51014309999999</v>
      </c>
      <c r="F33">
        <v>122.01009000000001</v>
      </c>
      <c r="I33">
        <v>30.500053000000001</v>
      </c>
      <c r="L33">
        <v>83.570145220000001</v>
      </c>
      <c r="O33">
        <v>10.58508</v>
      </c>
      <c r="R33">
        <v>12.986737</v>
      </c>
      <c r="U33">
        <v>5.3370150000000001</v>
      </c>
      <c r="X33">
        <v>0.70171859999999997</v>
      </c>
      <c r="AA33">
        <v>0.88950249999999997</v>
      </c>
      <c r="AC33">
        <v>30.500053099999999</v>
      </c>
      <c r="AE33">
        <v>0.77284511350572027</v>
      </c>
      <c r="AG33">
        <v>0.22715488649427959</v>
      </c>
    </row>
    <row r="34" spans="2:33" x14ac:dyDescent="0.25">
      <c r="B34">
        <v>1983</v>
      </c>
      <c r="C34" s="7">
        <f>SUM(japan[[#This Row],[Column6]]+japan[[#This Row],[Column29]])</f>
        <v>148.22741445999998</v>
      </c>
      <c r="F34">
        <v>117.01434999999999</v>
      </c>
      <c r="I34">
        <v>31.213066000000001</v>
      </c>
      <c r="L34">
        <v>85.523800840000007</v>
      </c>
      <c r="O34">
        <v>10.975044</v>
      </c>
      <c r="R34">
        <v>13.12255</v>
      </c>
      <c r="U34">
        <v>5.5716409999999996</v>
      </c>
      <c r="X34">
        <v>0.67295130000000003</v>
      </c>
      <c r="AA34">
        <v>0.87087815999999996</v>
      </c>
      <c r="AC34">
        <v>31.213064459999998</v>
      </c>
      <c r="AE34">
        <v>0.77203550554548783</v>
      </c>
      <c r="AG34">
        <v>0.22796449445451217</v>
      </c>
    </row>
    <row r="35" spans="2:33" x14ac:dyDescent="0.25">
      <c r="B35">
        <v>1984</v>
      </c>
      <c r="C35" s="7">
        <f>SUM(japan[[#This Row],[Column6]]+japan[[#This Row],[Column29]])</f>
        <v>153.16159935000002</v>
      </c>
      <c r="F35">
        <v>121.05154400000001</v>
      </c>
      <c r="I35">
        <v>32.110053999999998</v>
      </c>
      <c r="L35">
        <v>87.98154796</v>
      </c>
      <c r="O35">
        <v>11.409865</v>
      </c>
      <c r="R35">
        <v>13.261988000000001</v>
      </c>
      <c r="U35">
        <v>5.9723515999999996</v>
      </c>
      <c r="X35">
        <v>0.61407259999999997</v>
      </c>
      <c r="AA35">
        <v>0.85177815000000001</v>
      </c>
      <c r="AC35">
        <v>32.110055349999996</v>
      </c>
      <c r="AE35">
        <v>0.76835286426873139</v>
      </c>
      <c r="AG35">
        <v>0.23164713573126872</v>
      </c>
    </row>
    <row r="36" spans="2:33" x14ac:dyDescent="0.25">
      <c r="B36">
        <v>1985</v>
      </c>
      <c r="C36" s="7">
        <f>SUM(japan[[#This Row],[Column6]]+japan[[#This Row],[Column29]])</f>
        <v>151.79048076000001</v>
      </c>
      <c r="F36">
        <v>118.36527</v>
      </c>
      <c r="I36">
        <v>33.415301999999997</v>
      </c>
      <c r="L36">
        <v>91.557927480000004</v>
      </c>
      <c r="O36">
        <v>11.779068000000001</v>
      </c>
      <c r="R36">
        <v>14.047703</v>
      </c>
      <c r="U36">
        <v>6.1421546999999999</v>
      </c>
      <c r="X36">
        <v>0.64393555999999996</v>
      </c>
      <c r="AA36">
        <v>0.81234949999999995</v>
      </c>
      <c r="AC36">
        <v>33.425210760000006</v>
      </c>
      <c r="AE36">
        <v>0.772673392710718</v>
      </c>
      <c r="AG36">
        <v>0.22732660728928183</v>
      </c>
    </row>
    <row r="37" spans="2:33" x14ac:dyDescent="0.25">
      <c r="B37">
        <v>1986</v>
      </c>
      <c r="C37" s="7">
        <f>SUM(japan[[#This Row],[Column6]]+japan[[#This Row],[Column29]])</f>
        <v>155.72246509999999</v>
      </c>
      <c r="F37">
        <v>121.19450999999999</v>
      </c>
      <c r="I37">
        <v>34.527954000000001</v>
      </c>
      <c r="L37">
        <v>94.606593959999998</v>
      </c>
      <c r="O37">
        <v>12.519603</v>
      </c>
      <c r="R37">
        <v>14.302457</v>
      </c>
      <c r="U37">
        <v>6.4479920000000002</v>
      </c>
      <c r="X37">
        <v>0.64380866000000003</v>
      </c>
      <c r="AA37">
        <v>0.61409444000000002</v>
      </c>
      <c r="AC37">
        <v>34.5279551</v>
      </c>
      <c r="AE37">
        <v>0.7768215616105224</v>
      </c>
      <c r="AG37">
        <v>0.22317843838947765</v>
      </c>
    </row>
    <row r="38" spans="2:33" x14ac:dyDescent="0.25">
      <c r="B38">
        <v>1987</v>
      </c>
      <c r="C38" s="7">
        <f>SUM(japan[[#This Row],[Column6]]+japan[[#This Row],[Column29]])</f>
        <v>156.7945489</v>
      </c>
      <c r="F38">
        <v>120.656876</v>
      </c>
      <c r="I38">
        <v>36.147570000000002</v>
      </c>
      <c r="L38">
        <v>99.044341799999998</v>
      </c>
      <c r="O38">
        <v>13.055489</v>
      </c>
      <c r="R38">
        <v>15.084583</v>
      </c>
      <c r="U38">
        <v>6.8692264999999999</v>
      </c>
      <c r="X38">
        <v>0.61367729999999998</v>
      </c>
      <c r="AA38">
        <v>0.51469710000000002</v>
      </c>
      <c r="AC38">
        <v>36.137672899999998</v>
      </c>
      <c r="AE38">
        <v>0.77869076068813503</v>
      </c>
      <c r="AG38">
        <v>0.22130923931186505</v>
      </c>
    </row>
    <row r="39" spans="2:33" x14ac:dyDescent="0.25">
      <c r="B39">
        <v>1988</v>
      </c>
      <c r="C39" s="7">
        <f>SUM(japan[[#This Row],[Column6]]+japan[[#This Row],[Column29]])</f>
        <v>155.79831332000001</v>
      </c>
      <c r="F39">
        <v>118.28014</v>
      </c>
      <c r="I39">
        <v>37.518172999999997</v>
      </c>
      <c r="L39">
        <v>102.79979400000001</v>
      </c>
      <c r="O39">
        <v>13.745456000000001</v>
      </c>
      <c r="R39">
        <v>15.347445</v>
      </c>
      <c r="U39">
        <v>7.3968353000000002</v>
      </c>
      <c r="X39">
        <v>0.62299550000000004</v>
      </c>
      <c r="AA39">
        <v>0.40544152</v>
      </c>
      <c r="AC39">
        <v>37.518173320000002</v>
      </c>
      <c r="AE39">
        <v>0.7754349006243143</v>
      </c>
      <c r="AG39">
        <v>0.22456509937568572</v>
      </c>
    </row>
    <row r="40" spans="2:33" x14ac:dyDescent="0.25">
      <c r="B40">
        <v>1989</v>
      </c>
      <c r="C40" s="7">
        <f>SUM(japan[[#This Row],[Column6]]+japan[[#This Row],[Column29]])</f>
        <v>156.91575740000002</v>
      </c>
      <c r="F40">
        <v>118.58866</v>
      </c>
      <c r="I40">
        <v>38.336982999999996</v>
      </c>
      <c r="L40">
        <v>105.04333339999999</v>
      </c>
      <c r="O40">
        <v>13.619066</v>
      </c>
      <c r="R40">
        <v>15.664892</v>
      </c>
      <c r="U40">
        <v>8.0943509999999996</v>
      </c>
      <c r="X40">
        <v>0.5534599</v>
      </c>
      <c r="AA40">
        <v>0.39532850000000003</v>
      </c>
      <c r="AC40">
        <v>38.3270974</v>
      </c>
      <c r="AE40">
        <v>0.76405363271782756</v>
      </c>
      <c r="AG40">
        <v>0.23594636728217253</v>
      </c>
    </row>
    <row r="41" spans="2:33" x14ac:dyDescent="0.25">
      <c r="B41">
        <v>1990</v>
      </c>
      <c r="C41" s="7">
        <f>SUM(japan[[#This Row],[Column6]]+japan[[#This Row],[Column29]])</f>
        <v>153.22844333</v>
      </c>
      <c r="F41">
        <v>115.343864</v>
      </c>
      <c r="I41">
        <v>37.884582999999999</v>
      </c>
      <c r="L41">
        <v>103.80375739999999</v>
      </c>
      <c r="O41">
        <v>13.461726000000001</v>
      </c>
      <c r="R41">
        <v>15.211157999999999</v>
      </c>
      <c r="U41">
        <v>8.3221539999999994</v>
      </c>
      <c r="X41">
        <v>0.5139572</v>
      </c>
      <c r="AA41">
        <v>0.37558413000000002</v>
      </c>
      <c r="AC41">
        <v>37.884579330000001</v>
      </c>
      <c r="AE41">
        <v>0.75684841978156914</v>
      </c>
      <c r="AG41">
        <v>0.24315158021843081</v>
      </c>
    </row>
    <row r="42" spans="2:33" x14ac:dyDescent="0.25">
      <c r="B42">
        <v>1991</v>
      </c>
      <c r="C42" s="7">
        <f>SUM(japan[[#This Row],[Column6]]+japan[[#This Row],[Column29]])</f>
        <v>151.5467232</v>
      </c>
      <c r="F42">
        <v>113.50181000000001</v>
      </c>
      <c r="I42">
        <v>38.025134999999999</v>
      </c>
      <c r="L42">
        <v>104.1888699</v>
      </c>
      <c r="O42">
        <v>13.677180999999999</v>
      </c>
      <c r="R42">
        <v>15.160606</v>
      </c>
      <c r="U42">
        <v>8.3368500000000001</v>
      </c>
      <c r="X42">
        <v>0.51425410000000005</v>
      </c>
      <c r="AA42">
        <v>0.35602210000000001</v>
      </c>
      <c r="AC42">
        <v>38.044913200000003</v>
      </c>
      <c r="AE42">
        <v>0.75799323942208396</v>
      </c>
      <c r="AG42">
        <v>0.24200676057791615</v>
      </c>
    </row>
    <row r="43" spans="2:33" x14ac:dyDescent="0.25">
      <c r="B43">
        <v>1992</v>
      </c>
      <c r="C43" s="7">
        <f>SUM(japan[[#This Row],[Column6]]+japan[[#This Row],[Column29]])</f>
        <v>155.34506999000001</v>
      </c>
      <c r="F43">
        <v>115.92975</v>
      </c>
      <c r="I43">
        <v>39.415320000000001</v>
      </c>
      <c r="L43">
        <v>107.9979768</v>
      </c>
      <c r="O43">
        <v>14.134876</v>
      </c>
      <c r="R43">
        <v>15.3820715</v>
      </c>
      <c r="U43">
        <v>9.0372140000000005</v>
      </c>
      <c r="X43">
        <v>0.53451216000000001</v>
      </c>
      <c r="AA43">
        <v>0.32664632999999998</v>
      </c>
      <c r="AC43">
        <v>39.41531999</v>
      </c>
      <c r="AE43">
        <v>0.74886991929759039</v>
      </c>
      <c r="AG43">
        <v>0.25113008070240961</v>
      </c>
    </row>
    <row r="44" spans="2:33" x14ac:dyDescent="0.25">
      <c r="B44">
        <v>1993</v>
      </c>
      <c r="C44" s="7">
        <f>SUM(japan[[#This Row],[Column6]]+japan[[#This Row],[Column29]])</f>
        <v>152.21069427</v>
      </c>
      <c r="F44">
        <v>112.44108</v>
      </c>
      <c r="I44">
        <v>39.769615000000002</v>
      </c>
      <c r="L44">
        <v>108.96874510000001</v>
      </c>
      <c r="O44">
        <v>13.735531</v>
      </c>
      <c r="R44">
        <v>15.222060000000001</v>
      </c>
      <c r="U44">
        <v>10.039028</v>
      </c>
      <c r="X44">
        <v>0.44595879999999999</v>
      </c>
      <c r="AA44">
        <v>0.32703647000000002</v>
      </c>
      <c r="AC44">
        <v>39.769614270000005</v>
      </c>
      <c r="AE44">
        <v>0.72813356457027556</v>
      </c>
      <c r="AG44">
        <v>0.27186643542972433</v>
      </c>
    </row>
    <row r="45" spans="2:33" x14ac:dyDescent="0.25">
      <c r="B45">
        <v>1994</v>
      </c>
      <c r="C45" s="7">
        <f>SUM(japan[[#This Row],[Column6]]+japan[[#This Row],[Column29]])</f>
        <v>153.54141362999999</v>
      </c>
      <c r="F45">
        <v>113.24175</v>
      </c>
      <c r="I45">
        <v>40.299664</v>
      </c>
      <c r="L45">
        <v>110.4210794</v>
      </c>
      <c r="O45">
        <v>13.767151</v>
      </c>
      <c r="R45">
        <v>15.126011999999999</v>
      </c>
      <c r="U45">
        <v>10.741948000000001</v>
      </c>
      <c r="X45">
        <v>0.37691045000000001</v>
      </c>
      <c r="AA45">
        <v>0.28764218000000003</v>
      </c>
      <c r="AC45">
        <v>40.299663629999998</v>
      </c>
      <c r="AE45">
        <v>0.71695791968078026</v>
      </c>
      <c r="AG45">
        <v>0.28304208031921985</v>
      </c>
    </row>
    <row r="46" spans="2:33" x14ac:dyDescent="0.25">
      <c r="B46">
        <v>1995</v>
      </c>
      <c r="C46" s="7">
        <f>SUM(japan[[#This Row],[Column6]]+japan[[#This Row],[Column29]])</f>
        <v>159.45189243999999</v>
      </c>
      <c r="F46">
        <v>115.72593000000001</v>
      </c>
      <c r="I46">
        <v>43.735886000000001</v>
      </c>
      <c r="L46">
        <v>119.8363276</v>
      </c>
      <c r="O46">
        <v>14.677871</v>
      </c>
      <c r="R46">
        <v>17.119219999999999</v>
      </c>
      <c r="U46">
        <v>11.263951</v>
      </c>
      <c r="X46">
        <v>0.37711906000000001</v>
      </c>
      <c r="AA46">
        <v>0.28780138</v>
      </c>
      <c r="AC46">
        <v>43.725962440000004</v>
      </c>
      <c r="AE46">
        <v>0.72719019149393027</v>
      </c>
      <c r="AG46">
        <v>0.27280980850606978</v>
      </c>
    </row>
    <row r="47" spans="2:33" x14ac:dyDescent="0.25">
      <c r="B47">
        <v>1996</v>
      </c>
      <c r="C47" s="7">
        <f>SUM(japan[[#This Row],[Column6]]+japan[[#This Row],[Column29]])</f>
        <v>158.8844</v>
      </c>
      <c r="F47">
        <v>114.89267</v>
      </c>
      <c r="I47">
        <v>43.991734000000001</v>
      </c>
      <c r="L47">
        <v>120.5373512</v>
      </c>
      <c r="O47">
        <v>14.749935000000001</v>
      </c>
      <c r="R47">
        <v>18.00564</v>
      </c>
      <c r="U47">
        <v>10.650525</v>
      </c>
      <c r="X47">
        <v>0.32755578000000002</v>
      </c>
      <c r="AA47">
        <v>0.25807422000000002</v>
      </c>
      <c r="AC47">
        <v>43.991729999999997</v>
      </c>
      <c r="AE47">
        <v>0.74458483446775126</v>
      </c>
      <c r="AG47">
        <v>0.25541516553224891</v>
      </c>
    </row>
    <row r="48" spans="2:33" x14ac:dyDescent="0.25">
      <c r="B48">
        <v>1997</v>
      </c>
      <c r="C48" s="7">
        <f>SUM(japan[[#This Row],[Column6]]+japan[[#This Row],[Column29]])</f>
        <v>153.74634980000002</v>
      </c>
      <c r="F48">
        <v>111.79478</v>
      </c>
      <c r="I48">
        <v>41.951569999999997</v>
      </c>
      <c r="L48">
        <v>114.94730180000001</v>
      </c>
      <c r="O48">
        <v>14.436975500000001</v>
      </c>
      <c r="R48">
        <v>16.391673999999998</v>
      </c>
      <c r="U48">
        <v>10.616882</v>
      </c>
      <c r="X48">
        <v>0.28774726</v>
      </c>
      <c r="AA48">
        <v>0.21829103999999999</v>
      </c>
      <c r="AC48">
        <v>41.951569800000001</v>
      </c>
      <c r="AE48">
        <v>0.73486283462031488</v>
      </c>
      <c r="AG48">
        <v>0.26513716537968501</v>
      </c>
    </row>
    <row r="49" spans="2:33" x14ac:dyDescent="0.25">
      <c r="B49">
        <v>1998</v>
      </c>
      <c r="C49" s="7">
        <f>SUM(japan[[#This Row],[Column6]]+japan[[#This Row],[Column29]])</f>
        <v>151.36167909</v>
      </c>
      <c r="F49">
        <v>109.35093000000001</v>
      </c>
      <c r="I49">
        <v>42.000827999999998</v>
      </c>
      <c r="L49">
        <v>115.0822687</v>
      </c>
      <c r="O49">
        <v>14.3903675</v>
      </c>
      <c r="R49">
        <v>16.324290000000001</v>
      </c>
      <c r="U49">
        <v>10.800214</v>
      </c>
      <c r="X49">
        <v>0.27769145000000001</v>
      </c>
      <c r="AA49">
        <v>0.21818614</v>
      </c>
      <c r="AC49">
        <v>42.010749089999997</v>
      </c>
      <c r="AE49">
        <v>0.73111425445425215</v>
      </c>
      <c r="AG49">
        <v>0.26888574554574796</v>
      </c>
    </row>
    <row r="50" spans="2:33" x14ac:dyDescent="0.25">
      <c r="B50">
        <v>1999</v>
      </c>
      <c r="C50" s="7">
        <f>SUM(japan[[#This Row],[Column6]]+japan[[#This Row],[Column29]])</f>
        <v>156.51033887</v>
      </c>
      <c r="F50">
        <v>112.72512</v>
      </c>
      <c r="I50">
        <v>43.785217000000003</v>
      </c>
      <c r="L50">
        <v>119.9714946</v>
      </c>
      <c r="O50">
        <v>15.041252999999999</v>
      </c>
      <c r="R50">
        <v>17.301905000000001</v>
      </c>
      <c r="U50">
        <v>10.99588</v>
      </c>
      <c r="X50">
        <v>0.23796312999999999</v>
      </c>
      <c r="AA50">
        <v>0.20821774000000001</v>
      </c>
      <c r="AC50">
        <v>43.785218870000001</v>
      </c>
      <c r="AE50">
        <v>0.73867754540700326</v>
      </c>
      <c r="AG50">
        <v>0.26132245459299674</v>
      </c>
    </row>
    <row r="51" spans="2:33" x14ac:dyDescent="0.25">
      <c r="B51">
        <v>2000</v>
      </c>
      <c r="C51" s="7">
        <f>SUM(japan[[#This Row],[Column6]]+japan[[#This Row],[Column29]])</f>
        <v>156.70274319999999</v>
      </c>
      <c r="F51">
        <v>111.83139</v>
      </c>
      <c r="I51">
        <v>44.881267999999999</v>
      </c>
      <c r="L51">
        <v>122.9746743</v>
      </c>
      <c r="O51">
        <v>15.456129000000001</v>
      </c>
      <c r="R51">
        <v>17.696722000000001</v>
      </c>
      <c r="U51">
        <v>11.321937</v>
      </c>
      <c r="X51">
        <v>0.20819673</v>
      </c>
      <c r="AA51">
        <v>0.18836847000000001</v>
      </c>
      <c r="AC51">
        <v>44.871353199999994</v>
      </c>
      <c r="AE51">
        <v>0.73884223754589173</v>
      </c>
      <c r="AG51">
        <v>0.26115776245410849</v>
      </c>
    </row>
    <row r="52" spans="2:33" x14ac:dyDescent="0.25">
      <c r="B52">
        <v>2001</v>
      </c>
      <c r="C52" s="7">
        <f>SUM(japan[[#This Row],[Column6]]+japan[[#This Row],[Column29]])</f>
        <v>155.08597115999999</v>
      </c>
      <c r="F52">
        <v>110.70063</v>
      </c>
      <c r="I52">
        <v>44.395251999999999</v>
      </c>
      <c r="L52">
        <v>121.6429905</v>
      </c>
      <c r="O52">
        <v>15.594849</v>
      </c>
      <c r="R52">
        <v>18.093198999999998</v>
      </c>
      <c r="U52">
        <v>10.310644</v>
      </c>
      <c r="X52">
        <v>0.20819570000000001</v>
      </c>
      <c r="AA52">
        <v>0.17845346000000001</v>
      </c>
      <c r="AC52">
        <v>44.385341159999989</v>
      </c>
      <c r="AE52">
        <v>0.75899040357854941</v>
      </c>
      <c r="AG52">
        <v>0.24100959642145064</v>
      </c>
    </row>
    <row r="53" spans="2:33" x14ac:dyDescent="0.25">
      <c r="B53">
        <v>2002</v>
      </c>
      <c r="C53" s="7">
        <f>SUM(japan[[#This Row],[Column6]]+japan[[#This Row],[Column29]])</f>
        <v>150.93143891</v>
      </c>
      <c r="F53">
        <v>106.630844</v>
      </c>
      <c r="I53">
        <v>44.30059</v>
      </c>
      <c r="L53">
        <v>121.3836166</v>
      </c>
      <c r="O53">
        <v>16.066032</v>
      </c>
      <c r="R53">
        <v>18.961884999999999</v>
      </c>
      <c r="U53">
        <v>8.9156549999999992</v>
      </c>
      <c r="X53">
        <v>0.19834605999999999</v>
      </c>
      <c r="AA53">
        <v>0.15867685000000001</v>
      </c>
      <c r="AC53">
        <v>44.300594910000001</v>
      </c>
      <c r="AE53">
        <v>0.79068728244308795</v>
      </c>
      <c r="AG53">
        <v>0.20931271755691191</v>
      </c>
    </row>
    <row r="54" spans="2:33" x14ac:dyDescent="0.25">
      <c r="B54">
        <v>2003</v>
      </c>
      <c r="C54" s="7">
        <f>SUM(japan[[#This Row],[Column6]]+japan[[#This Row],[Column29]])</f>
        <v>151.52830711999999</v>
      </c>
      <c r="F54">
        <v>106.8736</v>
      </c>
      <c r="I54">
        <v>44.644782999999997</v>
      </c>
      <c r="L54">
        <v>122.32670539999999</v>
      </c>
      <c r="O54">
        <v>15.797843</v>
      </c>
      <c r="R54">
        <v>18.983212000000002</v>
      </c>
      <c r="U54">
        <v>9.5362609999999997</v>
      </c>
      <c r="X54">
        <v>0.17861883000000001</v>
      </c>
      <c r="AA54">
        <v>0.15877229000000001</v>
      </c>
      <c r="AC54">
        <v>44.654707120000005</v>
      </c>
      <c r="AE54">
        <v>0.77888888413338675</v>
      </c>
      <c r="AG54">
        <v>0.22111111586661319</v>
      </c>
    </row>
    <row r="55" spans="2:33" x14ac:dyDescent="0.25">
      <c r="B55">
        <v>2004</v>
      </c>
      <c r="C55" s="7">
        <f>SUM(japan[[#This Row],[Column6]]+japan[[#This Row],[Column29]])</f>
        <v>148.69635864</v>
      </c>
      <c r="F55">
        <v>104.70805</v>
      </c>
      <c r="I55">
        <v>43.988308000000004</v>
      </c>
      <c r="L55">
        <v>120.5279639</v>
      </c>
      <c r="O55">
        <v>14.874601</v>
      </c>
      <c r="R55">
        <v>20.395482999999999</v>
      </c>
      <c r="U55">
        <v>8.3210390000000007</v>
      </c>
      <c r="X55">
        <v>0.21845210000000001</v>
      </c>
      <c r="AA55">
        <v>0.17873354</v>
      </c>
      <c r="AC55">
        <v>43.98830864</v>
      </c>
      <c r="AE55">
        <v>0.80180586820580235</v>
      </c>
      <c r="AG55">
        <v>0.19819413179419759</v>
      </c>
    </row>
    <row r="56" spans="2:33" x14ac:dyDescent="0.25">
      <c r="B56">
        <v>2005</v>
      </c>
      <c r="C56" s="7">
        <f>SUM(japan[[#This Row],[Column6]]+japan[[#This Row],[Column29]])</f>
        <v>153.54916894000002</v>
      </c>
      <c r="F56">
        <v>107.13865</v>
      </c>
      <c r="I56">
        <v>46.410519999999998</v>
      </c>
      <c r="L56">
        <v>127.16482480000001</v>
      </c>
      <c r="O56">
        <v>16.761838999999998</v>
      </c>
      <c r="R56">
        <v>20.686512</v>
      </c>
      <c r="U56">
        <v>8.5249889999999997</v>
      </c>
      <c r="X56">
        <v>0.24839712999999999</v>
      </c>
      <c r="AA56">
        <v>0.18878180999999999</v>
      </c>
      <c r="AC56">
        <v>46.410518940000003</v>
      </c>
      <c r="AE56">
        <v>0.80689360634845775</v>
      </c>
      <c r="AG56">
        <v>0.19310639365154231</v>
      </c>
    </row>
    <row r="57" spans="2:33" x14ac:dyDescent="0.25">
      <c r="B57">
        <v>2006</v>
      </c>
      <c r="C57" s="7">
        <f>SUM(japan[[#This Row],[Column6]]+japan[[#This Row],[Column29]])</f>
        <v>151.03978209000002</v>
      </c>
      <c r="F57">
        <v>105.50419599999999</v>
      </c>
      <c r="I57">
        <v>45.545524999999998</v>
      </c>
      <c r="L57">
        <v>124.79473849999999</v>
      </c>
      <c r="O57">
        <v>17.26595</v>
      </c>
      <c r="R57">
        <v>19.40307</v>
      </c>
      <c r="U57">
        <v>8.4490820000000006</v>
      </c>
      <c r="X57">
        <v>0.24850243</v>
      </c>
      <c r="AA57">
        <v>0.16898166000000001</v>
      </c>
      <c r="AC57">
        <v>45.53558609000001</v>
      </c>
      <c r="AE57">
        <v>0.80528270631072052</v>
      </c>
      <c r="AG57">
        <v>0.19471729368927948</v>
      </c>
    </row>
    <row r="58" spans="2:33" x14ac:dyDescent="0.25">
      <c r="B58">
        <v>2007</v>
      </c>
      <c r="C58" s="7">
        <f>SUM(japan[[#This Row],[Column6]]+japan[[#This Row],[Column29]])</f>
        <v>150.11645737999999</v>
      </c>
      <c r="F58">
        <v>104.21965</v>
      </c>
      <c r="I58">
        <v>45.896805000000001</v>
      </c>
      <c r="L58">
        <v>125.7572457</v>
      </c>
      <c r="O58">
        <v>17.068403</v>
      </c>
      <c r="R58">
        <v>19.951243999999999</v>
      </c>
      <c r="U58">
        <v>8.5491130000000002</v>
      </c>
      <c r="X58">
        <v>0.17893492999999999</v>
      </c>
      <c r="AA58">
        <v>0.14911245000000001</v>
      </c>
      <c r="AC58">
        <v>45.896807379999991</v>
      </c>
      <c r="AE58">
        <v>0.80658435985531518</v>
      </c>
      <c r="AG58">
        <v>0.19341564014468501</v>
      </c>
    </row>
    <row r="59" spans="2:33" x14ac:dyDescent="0.25">
      <c r="B59">
        <v>2008</v>
      </c>
      <c r="C59" s="7">
        <f>SUM(japan[[#This Row],[Column6]]+japan[[#This Row],[Column29]])</f>
        <v>148.47530358</v>
      </c>
      <c r="F59">
        <v>102.27061500000001</v>
      </c>
      <c r="I59">
        <v>46.21463</v>
      </c>
      <c r="L59">
        <v>126.6280862</v>
      </c>
      <c r="O59">
        <v>17.237290999999999</v>
      </c>
      <c r="R59">
        <v>20.179758</v>
      </c>
      <c r="U59">
        <v>8.4695350000000005</v>
      </c>
      <c r="X59">
        <v>0.17893382999999999</v>
      </c>
      <c r="AA59">
        <v>0.13917075000000001</v>
      </c>
      <c r="AC59">
        <v>46.204688580000003</v>
      </c>
      <c r="AE59">
        <v>0.80981065233704908</v>
      </c>
      <c r="AG59">
        <v>0.19018934766295095</v>
      </c>
    </row>
    <row r="60" spans="2:33" x14ac:dyDescent="0.25">
      <c r="B60">
        <v>2009</v>
      </c>
      <c r="C60" s="7">
        <f>SUM(japan[[#This Row],[Column6]]+japan[[#This Row],[Column29]])</f>
        <v>145.52692529000001</v>
      </c>
      <c r="F60">
        <v>100.01994000000001</v>
      </c>
      <c r="I60">
        <v>45.516925999999998</v>
      </c>
      <c r="L60">
        <v>124.7163772</v>
      </c>
      <c r="O60">
        <v>16.858855999999999</v>
      </c>
      <c r="R60">
        <v>19.642158999999999</v>
      </c>
      <c r="U60">
        <v>8.6978190000000009</v>
      </c>
      <c r="X60">
        <v>0.17892656000000001</v>
      </c>
      <c r="AA60">
        <v>0.12922473000000001</v>
      </c>
      <c r="AC60">
        <v>45.506985290000003</v>
      </c>
      <c r="AE60">
        <v>0.80209696967162036</v>
      </c>
      <c r="AG60">
        <v>0.1979030303283798</v>
      </c>
    </row>
    <row r="61" spans="2:33" x14ac:dyDescent="0.25">
      <c r="B61">
        <v>2010</v>
      </c>
      <c r="C61" s="7">
        <f>SUM(japan[[#This Row],[Column6]]+japan[[#This Row],[Column29]])</f>
        <v>166.76</v>
      </c>
      <c r="F61">
        <v>120.43</v>
      </c>
      <c r="I61">
        <v>46.34</v>
      </c>
      <c r="L61">
        <v>126.9716</v>
      </c>
      <c r="O61">
        <v>17.36</v>
      </c>
      <c r="R61">
        <v>19.84</v>
      </c>
      <c r="U61">
        <v>8.8699999999999992</v>
      </c>
      <c r="X61">
        <v>0.14000000000000001</v>
      </c>
      <c r="AA61">
        <v>0.12</v>
      </c>
      <c r="AC61">
        <v>46.33</v>
      </c>
      <c r="AE61">
        <v>0.80293546298294849</v>
      </c>
      <c r="AG61">
        <v>0.19706453701705157</v>
      </c>
    </row>
    <row r="62" spans="2:33" x14ac:dyDescent="0.25">
      <c r="B62">
        <v>2011</v>
      </c>
      <c r="C62" s="7">
        <f>SUM(japan[[#This Row],[Column6]]+japan[[#This Row],[Column29]])</f>
        <v>168.16</v>
      </c>
      <c r="F62">
        <v>121.03</v>
      </c>
      <c r="I62">
        <v>47.13</v>
      </c>
      <c r="L62">
        <v>129.1362</v>
      </c>
      <c r="O62">
        <v>17.84</v>
      </c>
      <c r="R62">
        <v>20.11</v>
      </c>
      <c r="U62">
        <v>8.93</v>
      </c>
      <c r="X62">
        <v>0.14000000000000001</v>
      </c>
      <c r="AA62">
        <v>0.11</v>
      </c>
      <c r="AC62">
        <v>47.13</v>
      </c>
      <c r="AE62">
        <v>0.80521960534691284</v>
      </c>
      <c r="AG62">
        <v>0.19478039465308719</v>
      </c>
    </row>
    <row r="63" spans="2:33" x14ac:dyDescent="0.25">
      <c r="B63">
        <v>2012</v>
      </c>
      <c r="C63" s="7">
        <f>SUM(japan[[#This Row],[Column6]]+japan[[#This Row],[Column29]])</f>
        <v>165.58</v>
      </c>
      <c r="F63">
        <v>117.87</v>
      </c>
      <c r="I63">
        <v>47.71</v>
      </c>
      <c r="L63">
        <v>130.72540000000001</v>
      </c>
      <c r="O63">
        <v>18.190000000000001</v>
      </c>
      <c r="R63">
        <v>20.260000000000002</v>
      </c>
      <c r="U63">
        <v>9.02</v>
      </c>
      <c r="X63">
        <v>0.14000000000000001</v>
      </c>
      <c r="AA63">
        <v>0.1</v>
      </c>
      <c r="AC63">
        <v>47.71</v>
      </c>
      <c r="AE63">
        <v>0.80591071054286323</v>
      </c>
      <c r="AG63">
        <v>0.19408928945713683</v>
      </c>
    </row>
    <row r="64" spans="2:33" x14ac:dyDescent="0.25">
      <c r="B64">
        <v>2013</v>
      </c>
      <c r="C64" s="7">
        <f>SUM(japan[[#This Row],[Column6]]+japan[[#This Row],[Column29]])</f>
        <v>165.66</v>
      </c>
      <c r="F64">
        <v>116.66</v>
      </c>
      <c r="I64">
        <v>48.99</v>
      </c>
      <c r="L64">
        <v>134.23259999999999</v>
      </c>
      <c r="O64">
        <v>19.68</v>
      </c>
      <c r="R64">
        <v>19.920000000000002</v>
      </c>
      <c r="U64">
        <v>9.16</v>
      </c>
      <c r="X64">
        <v>0.15</v>
      </c>
      <c r="AA64">
        <v>0.09</v>
      </c>
      <c r="AC64">
        <v>49.000000000000007</v>
      </c>
      <c r="AE64">
        <v>0.80816326530612237</v>
      </c>
      <c r="AG64">
        <v>0.19183673469387752</v>
      </c>
    </row>
    <row r="65" spans="2:33" x14ac:dyDescent="0.25">
      <c r="B65">
        <v>2014</v>
      </c>
      <c r="C65" s="7">
        <f>SUM(japan[[#This Row],[Column6]]+japan[[#This Row],[Column29]])</f>
        <v>162.87002053399999</v>
      </c>
      <c r="F65">
        <v>115.04001599999999</v>
      </c>
      <c r="I65">
        <v>47.830005999999997</v>
      </c>
      <c r="L65">
        <v>131.0542164</v>
      </c>
      <c r="O65">
        <v>18.030003000000001</v>
      </c>
      <c r="R65">
        <v>20.560001</v>
      </c>
      <c r="U65">
        <v>8.9800004999999992</v>
      </c>
      <c r="X65">
        <v>0.15000002000000001</v>
      </c>
      <c r="AA65">
        <v>0.11000001399999999</v>
      </c>
      <c r="AC65">
        <v>47.830004533999997</v>
      </c>
      <c r="AE65">
        <v>0.80681581312768347</v>
      </c>
      <c r="AG65">
        <v>0.19318418687231648</v>
      </c>
    </row>
    <row r="66" spans="2:33" x14ac:dyDescent="0.25">
      <c r="B66">
        <v>2015</v>
      </c>
      <c r="C66" s="7">
        <f>SUM(japan[[#This Row],[Column6]]+japan[[#This Row],[Column29]])</f>
        <v>161.009987994</v>
      </c>
      <c r="F66">
        <v>114.01999000000001</v>
      </c>
      <c r="I66">
        <v>46.999996000000003</v>
      </c>
      <c r="L66">
        <v>128.779989</v>
      </c>
      <c r="O66">
        <v>18.059999999999999</v>
      </c>
      <c r="R66">
        <v>20.089998000000001</v>
      </c>
      <c r="U66">
        <v>8.59</v>
      </c>
      <c r="X66">
        <v>0.15</v>
      </c>
      <c r="AA66">
        <v>9.9999993999999995E-2</v>
      </c>
      <c r="AC66">
        <v>46.989997993999999</v>
      </c>
      <c r="AE66">
        <v>0.8118748590896141</v>
      </c>
      <c r="AG66">
        <v>0.18812514091038587</v>
      </c>
    </row>
    <row r="67" spans="2:33" x14ac:dyDescent="0.25">
      <c r="B67">
        <v>2016</v>
      </c>
      <c r="C67" s="7">
        <f>SUM(japan[[#This Row],[Column6]]+japan[[#This Row],[Column29]])</f>
        <v>159.5</v>
      </c>
      <c r="F67">
        <v>111.4</v>
      </c>
      <c r="I67">
        <v>48.1</v>
      </c>
      <c r="L67">
        <v>131.79400000000001</v>
      </c>
      <c r="O67">
        <v>18.28</v>
      </c>
      <c r="R67">
        <v>21.01</v>
      </c>
      <c r="U67">
        <v>8.56</v>
      </c>
      <c r="X67">
        <v>0.15</v>
      </c>
      <c r="AA67">
        <v>0.1</v>
      </c>
      <c r="AC67">
        <v>48.100000000000009</v>
      </c>
      <c r="AE67">
        <v>0.81683991683991675</v>
      </c>
      <c r="AG67">
        <v>0.18316008316008311</v>
      </c>
    </row>
    <row r="68" spans="2:33" x14ac:dyDescent="0.25">
      <c r="B68">
        <v>2017</v>
      </c>
      <c r="C68" s="7">
        <f>SUM(japan[[#This Row],[Column6]]+japan[[#This Row],[Column29]])</f>
        <v>164.15000601</v>
      </c>
      <c r="F68">
        <v>113.85000599999999</v>
      </c>
      <c r="I68">
        <v>50.3</v>
      </c>
      <c r="L68">
        <v>137.822</v>
      </c>
      <c r="O68">
        <v>18.97</v>
      </c>
      <c r="R68">
        <v>21.79</v>
      </c>
      <c r="U68">
        <v>9.2899999999999991</v>
      </c>
      <c r="X68">
        <v>0.15</v>
      </c>
      <c r="AA68">
        <v>0.10000001</v>
      </c>
      <c r="AC68">
        <v>50.300000009999998</v>
      </c>
      <c r="AE68">
        <v>0.81033797200589697</v>
      </c>
      <c r="AG68">
        <v>0.18966202799410295</v>
      </c>
    </row>
    <row r="69" spans="2:33" x14ac:dyDescent="0.25">
      <c r="B69">
        <v>2018</v>
      </c>
      <c r="C69" s="7">
        <f>SUM(japan[[#This Row],[Column6]]+japan[[#This Row],[Column29]])</f>
        <v>166.38998999400002</v>
      </c>
      <c r="F69">
        <v>115.27999</v>
      </c>
      <c r="I69">
        <v>51.109997</v>
      </c>
      <c r="L69">
        <v>140.04139180000001</v>
      </c>
      <c r="O69">
        <v>19.28</v>
      </c>
      <c r="R69">
        <v>21.87</v>
      </c>
      <c r="U69">
        <v>9.7100000000000009</v>
      </c>
      <c r="X69">
        <v>0.15</v>
      </c>
      <c r="AA69">
        <v>9.9999993999999995E-2</v>
      </c>
      <c r="AC69">
        <v>51.109999994000006</v>
      </c>
      <c r="AE69">
        <v>0.80512619849013423</v>
      </c>
      <c r="AG69">
        <v>0.19487380150986583</v>
      </c>
    </row>
    <row r="70" spans="2:33" x14ac:dyDescent="0.25">
      <c r="B70">
        <v>2019</v>
      </c>
      <c r="C70" s="7">
        <f>SUM(japan[[#This Row],[Column6]]+japan[[#This Row],[Column29]])</f>
        <v>169.93</v>
      </c>
      <c r="F70">
        <v>117.89</v>
      </c>
      <c r="I70">
        <v>52.04</v>
      </c>
      <c r="L70">
        <v>142.58959999999999</v>
      </c>
      <c r="O70">
        <v>19.82</v>
      </c>
      <c r="R70">
        <v>22.17</v>
      </c>
      <c r="U70">
        <v>9.7899999999999991</v>
      </c>
      <c r="X70">
        <v>0.15</v>
      </c>
      <c r="AA70">
        <v>0.11</v>
      </c>
      <c r="AC70">
        <v>52.04</v>
      </c>
      <c r="AE70">
        <v>0.80687932359723291</v>
      </c>
      <c r="AG70">
        <v>0.19312067640276709</v>
      </c>
    </row>
    <row r="71" spans="2:33" x14ac:dyDescent="0.25">
      <c r="B71">
        <v>2020</v>
      </c>
      <c r="C71" s="7">
        <f>SUM(japan[[#This Row],[Column6]]+japan[[#This Row],[Column29]])</f>
        <v>170.58</v>
      </c>
      <c r="F71">
        <v>115.95</v>
      </c>
      <c r="I71">
        <v>54.63</v>
      </c>
      <c r="L71">
        <v>149.68620000000001</v>
      </c>
      <c r="O71">
        <v>22.96</v>
      </c>
      <c r="R71">
        <v>21.73</v>
      </c>
      <c r="U71">
        <v>9.6999999999999993</v>
      </c>
      <c r="X71">
        <v>0.14000000000000001</v>
      </c>
      <c r="AA71">
        <v>0.1</v>
      </c>
      <c r="AC71">
        <v>54.63</v>
      </c>
      <c r="AE71">
        <v>0.81804869119531387</v>
      </c>
      <c r="AG71">
        <v>0.18195130880468605</v>
      </c>
    </row>
    <row r="72" spans="2:33" x14ac:dyDescent="0.25">
      <c r="B72">
        <v>2021</v>
      </c>
      <c r="C72" s="7">
        <f>SUM(japan[[#This Row],[Column6]]+japan[[#This Row],[Column29]])</f>
        <v>171.95</v>
      </c>
      <c r="F72">
        <v>114.78</v>
      </c>
      <c r="I72">
        <v>57.17</v>
      </c>
      <c r="L72">
        <v>156.64580000000001</v>
      </c>
      <c r="O72">
        <v>25.47</v>
      </c>
      <c r="R72">
        <v>21.94</v>
      </c>
      <c r="U72">
        <v>9.5399999999999991</v>
      </c>
      <c r="X72">
        <v>0.12</v>
      </c>
      <c r="AA72">
        <v>0.1</v>
      </c>
      <c r="AC72">
        <v>57.169999999999995</v>
      </c>
      <c r="AE72">
        <v>0.82928109148154627</v>
      </c>
      <c r="AG72">
        <v>0.17071890851845373</v>
      </c>
    </row>
    <row r="73" spans="2:33" x14ac:dyDescent="0.25">
      <c r="B73">
        <v>2022</v>
      </c>
      <c r="C73" s="7"/>
    </row>
    <row r="74" spans="2:33" x14ac:dyDescent="0.25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7CF9-854F-6C47-9FE6-5F5B36F9A11C}">
  <dimension ref="A1:AG74"/>
  <sheetViews>
    <sheetView topLeftCell="R1" workbookViewId="0">
      <selection activeCell="AC15" sqref="AC15"/>
    </sheetView>
  </sheetViews>
  <sheetFormatPr defaultColWidth="11" defaultRowHeight="15.75" x14ac:dyDescent="0.25"/>
  <cols>
    <col min="1" max="1" width="20.875" customWidth="1"/>
    <col min="2" max="2" width="28.125" bestFit="1" customWidth="1"/>
    <col min="3" max="3" width="33" customWidth="1"/>
    <col min="4" max="4" width="16.625" customWidth="1"/>
    <col min="5" max="5" width="11.125" bestFit="1" customWidth="1"/>
    <col min="6" max="6" width="29" bestFit="1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</cols>
  <sheetData>
    <row r="1" spans="1:33" x14ac:dyDescent="0.25">
      <c r="A1" t="s">
        <v>109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</row>
    <row r="2" spans="1:33" x14ac:dyDescent="0.25">
      <c r="A2" t="s">
        <v>151</v>
      </c>
    </row>
    <row r="3" spans="1:33" x14ac:dyDescent="0.25">
      <c r="A3" t="s">
        <v>152</v>
      </c>
    </row>
    <row r="4" spans="1:33" x14ac:dyDescent="0.25">
      <c r="A4" t="s">
        <v>153</v>
      </c>
    </row>
    <row r="5" spans="1:33" x14ac:dyDescent="0.25">
      <c r="B5" t="s">
        <v>154</v>
      </c>
      <c r="C5" t="s">
        <v>155</v>
      </c>
    </row>
    <row r="6" spans="1:33" x14ac:dyDescent="0.25">
      <c r="B6" t="s">
        <v>156</v>
      </c>
      <c r="C6" t="s">
        <v>157</v>
      </c>
    </row>
    <row r="8" spans="1:33" x14ac:dyDescent="0.25">
      <c r="B8" t="s">
        <v>158</v>
      </c>
      <c r="C8" t="s">
        <v>159</v>
      </c>
      <c r="D8" t="s">
        <v>160</v>
      </c>
    </row>
    <row r="9" spans="1:33" x14ac:dyDescent="0.25">
      <c r="B9" t="s">
        <v>161</v>
      </c>
      <c r="C9" t="s">
        <v>197</v>
      </c>
      <c r="D9" t="s">
        <v>162</v>
      </c>
    </row>
    <row r="11" spans="1:33" x14ac:dyDescent="0.25">
      <c r="B11" t="s">
        <v>163</v>
      </c>
      <c r="C11" t="s">
        <v>164</v>
      </c>
    </row>
    <row r="13" spans="1:33" x14ac:dyDescent="0.25">
      <c r="F13" t="s">
        <v>165</v>
      </c>
      <c r="I13" t="s">
        <v>166</v>
      </c>
      <c r="L13" t="s">
        <v>167</v>
      </c>
      <c r="O13" t="s">
        <v>167</v>
      </c>
      <c r="R13" t="s">
        <v>167</v>
      </c>
      <c r="U13" t="s">
        <v>167</v>
      </c>
      <c r="X13" t="s">
        <v>167</v>
      </c>
      <c r="AA13" t="s">
        <v>167</v>
      </c>
      <c r="AC13" t="s">
        <v>167</v>
      </c>
      <c r="AE13" t="s">
        <v>167</v>
      </c>
      <c r="AG13" t="s">
        <v>167</v>
      </c>
    </row>
    <row r="14" spans="1:33" x14ac:dyDescent="0.25">
      <c r="B14" t="s">
        <v>168</v>
      </c>
      <c r="C14" s="7" t="s">
        <v>17</v>
      </c>
      <c r="F14" t="s">
        <v>169</v>
      </c>
      <c r="I14" t="s">
        <v>170</v>
      </c>
      <c r="L14" t="s">
        <v>171</v>
      </c>
      <c r="O14" t="s">
        <v>171</v>
      </c>
      <c r="R14" t="s">
        <v>171</v>
      </c>
      <c r="U14" t="s">
        <v>171</v>
      </c>
      <c r="X14" t="s">
        <v>171</v>
      </c>
      <c r="AA14" t="s">
        <v>196</v>
      </c>
      <c r="AC14" t="s">
        <v>196</v>
      </c>
      <c r="AE14" t="s">
        <v>196</v>
      </c>
      <c r="AG14" t="s">
        <v>196</v>
      </c>
    </row>
    <row r="15" spans="1:33" x14ac:dyDescent="0.25">
      <c r="B15" t="s">
        <v>172</v>
      </c>
      <c r="C15" s="7"/>
      <c r="F15" s="7" t="s">
        <v>173</v>
      </c>
      <c r="I15" t="s">
        <v>174</v>
      </c>
      <c r="L15" t="s">
        <v>175</v>
      </c>
      <c r="O15" t="s">
        <v>176</v>
      </c>
      <c r="R15" t="s">
        <v>177</v>
      </c>
      <c r="U15" t="s">
        <v>178</v>
      </c>
      <c r="X15" t="s">
        <v>179</v>
      </c>
      <c r="AA15" t="s">
        <v>180</v>
      </c>
      <c r="AC15" s="7" t="s">
        <v>181</v>
      </c>
      <c r="AE15" t="s">
        <v>182</v>
      </c>
      <c r="AG15" t="s">
        <v>183</v>
      </c>
    </row>
    <row r="16" spans="1:33" x14ac:dyDescent="0.25">
      <c r="B16" t="s">
        <v>184</v>
      </c>
      <c r="C16" s="7"/>
      <c r="F16" t="s">
        <v>185</v>
      </c>
      <c r="I16" t="s">
        <v>185</v>
      </c>
      <c r="L16" t="s">
        <v>186</v>
      </c>
      <c r="O16" t="s">
        <v>187</v>
      </c>
      <c r="R16" t="s">
        <v>188</v>
      </c>
      <c r="U16" t="s">
        <v>188</v>
      </c>
      <c r="X16" t="s">
        <v>188</v>
      </c>
      <c r="AA16" t="s">
        <v>187</v>
      </c>
      <c r="AC16" t="s">
        <v>187</v>
      </c>
      <c r="AE16" t="s">
        <v>189</v>
      </c>
      <c r="AG16" t="s">
        <v>189</v>
      </c>
    </row>
    <row r="17" spans="2:33" x14ac:dyDescent="0.25">
      <c r="B17" t="s">
        <v>190</v>
      </c>
      <c r="C17" s="7"/>
      <c r="F17" t="s">
        <v>191</v>
      </c>
      <c r="I17" t="s">
        <v>191</v>
      </c>
      <c r="L17" t="s">
        <v>191</v>
      </c>
      <c r="O17" t="s">
        <v>191</v>
      </c>
      <c r="R17" t="s">
        <v>191</v>
      </c>
      <c r="U17" t="s">
        <v>191</v>
      </c>
      <c r="X17" t="s">
        <v>191</v>
      </c>
      <c r="AA17" t="s">
        <v>191</v>
      </c>
      <c r="AC17" t="s">
        <v>192</v>
      </c>
      <c r="AE17" t="s">
        <v>192</v>
      </c>
      <c r="AG17" t="s">
        <v>192</v>
      </c>
    </row>
    <row r="18" spans="2:33" x14ac:dyDescent="0.25">
      <c r="B18" t="s">
        <v>193</v>
      </c>
      <c r="C18" s="7"/>
    </row>
    <row r="19" spans="2:33" x14ac:dyDescent="0.25">
      <c r="C19" s="7"/>
    </row>
    <row r="20" spans="2:33" x14ac:dyDescent="0.25">
      <c r="B20" t="s">
        <v>194</v>
      </c>
      <c r="C20" s="7"/>
      <c r="F20" t="s">
        <v>195</v>
      </c>
      <c r="I20" t="s">
        <v>195</v>
      </c>
      <c r="L20" t="s">
        <v>195</v>
      </c>
      <c r="O20" t="s">
        <v>195</v>
      </c>
      <c r="R20" t="s">
        <v>195</v>
      </c>
      <c r="U20" t="s">
        <v>195</v>
      </c>
      <c r="X20" t="s">
        <v>195</v>
      </c>
      <c r="AA20" t="s">
        <v>195</v>
      </c>
      <c r="AC20" t="s">
        <v>195</v>
      </c>
      <c r="AE20" t="s">
        <v>195</v>
      </c>
      <c r="AG20" t="s">
        <v>195</v>
      </c>
    </row>
    <row r="21" spans="2:33" x14ac:dyDescent="0.25">
      <c r="B21">
        <v>1970</v>
      </c>
      <c r="C21" s="7">
        <f>SUM(germany[[#This Row],[Column6]]+germany[[#This Row],[Column29]])</f>
        <v>139.0301944</v>
      </c>
      <c r="F21">
        <v>60.750393000000003</v>
      </c>
      <c r="I21">
        <v>78.279809999999998</v>
      </c>
      <c r="L21">
        <v>214.48667940000001</v>
      </c>
      <c r="O21">
        <v>7.5343039999999997</v>
      </c>
      <c r="R21">
        <v>45.458995999999999</v>
      </c>
      <c r="U21">
        <v>23.706727999999998</v>
      </c>
      <c r="X21">
        <v>0.42532360000000002</v>
      </c>
      <c r="AA21">
        <v>1.1544498000000001</v>
      </c>
      <c r="AC21">
        <v>78.279801399999997</v>
      </c>
      <c r="AE21">
        <v>0.67697284679110081</v>
      </c>
      <c r="AG21">
        <v>0.32302715320889919</v>
      </c>
    </row>
    <row r="22" spans="2:33" x14ac:dyDescent="0.25">
      <c r="B22">
        <v>1971</v>
      </c>
      <c r="C22" s="7">
        <f>SUM(germany[[#This Row],[Column6]]+germany[[#This Row],[Column29]])</f>
        <v>140.86689796000002</v>
      </c>
      <c r="F22">
        <v>59.430756000000002</v>
      </c>
      <c r="I22">
        <v>81.436139999999995</v>
      </c>
      <c r="L22">
        <v>223.13502360000001</v>
      </c>
      <c r="O22">
        <v>8.0645895000000003</v>
      </c>
      <c r="R22">
        <v>48.144382</v>
      </c>
      <c r="U22">
        <v>23.545359000000001</v>
      </c>
      <c r="X22">
        <v>0.40525576000000002</v>
      </c>
      <c r="AA22">
        <v>1.2765557000000001</v>
      </c>
      <c r="AC22">
        <v>81.436141960000015</v>
      </c>
      <c r="AE22">
        <v>0.69022144403167884</v>
      </c>
      <c r="AG22">
        <v>0.30977855596832099</v>
      </c>
    </row>
    <row r="23" spans="2:33" x14ac:dyDescent="0.25">
      <c r="B23">
        <v>1972</v>
      </c>
      <c r="C23" s="7">
        <f>SUM(germany[[#This Row],[Column6]]+germany[[#This Row],[Column29]])</f>
        <v>146.15464163000001</v>
      </c>
      <c r="F23">
        <v>63.090812999999997</v>
      </c>
      <c r="I23">
        <v>83.063829999999996</v>
      </c>
      <c r="L23">
        <v>227.5948942</v>
      </c>
      <c r="O23">
        <v>8.3398230000000009</v>
      </c>
      <c r="R23">
        <v>49.856537000000003</v>
      </c>
      <c r="U23">
        <v>23.134650000000001</v>
      </c>
      <c r="X23">
        <v>0.43573803</v>
      </c>
      <c r="AA23">
        <v>1.2970805999999999</v>
      </c>
      <c r="AC23">
        <v>83.063828630000003</v>
      </c>
      <c r="AE23">
        <v>0.70062217164621932</v>
      </c>
      <c r="AG23">
        <v>0.29937782835378074</v>
      </c>
    </row>
    <row r="24" spans="2:33" x14ac:dyDescent="0.25">
      <c r="B24">
        <v>1973</v>
      </c>
      <c r="C24" s="7">
        <f>SUM(germany[[#This Row],[Column6]]+germany[[#This Row],[Column29]])</f>
        <v>147.98151799999999</v>
      </c>
      <c r="F24">
        <v>64.926940000000002</v>
      </c>
      <c r="I24">
        <v>83.054569999999998</v>
      </c>
      <c r="L24">
        <v>227.56952179999999</v>
      </c>
      <c r="O24">
        <v>8.5873080000000002</v>
      </c>
      <c r="R24">
        <v>49.354210000000002</v>
      </c>
      <c r="U24">
        <v>23.257715000000001</v>
      </c>
      <c r="X24">
        <v>0.5272019</v>
      </c>
      <c r="AA24">
        <v>1.3281430999999999</v>
      </c>
      <c r="AC24">
        <v>83.054578000000006</v>
      </c>
      <c r="AE24">
        <v>0.69763183915039573</v>
      </c>
      <c r="AG24">
        <v>0.30236816084960422</v>
      </c>
    </row>
    <row r="25" spans="2:33" x14ac:dyDescent="0.25">
      <c r="B25">
        <v>1974</v>
      </c>
      <c r="C25" s="7">
        <f>SUM(germany[[#This Row],[Column6]]+germany[[#This Row],[Column29]])</f>
        <v>150.34412700000001</v>
      </c>
      <c r="F25">
        <v>64.144800000000004</v>
      </c>
      <c r="I25">
        <v>86.209469999999996</v>
      </c>
      <c r="L25">
        <v>236.2139478</v>
      </c>
      <c r="O25">
        <v>8.1766109999999994</v>
      </c>
      <c r="R25">
        <v>52.468273000000003</v>
      </c>
      <c r="U25">
        <v>23.728401000000002</v>
      </c>
      <c r="X25">
        <v>0.53766789999999998</v>
      </c>
      <c r="AA25">
        <v>1.2883741</v>
      </c>
      <c r="AC25">
        <v>86.199327000000011</v>
      </c>
      <c r="AE25">
        <v>0.70354243020946083</v>
      </c>
      <c r="AG25">
        <v>0.29645756979053905</v>
      </c>
    </row>
    <row r="26" spans="2:33" x14ac:dyDescent="0.25">
      <c r="B26">
        <v>1975</v>
      </c>
      <c r="C26" s="7">
        <f>SUM(germany[[#This Row],[Column6]]+germany[[#This Row],[Column29]])</f>
        <v>150.21145909999998</v>
      </c>
      <c r="F26">
        <v>62.434113000000004</v>
      </c>
      <c r="I26">
        <v>87.767200000000003</v>
      </c>
      <c r="L26">
        <v>240.48212799999999</v>
      </c>
      <c r="O26">
        <v>8.884347</v>
      </c>
      <c r="R26">
        <v>53.641148000000001</v>
      </c>
      <c r="U26">
        <v>23.251604</v>
      </c>
      <c r="X26">
        <v>0.70059419999999994</v>
      </c>
      <c r="AA26">
        <v>1.2996529000000001</v>
      </c>
      <c r="AC26">
        <v>87.777346099999988</v>
      </c>
      <c r="AE26">
        <v>0.71231926890074893</v>
      </c>
      <c r="AG26">
        <v>0.28768073109925119</v>
      </c>
    </row>
    <row r="27" spans="2:33" x14ac:dyDescent="0.25">
      <c r="B27">
        <v>1976</v>
      </c>
      <c r="C27" s="7">
        <f>SUM(germany[[#This Row],[Column6]]+germany[[#This Row],[Column29]])</f>
        <v>151.62391199999999</v>
      </c>
      <c r="F27">
        <v>64.072739999999996</v>
      </c>
      <c r="I27">
        <v>87.551169999999999</v>
      </c>
      <c r="L27">
        <v>239.89020579999999</v>
      </c>
      <c r="O27">
        <v>8.6290859999999991</v>
      </c>
      <c r="R27">
        <v>53.634495000000001</v>
      </c>
      <c r="U27">
        <v>23.224335</v>
      </c>
      <c r="X27">
        <v>0.77245050000000004</v>
      </c>
      <c r="AA27">
        <v>1.2908055000000001</v>
      </c>
      <c r="AC27">
        <v>87.551171999999994</v>
      </c>
      <c r="AE27">
        <v>0.71116787562820971</v>
      </c>
      <c r="AG27">
        <v>0.28883212437179023</v>
      </c>
    </row>
    <row r="28" spans="2:33" x14ac:dyDescent="0.25">
      <c r="B28">
        <v>1977</v>
      </c>
      <c r="C28" s="7">
        <f>SUM(germany[[#This Row],[Column6]]+germany[[#This Row],[Column29]])</f>
        <v>157.21597109999999</v>
      </c>
      <c r="F28">
        <v>68.61609</v>
      </c>
      <c r="I28">
        <v>88.599884000000003</v>
      </c>
      <c r="L28">
        <v>242.76368220000001</v>
      </c>
      <c r="O28">
        <v>9.0410120000000003</v>
      </c>
      <c r="R28">
        <v>54.429127000000001</v>
      </c>
      <c r="U28">
        <v>23.004239999999999</v>
      </c>
      <c r="X28">
        <v>0.80341949999999995</v>
      </c>
      <c r="AA28">
        <v>1.3220826000000001</v>
      </c>
      <c r="AC28">
        <v>88.599881100000005</v>
      </c>
      <c r="AE28">
        <v>0.7163682186927901</v>
      </c>
      <c r="AG28">
        <v>0.2836317813072099</v>
      </c>
    </row>
    <row r="29" spans="2:33" x14ac:dyDescent="0.25">
      <c r="B29">
        <v>1978</v>
      </c>
      <c r="C29" s="7">
        <f>SUM(germany[[#This Row],[Column6]]+germany[[#This Row],[Column29]])</f>
        <v>162.15526080000001</v>
      </c>
      <c r="F29">
        <v>69.336685000000003</v>
      </c>
      <c r="I29">
        <v>92.818579999999997</v>
      </c>
      <c r="L29">
        <v>254.3229092</v>
      </c>
      <c r="O29">
        <v>9.6247249999999998</v>
      </c>
      <c r="R29">
        <v>57.229472999999999</v>
      </c>
      <c r="U29">
        <v>23.766766000000001</v>
      </c>
      <c r="X29">
        <v>0.82410439999999996</v>
      </c>
      <c r="AA29">
        <v>1.3735074</v>
      </c>
      <c r="AC29">
        <v>92.818575799999991</v>
      </c>
      <c r="AE29">
        <v>0.72026744025951761</v>
      </c>
      <c r="AG29">
        <v>0.2797325597404825</v>
      </c>
    </row>
    <row r="30" spans="2:33" x14ac:dyDescent="0.25">
      <c r="B30">
        <v>1979</v>
      </c>
      <c r="C30" s="7">
        <f>SUM(germany[[#This Row],[Column6]]+germany[[#This Row],[Column29]])</f>
        <v>164.33060800000001</v>
      </c>
      <c r="F30">
        <v>70.186040000000006</v>
      </c>
      <c r="I30">
        <v>94.134383999999997</v>
      </c>
      <c r="L30">
        <v>257.92821220000002</v>
      </c>
      <c r="O30">
        <v>9.6485450000000004</v>
      </c>
      <c r="R30">
        <v>59.010834000000003</v>
      </c>
      <c r="U30">
        <v>23.246075000000001</v>
      </c>
      <c r="X30">
        <v>0.89564560000000004</v>
      </c>
      <c r="AA30">
        <v>1.3434683999999999</v>
      </c>
      <c r="AC30">
        <v>94.144568000000007</v>
      </c>
      <c r="AE30">
        <v>0.72929729732256032</v>
      </c>
      <c r="AG30">
        <v>0.27070270267743968</v>
      </c>
    </row>
    <row r="31" spans="2:33" x14ac:dyDescent="0.25">
      <c r="B31">
        <v>1980</v>
      </c>
      <c r="C31" s="7">
        <f>SUM(germany[[#This Row],[Column6]]+germany[[#This Row],[Column29]])</f>
        <v>164.55313169999999</v>
      </c>
      <c r="F31">
        <v>67.905649999999994</v>
      </c>
      <c r="I31">
        <v>96.647484000000006</v>
      </c>
      <c r="L31">
        <v>264.81410620000003</v>
      </c>
      <c r="O31">
        <v>9.8316619999999997</v>
      </c>
      <c r="R31">
        <v>61.117114999999998</v>
      </c>
      <c r="U31">
        <v>23.449432000000002</v>
      </c>
      <c r="X31">
        <v>0.91599339999999996</v>
      </c>
      <c r="AA31">
        <v>1.3332793000000001</v>
      </c>
      <c r="AC31">
        <v>96.6474817</v>
      </c>
      <c r="AE31">
        <v>0.73409855851422556</v>
      </c>
      <c r="AG31">
        <v>0.26590144148577444</v>
      </c>
    </row>
    <row r="32" spans="2:33" x14ac:dyDescent="0.25">
      <c r="B32">
        <v>1981</v>
      </c>
      <c r="C32" s="7">
        <f>SUM(germany[[#This Row],[Column6]]+germany[[#This Row],[Column29]])</f>
        <v>170.217051</v>
      </c>
      <c r="F32">
        <v>73.214699999999993</v>
      </c>
      <c r="I32">
        <v>96.992180000000005</v>
      </c>
      <c r="L32">
        <v>265.7585732</v>
      </c>
      <c r="O32">
        <v>9.7572120000000009</v>
      </c>
      <c r="R32">
        <v>61.819412</v>
      </c>
      <c r="U32">
        <v>23.339983</v>
      </c>
      <c r="X32">
        <v>0.82412319999999994</v>
      </c>
      <c r="AA32">
        <v>1.2616208</v>
      </c>
      <c r="AC32">
        <v>97.002351000000004</v>
      </c>
      <c r="AE32">
        <v>0.73788545599271083</v>
      </c>
      <c r="AG32">
        <v>0.26211454400728901</v>
      </c>
    </row>
    <row r="33" spans="2:33" x14ac:dyDescent="0.25">
      <c r="B33">
        <v>1982</v>
      </c>
      <c r="C33" s="7">
        <f>SUM(germany[[#This Row],[Column6]]+germany[[#This Row],[Column29]])</f>
        <v>167.00540293</v>
      </c>
      <c r="F33">
        <v>72.128680000000003</v>
      </c>
      <c r="I33">
        <v>94.886889999999994</v>
      </c>
      <c r="L33">
        <v>259.9900786</v>
      </c>
      <c r="O33">
        <v>9.8842630000000007</v>
      </c>
      <c r="R33">
        <v>60.230956999999997</v>
      </c>
      <c r="U33">
        <v>22.636182999999999</v>
      </c>
      <c r="X33">
        <v>0.89487152999999997</v>
      </c>
      <c r="AA33">
        <v>1.2304484</v>
      </c>
      <c r="AC33">
        <v>94.87672293</v>
      </c>
      <c r="AE33">
        <v>0.73901393128566395</v>
      </c>
      <c r="AG33">
        <v>0.26098606871433599</v>
      </c>
    </row>
    <row r="34" spans="2:33" x14ac:dyDescent="0.25">
      <c r="B34">
        <v>1983</v>
      </c>
      <c r="C34" s="7">
        <f>SUM(germany[[#This Row],[Column6]]+germany[[#This Row],[Column29]])</f>
        <v>166.1467561</v>
      </c>
      <c r="F34">
        <v>70.022329999999997</v>
      </c>
      <c r="I34">
        <v>96.134590000000003</v>
      </c>
      <c r="L34">
        <v>263.40877660000001</v>
      </c>
      <c r="O34">
        <v>9.5443420000000003</v>
      </c>
      <c r="R34">
        <v>61.677382999999999</v>
      </c>
      <c r="U34">
        <v>22.686869000000002</v>
      </c>
      <c r="X34">
        <v>0.96561490000000005</v>
      </c>
      <c r="AA34">
        <v>1.2502172</v>
      </c>
      <c r="AC34">
        <v>96.124426099999994</v>
      </c>
      <c r="AE34">
        <v>0.74093264209355836</v>
      </c>
      <c r="AG34">
        <v>0.2590673579064417</v>
      </c>
    </row>
    <row r="35" spans="2:33" x14ac:dyDescent="0.25">
      <c r="B35">
        <v>1984</v>
      </c>
      <c r="C35" s="7">
        <f>SUM(germany[[#This Row],[Column6]]+germany[[#This Row],[Column29]])</f>
        <v>172.89804950000001</v>
      </c>
      <c r="F35">
        <v>76.896645000000007</v>
      </c>
      <c r="I35">
        <v>96.001400000000004</v>
      </c>
      <c r="L35">
        <v>263.043836</v>
      </c>
      <c r="O35">
        <v>9.6641619999999993</v>
      </c>
      <c r="R35">
        <v>62.070137000000003</v>
      </c>
      <c r="U35">
        <v>22.183873999999999</v>
      </c>
      <c r="X35">
        <v>0.90442730000000005</v>
      </c>
      <c r="AA35">
        <v>1.1788042000000001</v>
      </c>
      <c r="AC35">
        <v>96.001404500000007</v>
      </c>
      <c r="AE35">
        <v>0.74722134924598949</v>
      </c>
      <c r="AG35">
        <v>0.25277865075401057</v>
      </c>
    </row>
    <row r="36" spans="2:33" x14ac:dyDescent="0.25">
      <c r="B36">
        <v>1985</v>
      </c>
      <c r="C36" s="7">
        <f>SUM(germany[[#This Row],[Column6]]+germany[[#This Row],[Column29]])</f>
        <v>172.06176994</v>
      </c>
      <c r="F36">
        <v>74.415800000000004</v>
      </c>
      <c r="I36">
        <v>97.635810000000006</v>
      </c>
      <c r="L36">
        <v>267.52211940000001</v>
      </c>
      <c r="O36">
        <v>9.6030219999999993</v>
      </c>
      <c r="R36">
        <v>63.044604999999997</v>
      </c>
      <c r="U36">
        <v>22.996442999999999</v>
      </c>
      <c r="X36">
        <v>0.88408774000000001</v>
      </c>
      <c r="AA36">
        <v>1.1178121999999999</v>
      </c>
      <c r="AC36">
        <v>97.645969940000001</v>
      </c>
      <c r="AE36">
        <v>0.74399001868320203</v>
      </c>
      <c r="AG36">
        <v>0.25600998131679775</v>
      </c>
    </row>
    <row r="37" spans="2:33" x14ac:dyDescent="0.25">
      <c r="B37">
        <v>1986</v>
      </c>
      <c r="C37" s="7">
        <f>SUM(germany[[#This Row],[Column6]]+germany[[#This Row],[Column29]])</f>
        <v>173.8648973</v>
      </c>
      <c r="F37">
        <v>75.618170000000006</v>
      </c>
      <c r="I37">
        <v>98.236564999999999</v>
      </c>
      <c r="L37">
        <v>269.16818810000001</v>
      </c>
      <c r="O37">
        <v>9.7850450000000002</v>
      </c>
      <c r="R37">
        <v>63.496099999999998</v>
      </c>
      <c r="U37">
        <v>23.11628</v>
      </c>
      <c r="X37">
        <v>0.84336310000000003</v>
      </c>
      <c r="AA37">
        <v>1.0059392</v>
      </c>
      <c r="AC37">
        <v>98.246727300000003</v>
      </c>
      <c r="AE37">
        <v>0.74588891674969804</v>
      </c>
      <c r="AG37">
        <v>0.25411108325030179</v>
      </c>
    </row>
    <row r="38" spans="2:33" x14ac:dyDescent="0.25">
      <c r="B38">
        <v>1987</v>
      </c>
      <c r="C38" s="7">
        <f>SUM(germany[[#This Row],[Column6]]+germany[[#This Row],[Column29]])</f>
        <v>175.35144150000002</v>
      </c>
      <c r="F38">
        <v>75.662704000000005</v>
      </c>
      <c r="I38">
        <v>99.67859</v>
      </c>
      <c r="L38">
        <v>273.1193366</v>
      </c>
      <c r="O38">
        <v>10.296870999999999</v>
      </c>
      <c r="R38">
        <v>64.116805999999997</v>
      </c>
      <c r="U38">
        <v>23.365976</v>
      </c>
      <c r="X38">
        <v>0.89361400000000002</v>
      </c>
      <c r="AA38">
        <v>1.0154704999999999</v>
      </c>
      <c r="AC38">
        <v>99.688737500000002</v>
      </c>
      <c r="AE38">
        <v>0.74646022074459506</v>
      </c>
      <c r="AG38">
        <v>0.25353977925540483</v>
      </c>
    </row>
    <row r="39" spans="2:33" x14ac:dyDescent="0.25">
      <c r="B39">
        <v>1988</v>
      </c>
      <c r="C39" s="7">
        <f>SUM(germany[[#This Row],[Column6]]+germany[[#This Row],[Column29]])</f>
        <v>177.0143716</v>
      </c>
      <c r="F39">
        <v>77.615629999999996</v>
      </c>
      <c r="I39">
        <v>99.398740000000004</v>
      </c>
      <c r="L39">
        <v>272.35254759999998</v>
      </c>
      <c r="O39">
        <v>10.785022</v>
      </c>
      <c r="R39">
        <v>63.939050000000002</v>
      </c>
      <c r="U39">
        <v>22.929586</v>
      </c>
      <c r="X39">
        <v>0.81166680000000002</v>
      </c>
      <c r="AA39">
        <v>0.93341680000000005</v>
      </c>
      <c r="AC39">
        <v>99.398741599999994</v>
      </c>
      <c r="AE39">
        <v>0.75176074462496012</v>
      </c>
      <c r="AG39">
        <v>0.24823925537503988</v>
      </c>
    </row>
    <row r="40" spans="2:33" x14ac:dyDescent="0.25">
      <c r="B40">
        <v>1989</v>
      </c>
      <c r="C40" s="7">
        <f>SUM(germany[[#This Row],[Column6]]+germany[[#This Row],[Column29]])</f>
        <v>173.00011740000002</v>
      </c>
      <c r="F40">
        <v>77.338486000000003</v>
      </c>
      <c r="I40">
        <v>95.661630000000002</v>
      </c>
      <c r="L40">
        <v>262.11286619999998</v>
      </c>
      <c r="O40">
        <v>10.636957000000001</v>
      </c>
      <c r="R40">
        <v>60.931815999999998</v>
      </c>
      <c r="U40">
        <v>22.287921999999998</v>
      </c>
      <c r="X40">
        <v>0.90246820000000005</v>
      </c>
      <c r="AA40">
        <v>0.90246820000000005</v>
      </c>
      <c r="AC40">
        <v>95.661631400000005</v>
      </c>
      <c r="AE40">
        <v>0.74814501856801907</v>
      </c>
      <c r="AG40">
        <v>0.25185498143198093</v>
      </c>
    </row>
    <row r="41" spans="2:33" x14ac:dyDescent="0.25">
      <c r="B41">
        <v>1990</v>
      </c>
      <c r="C41" s="7">
        <f>SUM(germany[[#This Row],[Column6]]+germany[[#This Row],[Column29]])</f>
        <v>170.22193783</v>
      </c>
      <c r="F41">
        <v>74.605193999999997</v>
      </c>
      <c r="I41">
        <v>95.616744999999995</v>
      </c>
      <c r="L41">
        <v>261.98988129999998</v>
      </c>
      <c r="O41">
        <v>11.256187000000001</v>
      </c>
      <c r="R41">
        <v>60.377780000000001</v>
      </c>
      <c r="U41">
        <v>22.02562</v>
      </c>
      <c r="X41">
        <v>1.0343522999999999</v>
      </c>
      <c r="AA41">
        <v>0.92280452999999996</v>
      </c>
      <c r="AC41">
        <v>95.616743830000004</v>
      </c>
      <c r="AE41">
        <v>0.74917806370148177</v>
      </c>
      <c r="AG41">
        <v>0.25082193629851829</v>
      </c>
    </row>
    <row r="42" spans="2:33" x14ac:dyDescent="0.25">
      <c r="B42">
        <v>1991</v>
      </c>
      <c r="C42" s="7">
        <f>SUM(germany[[#This Row],[Column6]]+germany[[#This Row],[Column29]])</f>
        <v>167.165277</v>
      </c>
      <c r="F42">
        <v>78.089659999999995</v>
      </c>
      <c r="I42">
        <v>89.065470000000005</v>
      </c>
      <c r="L42">
        <v>244.03938779999999</v>
      </c>
      <c r="O42">
        <v>11.605314999999999</v>
      </c>
      <c r="R42">
        <v>54.269824999999997</v>
      </c>
      <c r="U42">
        <v>21.393174999999999</v>
      </c>
      <c r="X42">
        <v>0.88334422999999995</v>
      </c>
      <c r="AA42">
        <v>0.92395777000000001</v>
      </c>
      <c r="AC42">
        <v>89.075616999999994</v>
      </c>
      <c r="AE42">
        <v>0.73954177606201699</v>
      </c>
      <c r="AG42">
        <v>0.2604582239379829</v>
      </c>
    </row>
    <row r="43" spans="2:33" x14ac:dyDescent="0.25">
      <c r="B43">
        <v>1992</v>
      </c>
      <c r="C43" s="7">
        <f>SUM(germany[[#This Row],[Column6]]+germany[[#This Row],[Column29]])</f>
        <v>169.41723690000001</v>
      </c>
      <c r="F43">
        <v>80.897316000000004</v>
      </c>
      <c r="I43">
        <v>88.530100000000004</v>
      </c>
      <c r="L43">
        <v>242.572474</v>
      </c>
      <c r="O43">
        <v>12.273515</v>
      </c>
      <c r="R43">
        <v>53.856909999999999</v>
      </c>
      <c r="U43">
        <v>20.282848000000001</v>
      </c>
      <c r="X43">
        <v>0.97699610000000003</v>
      </c>
      <c r="AA43">
        <v>1.1296518</v>
      </c>
      <c r="AC43">
        <v>88.519920900000002</v>
      </c>
      <c r="AE43">
        <v>0.74706827940692389</v>
      </c>
      <c r="AG43">
        <v>0.25293172059307617</v>
      </c>
    </row>
    <row r="44" spans="2:33" x14ac:dyDescent="0.25">
      <c r="B44">
        <v>1993</v>
      </c>
      <c r="C44" s="7">
        <f>SUM(germany[[#This Row],[Column6]]+germany[[#This Row],[Column29]])</f>
        <v>158.28927074000001</v>
      </c>
      <c r="F44">
        <v>72.414460000000005</v>
      </c>
      <c r="I44">
        <v>85.864609999999999</v>
      </c>
      <c r="L44">
        <v>235.26903139999999</v>
      </c>
      <c r="O44">
        <v>11.358129999999999</v>
      </c>
      <c r="R44">
        <v>54.627197000000002</v>
      </c>
      <c r="U44">
        <v>17.848490000000002</v>
      </c>
      <c r="X44">
        <v>0.93885713999999998</v>
      </c>
      <c r="AA44">
        <v>1.1021365999999999</v>
      </c>
      <c r="AC44">
        <v>85.874810739999987</v>
      </c>
      <c r="AE44">
        <v>0.76838978079126541</v>
      </c>
      <c r="AG44">
        <v>0.2316102192087347</v>
      </c>
    </row>
    <row r="45" spans="2:33" x14ac:dyDescent="0.25">
      <c r="B45">
        <v>1994</v>
      </c>
      <c r="C45" s="7">
        <f>SUM(germany[[#This Row],[Column6]]+germany[[#This Row],[Column29]])</f>
        <v>164.19633325000001</v>
      </c>
      <c r="F45">
        <v>78.43038</v>
      </c>
      <c r="I45">
        <v>85.765960000000007</v>
      </c>
      <c r="L45">
        <v>234.9987304</v>
      </c>
      <c r="O45">
        <v>12.266895</v>
      </c>
      <c r="R45">
        <v>54.602516000000001</v>
      </c>
      <c r="U45">
        <v>16.768507</v>
      </c>
      <c r="X45">
        <v>0.96170825000000004</v>
      </c>
      <c r="AA45">
        <v>1.1663269999999999</v>
      </c>
      <c r="AC45">
        <v>85.765953249999995</v>
      </c>
      <c r="AE45">
        <v>0.77967315077909427</v>
      </c>
      <c r="AG45">
        <v>0.22032684922090573</v>
      </c>
    </row>
    <row r="46" spans="2:33" x14ac:dyDescent="0.25">
      <c r="B46">
        <v>1995</v>
      </c>
      <c r="C46" s="7">
        <f>SUM(germany[[#This Row],[Column6]]+germany[[#This Row],[Column29]])</f>
        <v>163.05044199999998</v>
      </c>
      <c r="F46">
        <v>79.588049999999996</v>
      </c>
      <c r="I46">
        <v>83.472639999999998</v>
      </c>
      <c r="L46">
        <v>228.7150336</v>
      </c>
      <c r="O46">
        <v>11.899770999999999</v>
      </c>
      <c r="R46">
        <v>52.621383999999999</v>
      </c>
      <c r="U46">
        <v>16.081602</v>
      </c>
      <c r="X46">
        <v>0.99421000000000004</v>
      </c>
      <c r="AA46">
        <v>1.8654250000000001</v>
      </c>
      <c r="AC46">
        <v>83.462391999999994</v>
      </c>
      <c r="AE46">
        <v>0.77305662411400811</v>
      </c>
      <c r="AG46">
        <v>0.22694337588599189</v>
      </c>
    </row>
    <row r="47" spans="2:33" x14ac:dyDescent="0.25">
      <c r="B47">
        <v>1996</v>
      </c>
      <c r="C47" s="7">
        <f>SUM(germany[[#This Row],[Column6]]+germany[[#This Row],[Column29]])</f>
        <v>174.39706639999997</v>
      </c>
      <c r="F47">
        <v>87.408799999999999</v>
      </c>
      <c r="I47">
        <v>86.978009999999998</v>
      </c>
      <c r="L47">
        <v>238.31974740000001</v>
      </c>
      <c r="O47">
        <v>13.662110999999999</v>
      </c>
      <c r="R47">
        <v>53.838158</v>
      </c>
      <c r="U47">
        <v>16.421202000000001</v>
      </c>
      <c r="X47">
        <v>1.0769682</v>
      </c>
      <c r="AA47">
        <v>1.9898271999999999</v>
      </c>
      <c r="AC47">
        <v>86.988266399999986</v>
      </c>
      <c r="AE47">
        <v>0.77596981516578445</v>
      </c>
      <c r="AG47">
        <v>0.2240301848342158</v>
      </c>
    </row>
    <row r="48" spans="2:33" x14ac:dyDescent="0.25">
      <c r="B48">
        <v>1997</v>
      </c>
      <c r="C48" s="7">
        <f>SUM(germany[[#This Row],[Column6]]+germany[[#This Row],[Column29]])</f>
        <v>168.72265399999998</v>
      </c>
      <c r="F48">
        <v>85.094369999999998</v>
      </c>
      <c r="I48">
        <v>83.628280000000004</v>
      </c>
      <c r="L48">
        <v>229.1414872</v>
      </c>
      <c r="O48">
        <v>13.276771999999999</v>
      </c>
      <c r="R48">
        <v>52.327910000000003</v>
      </c>
      <c r="U48">
        <v>14.978659</v>
      </c>
      <c r="X48">
        <v>1.0047287</v>
      </c>
      <c r="AA48">
        <v>2.0402143000000001</v>
      </c>
      <c r="AC48">
        <v>83.628283999999994</v>
      </c>
      <c r="AE48">
        <v>0.78447959066097772</v>
      </c>
      <c r="AG48">
        <v>0.21552040933902225</v>
      </c>
    </row>
    <row r="49" spans="2:33" x14ac:dyDescent="0.25">
      <c r="B49">
        <v>1998</v>
      </c>
      <c r="C49" s="7">
        <f>SUM(germany[[#This Row],[Column6]]+germany[[#This Row],[Column29]])</f>
        <v>173.87594369999999</v>
      </c>
      <c r="F49">
        <v>86.139060000000001</v>
      </c>
      <c r="I49">
        <v>87.747119999999995</v>
      </c>
      <c r="L49">
        <v>240.42710880000001</v>
      </c>
      <c r="O49">
        <v>14.001439</v>
      </c>
      <c r="R49">
        <v>55.872599999999998</v>
      </c>
      <c r="U49">
        <v>14.5852585</v>
      </c>
      <c r="X49">
        <v>1.0242457</v>
      </c>
      <c r="AA49">
        <v>2.2533405000000002</v>
      </c>
      <c r="AC49">
        <v>87.736883700000007</v>
      </c>
      <c r="AE49">
        <v>0.79640438608375153</v>
      </c>
      <c r="AG49">
        <v>0.20359561391624856</v>
      </c>
    </row>
    <row r="50" spans="2:33" x14ac:dyDescent="0.25">
      <c r="B50">
        <v>1999</v>
      </c>
      <c r="C50" s="7">
        <f>SUM(germany[[#This Row],[Column6]]+germany[[#This Row],[Column29]])</f>
        <v>175.58740080000001</v>
      </c>
      <c r="F50">
        <v>90.701049999999995</v>
      </c>
      <c r="I50">
        <v>84.886349999999993</v>
      </c>
      <c r="L50">
        <v>232.58859899999999</v>
      </c>
      <c r="O50">
        <v>12.786186000000001</v>
      </c>
      <c r="R50">
        <v>55.710506000000002</v>
      </c>
      <c r="U50">
        <v>12.868083</v>
      </c>
      <c r="X50">
        <v>0.99300250000000001</v>
      </c>
      <c r="AA50">
        <v>2.5285733000000001</v>
      </c>
      <c r="AC50">
        <v>84.886350800000002</v>
      </c>
      <c r="AE50">
        <v>0.80692233032121341</v>
      </c>
      <c r="AG50">
        <v>0.19307766967878656</v>
      </c>
    </row>
    <row r="51" spans="2:33" x14ac:dyDescent="0.25">
      <c r="B51">
        <v>2000</v>
      </c>
      <c r="C51" s="7">
        <f>SUM(germany[[#This Row],[Column6]]+germany[[#This Row],[Column29]])</f>
        <v>176.14473839999999</v>
      </c>
      <c r="F51">
        <v>91.415850000000006</v>
      </c>
      <c r="I51">
        <v>84.728880000000004</v>
      </c>
      <c r="L51">
        <v>232.15713120000001</v>
      </c>
      <c r="O51">
        <v>13.005280000000001</v>
      </c>
      <c r="R51">
        <v>54.017994000000002</v>
      </c>
      <c r="U51">
        <v>13.332973000000001</v>
      </c>
      <c r="X51">
        <v>1.0342781999999999</v>
      </c>
      <c r="AA51">
        <v>3.3383631999999999</v>
      </c>
      <c r="AC51">
        <v>84.728888400000002</v>
      </c>
      <c r="AE51">
        <v>0.791032141051906</v>
      </c>
      <c r="AG51">
        <v>0.20896785894809403</v>
      </c>
    </row>
    <row r="52" spans="2:33" x14ac:dyDescent="0.25">
      <c r="B52">
        <v>2001</v>
      </c>
      <c r="C52" s="7">
        <f>SUM(germany[[#This Row],[Column6]]+germany[[#This Row],[Column29]])</f>
        <v>176.97972164999999</v>
      </c>
      <c r="F52">
        <v>93.575720000000004</v>
      </c>
      <c r="I52">
        <v>83.403999999999996</v>
      </c>
      <c r="L52">
        <v>228.52696</v>
      </c>
      <c r="O52">
        <v>14.427026</v>
      </c>
      <c r="R52">
        <v>52.570976000000002</v>
      </c>
      <c r="U52">
        <v>10.653646</v>
      </c>
      <c r="X52">
        <v>0.97410624999999995</v>
      </c>
      <c r="AA52">
        <v>4.7782473999999997</v>
      </c>
      <c r="AC52">
        <v>83.404001649999998</v>
      </c>
      <c r="AE52">
        <v>0.80329481409241232</v>
      </c>
      <c r="AG52">
        <v>0.19670518590758768</v>
      </c>
    </row>
    <row r="53" spans="2:33" x14ac:dyDescent="0.25">
      <c r="B53">
        <v>2002</v>
      </c>
      <c r="C53" s="7">
        <f>SUM(germany[[#This Row],[Column6]]+germany[[#This Row],[Column29]])</f>
        <v>175.92223233999999</v>
      </c>
      <c r="F53">
        <v>92.970290000000006</v>
      </c>
      <c r="I53">
        <v>82.951939999999993</v>
      </c>
      <c r="L53">
        <v>227.2883156</v>
      </c>
      <c r="O53">
        <v>13.501654</v>
      </c>
      <c r="R53">
        <v>53.482579999999999</v>
      </c>
      <c r="U53">
        <v>11.857616</v>
      </c>
      <c r="X53">
        <v>0.90422033999999996</v>
      </c>
      <c r="AA53">
        <v>3.2058719999999998</v>
      </c>
      <c r="AC53">
        <v>82.951942339999988</v>
      </c>
      <c r="AE53">
        <v>0.80750651654964012</v>
      </c>
      <c r="AG53">
        <v>0.19249348345035991</v>
      </c>
    </row>
    <row r="54" spans="2:33" x14ac:dyDescent="0.25">
      <c r="B54">
        <v>2003</v>
      </c>
      <c r="C54" s="7">
        <f>SUM(germany[[#This Row],[Column6]]+germany[[#This Row],[Column29]])</f>
        <v>177.12046735000001</v>
      </c>
      <c r="F54">
        <v>91.516360000000006</v>
      </c>
      <c r="I54">
        <v>85.614410000000007</v>
      </c>
      <c r="L54">
        <v>234.58348340000001</v>
      </c>
      <c r="O54">
        <v>13.894831</v>
      </c>
      <c r="R54">
        <v>55.074620000000003</v>
      </c>
      <c r="U54">
        <v>11.803910999999999</v>
      </c>
      <c r="X54">
        <v>0.88580835000000002</v>
      </c>
      <c r="AA54">
        <v>3.9449369999999999</v>
      </c>
      <c r="AC54">
        <v>85.604107350000007</v>
      </c>
      <c r="AE54">
        <v>0.80567922655874757</v>
      </c>
      <c r="AG54">
        <v>0.1943207734412524</v>
      </c>
    </row>
    <row r="55" spans="2:33" x14ac:dyDescent="0.25">
      <c r="B55">
        <v>2004</v>
      </c>
      <c r="C55" s="7">
        <f>SUM(germany[[#This Row],[Column6]]+germany[[#This Row],[Column29]])</f>
        <v>179.25044514000001</v>
      </c>
      <c r="F55">
        <v>93.974159999999998</v>
      </c>
      <c r="I55">
        <v>85.27628</v>
      </c>
      <c r="L55">
        <v>233.65700720000001</v>
      </c>
      <c r="O55">
        <v>14.981388000000001</v>
      </c>
      <c r="R55">
        <v>55.313510000000001</v>
      </c>
      <c r="U55">
        <v>12.670209</v>
      </c>
      <c r="X55">
        <v>0.92859833999999997</v>
      </c>
      <c r="AA55">
        <v>1.3825798</v>
      </c>
      <c r="AC55">
        <v>85.276285139999999</v>
      </c>
      <c r="AE55">
        <v>0.82431942109808476</v>
      </c>
      <c r="AG55">
        <v>0.17568057890191535</v>
      </c>
    </row>
    <row r="56" spans="2:33" x14ac:dyDescent="0.25">
      <c r="B56">
        <v>2005</v>
      </c>
      <c r="C56" s="7">
        <f>SUM(germany[[#This Row],[Column6]]+germany[[#This Row],[Column29]])</f>
        <v>173.62393830000002</v>
      </c>
      <c r="F56">
        <v>88.964330000000004</v>
      </c>
      <c r="I56">
        <v>84.659615000000002</v>
      </c>
      <c r="L56">
        <v>231.96734509999999</v>
      </c>
      <c r="O56">
        <v>14.875564000000001</v>
      </c>
      <c r="R56">
        <v>54.929127000000001</v>
      </c>
      <c r="U56">
        <v>12.480608</v>
      </c>
      <c r="X56">
        <v>1.0013392000000001</v>
      </c>
      <c r="AA56">
        <v>1.3729701000000001</v>
      </c>
      <c r="AC56">
        <v>84.659608300000016</v>
      </c>
      <c r="AE56">
        <v>0.82453359283969163</v>
      </c>
      <c r="AG56">
        <v>0.17546640716030809</v>
      </c>
    </row>
    <row r="57" spans="2:33" x14ac:dyDescent="0.25">
      <c r="B57">
        <v>2006</v>
      </c>
      <c r="C57" s="7">
        <f>SUM(germany[[#This Row],[Column6]]+germany[[#This Row],[Column29]])</f>
        <v>175.76794940000002</v>
      </c>
      <c r="F57">
        <v>90.736243999999999</v>
      </c>
      <c r="I57">
        <v>85.031710000000004</v>
      </c>
      <c r="L57">
        <v>232.98688540000001</v>
      </c>
      <c r="O57">
        <v>14.369667</v>
      </c>
      <c r="R57">
        <v>55.116390000000003</v>
      </c>
      <c r="U57">
        <v>12.554117</v>
      </c>
      <c r="X57">
        <v>0.92840630000000002</v>
      </c>
      <c r="AA57">
        <v>2.0631251000000002</v>
      </c>
      <c r="AC57">
        <v>85.031705400000007</v>
      </c>
      <c r="AE57">
        <v>0.81717821221071263</v>
      </c>
      <c r="AG57">
        <v>0.18282178778928737</v>
      </c>
    </row>
    <row r="58" spans="2:33" x14ac:dyDescent="0.25">
      <c r="B58">
        <v>2007</v>
      </c>
      <c r="C58" s="7">
        <f>SUM(germany[[#This Row],[Column6]]+germany[[#This Row],[Column29]])</f>
        <v>177.7848779</v>
      </c>
      <c r="F58">
        <v>89.196144000000004</v>
      </c>
      <c r="I58">
        <v>88.599029999999999</v>
      </c>
      <c r="L58">
        <v>242.7613422</v>
      </c>
      <c r="O58">
        <v>15.586676000000001</v>
      </c>
      <c r="R58">
        <v>56.149093999999998</v>
      </c>
      <c r="U58">
        <v>13.157048</v>
      </c>
      <c r="X58">
        <v>0.92655270000000001</v>
      </c>
      <c r="AA58">
        <v>2.7693631999999999</v>
      </c>
      <c r="AC58">
        <v>88.588733899999994</v>
      </c>
      <c r="AE58">
        <v>0.80976177039595332</v>
      </c>
      <c r="AG58">
        <v>0.19023822960404671</v>
      </c>
    </row>
    <row r="59" spans="2:33" x14ac:dyDescent="0.25">
      <c r="B59">
        <v>2008</v>
      </c>
      <c r="C59" s="7">
        <f>SUM(germany[[#This Row],[Column6]]+germany[[#This Row],[Column29]])</f>
        <v>178.2120438</v>
      </c>
      <c r="F59">
        <v>90.219909999999999</v>
      </c>
      <c r="I59">
        <v>87.971599999999995</v>
      </c>
      <c r="L59">
        <v>241.04218399999999</v>
      </c>
      <c r="O59">
        <v>17.093326999999999</v>
      </c>
      <c r="R59">
        <v>54.452255000000001</v>
      </c>
      <c r="U59">
        <v>12.894425</v>
      </c>
      <c r="X59">
        <v>0.84183350000000001</v>
      </c>
      <c r="AA59">
        <v>2.7102933</v>
      </c>
      <c r="AC59">
        <v>87.992133800000005</v>
      </c>
      <c r="AE59">
        <v>0.81309065833791605</v>
      </c>
      <c r="AG59">
        <v>0.18690934166208387</v>
      </c>
    </row>
    <row r="60" spans="2:33" x14ac:dyDescent="0.25">
      <c r="B60">
        <v>2009</v>
      </c>
      <c r="C60" s="7">
        <f>SUM(germany[[#This Row],[Column6]]+germany[[#This Row],[Column29]])</f>
        <v>181.83217719999999</v>
      </c>
      <c r="F60">
        <v>93.838629999999995</v>
      </c>
      <c r="I60">
        <v>88.003783999999996</v>
      </c>
      <c r="L60">
        <v>241.13036819999999</v>
      </c>
      <c r="O60">
        <v>17.197434999999999</v>
      </c>
      <c r="R60">
        <v>54.601860000000002</v>
      </c>
      <c r="U60">
        <v>12.846894000000001</v>
      </c>
      <c r="X60">
        <v>0.79845239999999995</v>
      </c>
      <c r="AA60">
        <v>2.5489058</v>
      </c>
      <c r="AC60">
        <v>87.993547200000009</v>
      </c>
      <c r="AE60">
        <v>0.81596091173376395</v>
      </c>
      <c r="AG60">
        <v>0.18403908826623591</v>
      </c>
    </row>
    <row r="61" spans="2:33" x14ac:dyDescent="0.25">
      <c r="B61">
        <v>2010</v>
      </c>
      <c r="C61" s="7">
        <f>SUM(germany[[#This Row],[Column6]]+germany[[#This Row],[Column29]])</f>
        <v>215.06001739999999</v>
      </c>
      <c r="F61">
        <v>126.00001</v>
      </c>
      <c r="I61">
        <v>89.05001</v>
      </c>
      <c r="L61">
        <v>243.99702740000001</v>
      </c>
      <c r="O61">
        <v>17.840001999999998</v>
      </c>
      <c r="R61">
        <v>55.340004</v>
      </c>
      <c r="U61">
        <v>12.860001</v>
      </c>
      <c r="X61">
        <v>0.79000009999999998</v>
      </c>
      <c r="AA61">
        <v>2.2300002999999999</v>
      </c>
      <c r="AC61">
        <v>89.060007399999989</v>
      </c>
      <c r="AE61">
        <v>0.82169323960779284</v>
      </c>
      <c r="AG61">
        <v>0.17830676039220722</v>
      </c>
    </row>
    <row r="62" spans="2:33" x14ac:dyDescent="0.25">
      <c r="B62">
        <v>2011</v>
      </c>
      <c r="C62" s="7">
        <f>SUM(germany[[#This Row],[Column6]]+germany[[#This Row],[Column29]])</f>
        <v>216.15000000000003</v>
      </c>
      <c r="F62">
        <v>126.89</v>
      </c>
      <c r="I62">
        <v>89.26</v>
      </c>
      <c r="L62">
        <v>244.57239999999999</v>
      </c>
      <c r="O62">
        <v>18.04</v>
      </c>
      <c r="R62">
        <v>54.45</v>
      </c>
      <c r="U62">
        <v>13.61</v>
      </c>
      <c r="X62">
        <v>0.9</v>
      </c>
      <c r="AA62">
        <v>2.2599999999999998</v>
      </c>
      <c r="AC62">
        <v>89.260000000000019</v>
      </c>
      <c r="AE62">
        <v>0.81212189110463806</v>
      </c>
      <c r="AG62">
        <v>0.18787810889536183</v>
      </c>
    </row>
    <row r="63" spans="2:33" x14ac:dyDescent="0.25">
      <c r="B63">
        <v>2012</v>
      </c>
      <c r="C63" s="7">
        <f>SUM(germany[[#This Row],[Column6]]+germany[[#This Row],[Column29]])</f>
        <v>219.63</v>
      </c>
      <c r="F63">
        <v>132.07</v>
      </c>
      <c r="I63">
        <v>87.56</v>
      </c>
      <c r="L63">
        <v>239.9144</v>
      </c>
      <c r="O63">
        <v>17.68</v>
      </c>
      <c r="R63">
        <v>53.24</v>
      </c>
      <c r="U63">
        <v>13.56</v>
      </c>
      <c r="X63">
        <v>0.76</v>
      </c>
      <c r="AA63">
        <v>2.3199999999999998</v>
      </c>
      <c r="AC63">
        <v>87.56</v>
      </c>
      <c r="AE63">
        <v>0.80995888533576976</v>
      </c>
      <c r="AG63">
        <v>0.19004111466423024</v>
      </c>
    </row>
    <row r="64" spans="2:33" x14ac:dyDescent="0.25">
      <c r="B64">
        <v>2013</v>
      </c>
      <c r="C64" s="7">
        <f>SUM(germany[[#This Row],[Column6]]+germany[[#This Row],[Column29]])</f>
        <v>215.02</v>
      </c>
      <c r="F64">
        <v>128.09</v>
      </c>
      <c r="I64">
        <v>86.92</v>
      </c>
      <c r="L64">
        <v>238.16079999999999</v>
      </c>
      <c r="O64">
        <v>17.86</v>
      </c>
      <c r="R64">
        <v>52.48</v>
      </c>
      <c r="U64">
        <v>13.34</v>
      </c>
      <c r="X64">
        <v>0.74</v>
      </c>
      <c r="AA64">
        <v>2.5099999999999998</v>
      </c>
      <c r="AC64">
        <v>86.93</v>
      </c>
      <c r="AE64">
        <v>0.80915679282181052</v>
      </c>
      <c r="AG64">
        <v>0.19084320717818937</v>
      </c>
    </row>
    <row r="65" spans="2:33" x14ac:dyDescent="0.25">
      <c r="B65">
        <v>2014</v>
      </c>
      <c r="C65" s="7">
        <f>SUM(germany[[#This Row],[Column6]]+germany[[#This Row],[Column29]])</f>
        <v>216.26999394000001</v>
      </c>
      <c r="F65">
        <v>132.13</v>
      </c>
      <c r="I65">
        <v>84.14</v>
      </c>
      <c r="L65">
        <v>230.5436</v>
      </c>
      <c r="O65">
        <v>17.62</v>
      </c>
      <c r="R65">
        <v>49.619995000000003</v>
      </c>
      <c r="U65">
        <v>13.509999000000001</v>
      </c>
      <c r="X65">
        <v>0.80999993999999997</v>
      </c>
      <c r="AA65">
        <v>2.58</v>
      </c>
      <c r="AC65">
        <v>84.139993940000011</v>
      </c>
      <c r="AE65">
        <v>0.79914428146915073</v>
      </c>
      <c r="AG65">
        <v>0.20085571853084924</v>
      </c>
    </row>
    <row r="66" spans="2:33" x14ac:dyDescent="0.25">
      <c r="B66">
        <v>2015</v>
      </c>
      <c r="C66" s="7">
        <f>SUM(germany[[#This Row],[Column6]]+germany[[#This Row],[Column29]])</f>
        <v>219.37997264000001</v>
      </c>
      <c r="F66">
        <v>132.89998</v>
      </c>
      <c r="I66">
        <v>86.479996</v>
      </c>
      <c r="L66">
        <v>236.95518899999999</v>
      </c>
      <c r="O66">
        <v>17.659998000000002</v>
      </c>
      <c r="R66">
        <v>51.569996000000003</v>
      </c>
      <c r="U66">
        <v>14.169999000000001</v>
      </c>
      <c r="X66">
        <v>0.80999993999999997</v>
      </c>
      <c r="AA66">
        <v>2.2699997000000001</v>
      </c>
      <c r="AC66">
        <v>86.479992640000006</v>
      </c>
      <c r="AE66">
        <v>0.80053191364378917</v>
      </c>
      <c r="AG66">
        <v>0.19946808635621088</v>
      </c>
    </row>
    <row r="67" spans="2:33" x14ac:dyDescent="0.25">
      <c r="B67">
        <v>2016</v>
      </c>
      <c r="C67" s="7">
        <f>SUM(germany[[#This Row],[Column6]]+germany[[#This Row],[Column29]])</f>
        <v>218.65998070000001</v>
      </c>
      <c r="F67">
        <v>136.93998999999999</v>
      </c>
      <c r="I67">
        <v>81.719989999999996</v>
      </c>
      <c r="L67">
        <v>223.91277260000001</v>
      </c>
      <c r="O67">
        <v>17.909998000000002</v>
      </c>
      <c r="R67">
        <v>45.959994999999999</v>
      </c>
      <c r="U67">
        <v>14.619998000000001</v>
      </c>
      <c r="X67">
        <v>0.80999989999999999</v>
      </c>
      <c r="AA67">
        <v>2.4199997999999998</v>
      </c>
      <c r="AC67">
        <v>81.719990699999997</v>
      </c>
      <c r="AE67">
        <v>0.781571222082873</v>
      </c>
      <c r="AG67">
        <v>0.2184287779171272</v>
      </c>
    </row>
    <row r="68" spans="2:33" x14ac:dyDescent="0.25">
      <c r="B68">
        <v>2017</v>
      </c>
      <c r="C68" s="7">
        <f>SUM(germany[[#This Row],[Column6]]+germany[[#This Row],[Column29]])</f>
        <v>222.01999999999998</v>
      </c>
      <c r="F68">
        <v>141.44</v>
      </c>
      <c r="I68">
        <v>80.58</v>
      </c>
      <c r="L68">
        <v>220.78919999999999</v>
      </c>
      <c r="O68">
        <v>18.059999999999999</v>
      </c>
      <c r="R68">
        <v>44.68</v>
      </c>
      <c r="U68">
        <v>14.96</v>
      </c>
      <c r="X68">
        <v>0.82</v>
      </c>
      <c r="AA68">
        <v>2.06</v>
      </c>
      <c r="AC68">
        <v>80.579999999999984</v>
      </c>
      <c r="AE68">
        <v>0.77860511293124868</v>
      </c>
      <c r="AG68">
        <v>0.2213948870687516</v>
      </c>
    </row>
    <row r="69" spans="2:33" x14ac:dyDescent="0.25">
      <c r="B69">
        <v>2018</v>
      </c>
      <c r="C69" s="7">
        <f>SUM(germany[[#This Row],[Column6]]+germany[[#This Row],[Column29]])</f>
        <v>216.99001415000004</v>
      </c>
      <c r="F69">
        <v>135.68001000000001</v>
      </c>
      <c r="I69">
        <v>81.30001</v>
      </c>
      <c r="L69">
        <v>222.76202739999999</v>
      </c>
      <c r="O69">
        <v>18.210000999999998</v>
      </c>
      <c r="R69">
        <v>45.600002000000003</v>
      </c>
      <c r="U69">
        <v>14.890001</v>
      </c>
      <c r="X69">
        <v>0.82000004999999998</v>
      </c>
      <c r="AA69">
        <v>1.7900001000000001</v>
      </c>
      <c r="AC69">
        <v>81.310004150000012</v>
      </c>
      <c r="AE69">
        <v>0.78477431734333525</v>
      </c>
      <c r="AG69">
        <v>0.21522568265666481</v>
      </c>
    </row>
    <row r="70" spans="2:33" x14ac:dyDescent="0.25">
      <c r="B70">
        <v>2019</v>
      </c>
      <c r="C70" s="7">
        <f>SUM(germany[[#This Row],[Column6]]+germany[[#This Row],[Column29]])</f>
        <v>216.7699988</v>
      </c>
      <c r="F70">
        <v>136.56</v>
      </c>
      <c r="I70">
        <v>80.209999999999994</v>
      </c>
      <c r="L70">
        <v>219.77539999999999</v>
      </c>
      <c r="O70">
        <v>17.38</v>
      </c>
      <c r="R70">
        <v>46.72</v>
      </c>
      <c r="U70">
        <v>14.489998999999999</v>
      </c>
      <c r="X70">
        <v>0.83999990000000002</v>
      </c>
      <c r="AA70">
        <v>0.77999989999999997</v>
      </c>
      <c r="AC70">
        <v>80.209998799999994</v>
      </c>
      <c r="AE70">
        <v>0.7991522373642026</v>
      </c>
      <c r="AG70">
        <v>0.20084776263579748</v>
      </c>
    </row>
    <row r="71" spans="2:33" x14ac:dyDescent="0.25">
      <c r="B71">
        <v>2020</v>
      </c>
      <c r="C71" s="7">
        <f>SUM(germany[[#This Row],[Column6]]+germany[[#This Row],[Column29]])</f>
        <v>220.29000000000002</v>
      </c>
      <c r="F71">
        <v>141.61000000000001</v>
      </c>
      <c r="I71">
        <v>78.69</v>
      </c>
      <c r="L71">
        <v>215.61060000000001</v>
      </c>
      <c r="O71">
        <v>18.11</v>
      </c>
      <c r="R71">
        <v>44.06</v>
      </c>
      <c r="U71">
        <v>14.73</v>
      </c>
      <c r="X71">
        <v>0.95</v>
      </c>
      <c r="AA71">
        <v>0.83</v>
      </c>
      <c r="AC71">
        <v>78.680000000000007</v>
      </c>
      <c r="AE71">
        <v>0.79016268429079828</v>
      </c>
      <c r="AG71">
        <v>0.20983731570920175</v>
      </c>
    </row>
    <row r="72" spans="2:33" x14ac:dyDescent="0.25">
      <c r="B72">
        <v>2021</v>
      </c>
      <c r="C72" s="7">
        <f>SUM(germany[[#This Row],[Column6]]+germany[[#This Row],[Column29]])</f>
        <v>277.56995466000001</v>
      </c>
      <c r="F72">
        <v>200.97997000000001</v>
      </c>
      <c r="I72">
        <v>76.589979999999997</v>
      </c>
      <c r="L72">
        <v>209.8565452</v>
      </c>
      <c r="O72">
        <v>17.629996999999999</v>
      </c>
      <c r="R72">
        <v>43.259990000000002</v>
      </c>
      <c r="U72">
        <v>14.039998000000001</v>
      </c>
      <c r="X72">
        <v>0.70999986000000004</v>
      </c>
      <c r="AA72">
        <v>0.94999979999999995</v>
      </c>
      <c r="AC72">
        <v>76.589984659999999</v>
      </c>
      <c r="AE72">
        <v>0.79501239320394468</v>
      </c>
      <c r="AG72">
        <v>0.20498760679605549</v>
      </c>
    </row>
    <row r="73" spans="2:33" x14ac:dyDescent="0.25">
      <c r="B73">
        <v>2022</v>
      </c>
      <c r="C73" s="7"/>
    </row>
    <row r="74" spans="2:33" x14ac:dyDescent="0.25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C539-9579-AE46-B5BD-FA1CFB95B614}">
  <dimension ref="A1:D223"/>
  <sheetViews>
    <sheetView topLeftCell="A95" workbookViewId="0">
      <selection activeCell="D223" sqref="D223"/>
    </sheetView>
  </sheetViews>
  <sheetFormatPr defaultColWidth="11" defaultRowHeight="15.75" x14ac:dyDescent="0.25"/>
  <cols>
    <col min="1" max="1" width="10.625" bestFit="1" customWidth="1"/>
    <col min="2" max="2" width="8" bestFit="1" customWidth="1"/>
    <col min="3" max="3" width="7.375" bestFit="1" customWidth="1"/>
    <col min="4" max="4" width="44.375" bestFit="1" customWidth="1"/>
  </cols>
  <sheetData>
    <row r="1" spans="1:4" x14ac:dyDescent="0.25">
      <c r="A1" t="s">
        <v>67</v>
      </c>
      <c r="B1" t="s">
        <v>68</v>
      </c>
      <c r="C1" t="s">
        <v>69</v>
      </c>
      <c r="D1" t="s">
        <v>198</v>
      </c>
    </row>
    <row r="2" spans="1:4" x14ac:dyDescent="0.25">
      <c r="A2" t="s">
        <v>25</v>
      </c>
      <c r="B2" t="s">
        <v>199</v>
      </c>
      <c r="C2">
        <v>1950</v>
      </c>
      <c r="D2">
        <v>4268408</v>
      </c>
    </row>
    <row r="3" spans="1:4" x14ac:dyDescent="0.25">
      <c r="A3" t="s">
        <v>25</v>
      </c>
      <c r="B3" t="s">
        <v>199</v>
      </c>
      <c r="C3">
        <v>1951</v>
      </c>
      <c r="D3">
        <v>4300264</v>
      </c>
    </row>
    <row r="4" spans="1:4" x14ac:dyDescent="0.25">
      <c r="A4" t="s">
        <v>25</v>
      </c>
      <c r="B4" t="s">
        <v>199</v>
      </c>
      <c r="C4">
        <v>1952</v>
      </c>
      <c r="D4">
        <v>4332237</v>
      </c>
    </row>
    <row r="5" spans="1:4" x14ac:dyDescent="0.25">
      <c r="A5" t="s">
        <v>25</v>
      </c>
      <c r="B5" t="s">
        <v>199</v>
      </c>
      <c r="C5">
        <v>1953</v>
      </c>
      <c r="D5">
        <v>4369108</v>
      </c>
    </row>
    <row r="6" spans="1:4" x14ac:dyDescent="0.25">
      <c r="A6" t="s">
        <v>25</v>
      </c>
      <c r="B6" t="s">
        <v>199</v>
      </c>
      <c r="C6">
        <v>1954</v>
      </c>
      <c r="D6">
        <v>4406405</v>
      </c>
    </row>
    <row r="7" spans="1:4" x14ac:dyDescent="0.25">
      <c r="A7" t="s">
        <v>25</v>
      </c>
      <c r="B7" t="s">
        <v>199</v>
      </c>
      <c r="C7">
        <v>1955</v>
      </c>
      <c r="D7">
        <v>4438843</v>
      </c>
    </row>
    <row r="8" spans="1:4" x14ac:dyDescent="0.25">
      <c r="A8" t="s">
        <v>25</v>
      </c>
      <c r="B8" t="s">
        <v>199</v>
      </c>
      <c r="C8">
        <v>1956</v>
      </c>
      <c r="D8">
        <v>4466341</v>
      </c>
    </row>
    <row r="9" spans="1:4" x14ac:dyDescent="0.25">
      <c r="A9" t="s">
        <v>25</v>
      </c>
      <c r="B9" t="s">
        <v>199</v>
      </c>
      <c r="C9">
        <v>1957</v>
      </c>
      <c r="D9">
        <v>4489659</v>
      </c>
    </row>
    <row r="10" spans="1:4" x14ac:dyDescent="0.25">
      <c r="A10" t="s">
        <v>25</v>
      </c>
      <c r="B10" t="s">
        <v>199</v>
      </c>
      <c r="C10">
        <v>1958</v>
      </c>
      <c r="D10">
        <v>4516071</v>
      </c>
    </row>
    <row r="11" spans="1:4" x14ac:dyDescent="0.25">
      <c r="A11" t="s">
        <v>25</v>
      </c>
      <c r="B11" t="s">
        <v>199</v>
      </c>
      <c r="C11">
        <v>1959</v>
      </c>
      <c r="D11">
        <v>4548480</v>
      </c>
    </row>
    <row r="12" spans="1:4" x14ac:dyDescent="0.25">
      <c r="A12" t="s">
        <v>25</v>
      </c>
      <c r="B12" t="s">
        <v>199</v>
      </c>
      <c r="C12">
        <v>1960</v>
      </c>
      <c r="D12">
        <v>4579349</v>
      </c>
    </row>
    <row r="13" spans="1:4" x14ac:dyDescent="0.25">
      <c r="A13" t="s">
        <v>25</v>
      </c>
      <c r="B13" t="s">
        <v>199</v>
      </c>
      <c r="C13">
        <v>1961</v>
      </c>
      <c r="D13">
        <v>4611357</v>
      </c>
    </row>
    <row r="14" spans="1:4" x14ac:dyDescent="0.25">
      <c r="A14" t="s">
        <v>25</v>
      </c>
      <c r="B14" t="s">
        <v>199</v>
      </c>
      <c r="C14">
        <v>1962</v>
      </c>
      <c r="D14">
        <v>4647466</v>
      </c>
    </row>
    <row r="15" spans="1:4" x14ac:dyDescent="0.25">
      <c r="A15" t="s">
        <v>25</v>
      </c>
      <c r="B15" t="s">
        <v>199</v>
      </c>
      <c r="C15">
        <v>1963</v>
      </c>
      <c r="D15">
        <v>4684268</v>
      </c>
    </row>
    <row r="16" spans="1:4" x14ac:dyDescent="0.25">
      <c r="A16" t="s">
        <v>25</v>
      </c>
      <c r="B16" t="s">
        <v>199</v>
      </c>
      <c r="C16">
        <v>1964</v>
      </c>
      <c r="D16">
        <v>4721889</v>
      </c>
    </row>
    <row r="17" spans="1:4" x14ac:dyDescent="0.25">
      <c r="A17" t="s">
        <v>25</v>
      </c>
      <c r="B17" t="s">
        <v>199</v>
      </c>
      <c r="C17">
        <v>1965</v>
      </c>
      <c r="D17">
        <v>4758838</v>
      </c>
    </row>
    <row r="18" spans="1:4" x14ac:dyDescent="0.25">
      <c r="A18" t="s">
        <v>25</v>
      </c>
      <c r="B18" t="s">
        <v>199</v>
      </c>
      <c r="C18">
        <v>1966</v>
      </c>
      <c r="D18">
        <v>4797200</v>
      </c>
    </row>
    <row r="19" spans="1:4" x14ac:dyDescent="0.25">
      <c r="A19" t="s">
        <v>25</v>
      </c>
      <c r="B19" t="s">
        <v>199</v>
      </c>
      <c r="C19">
        <v>1967</v>
      </c>
      <c r="D19">
        <v>4835223</v>
      </c>
    </row>
    <row r="20" spans="1:4" x14ac:dyDescent="0.25">
      <c r="A20" t="s">
        <v>25</v>
      </c>
      <c r="B20" t="s">
        <v>199</v>
      </c>
      <c r="C20">
        <v>1968</v>
      </c>
      <c r="D20">
        <v>4864801</v>
      </c>
    </row>
    <row r="21" spans="1:4" x14ac:dyDescent="0.25">
      <c r="A21" t="s">
        <v>25</v>
      </c>
      <c r="B21" t="s">
        <v>199</v>
      </c>
      <c r="C21">
        <v>1969</v>
      </c>
      <c r="D21">
        <v>4891800</v>
      </c>
    </row>
    <row r="22" spans="1:4" x14ac:dyDescent="0.25">
      <c r="A22" t="s">
        <v>25</v>
      </c>
      <c r="B22" t="s">
        <v>199</v>
      </c>
      <c r="C22">
        <v>1970</v>
      </c>
      <c r="D22">
        <v>4928676</v>
      </c>
    </row>
    <row r="23" spans="1:4" x14ac:dyDescent="0.25">
      <c r="A23" t="s">
        <v>25</v>
      </c>
      <c r="B23" t="s">
        <v>199</v>
      </c>
      <c r="C23">
        <v>1971</v>
      </c>
      <c r="D23">
        <v>4963062</v>
      </c>
    </row>
    <row r="24" spans="1:4" x14ac:dyDescent="0.25">
      <c r="A24" t="s">
        <v>25</v>
      </c>
      <c r="B24" t="s">
        <v>199</v>
      </c>
      <c r="C24">
        <v>1972</v>
      </c>
      <c r="D24">
        <v>4991568</v>
      </c>
    </row>
    <row r="25" spans="1:4" x14ac:dyDescent="0.25">
      <c r="A25" t="s">
        <v>25</v>
      </c>
      <c r="B25" t="s">
        <v>199</v>
      </c>
      <c r="C25">
        <v>1973</v>
      </c>
      <c r="D25">
        <v>5021765</v>
      </c>
    </row>
    <row r="26" spans="1:4" x14ac:dyDescent="0.25">
      <c r="A26" t="s">
        <v>25</v>
      </c>
      <c r="B26" t="s">
        <v>199</v>
      </c>
      <c r="C26">
        <v>1974</v>
      </c>
      <c r="D26">
        <v>5045638</v>
      </c>
    </row>
    <row r="27" spans="1:4" x14ac:dyDescent="0.25">
      <c r="A27" t="s">
        <v>25</v>
      </c>
      <c r="B27" t="s">
        <v>199</v>
      </c>
      <c r="C27">
        <v>1975</v>
      </c>
      <c r="D27">
        <v>5060403</v>
      </c>
    </row>
    <row r="28" spans="1:4" x14ac:dyDescent="0.25">
      <c r="A28" t="s">
        <v>25</v>
      </c>
      <c r="B28" t="s">
        <v>199</v>
      </c>
      <c r="C28">
        <v>1976</v>
      </c>
      <c r="D28">
        <v>5072804</v>
      </c>
    </row>
    <row r="29" spans="1:4" x14ac:dyDescent="0.25">
      <c r="A29" t="s">
        <v>25</v>
      </c>
      <c r="B29" t="s">
        <v>199</v>
      </c>
      <c r="C29">
        <v>1977</v>
      </c>
      <c r="D29">
        <v>5088574</v>
      </c>
    </row>
    <row r="30" spans="1:4" x14ac:dyDescent="0.25">
      <c r="A30" t="s">
        <v>25</v>
      </c>
      <c r="B30" t="s">
        <v>199</v>
      </c>
      <c r="C30">
        <v>1978</v>
      </c>
      <c r="D30">
        <v>5104342</v>
      </c>
    </row>
    <row r="31" spans="1:4" x14ac:dyDescent="0.25">
      <c r="A31" t="s">
        <v>25</v>
      </c>
      <c r="B31" t="s">
        <v>199</v>
      </c>
      <c r="C31">
        <v>1979</v>
      </c>
      <c r="D31">
        <v>5116861</v>
      </c>
    </row>
    <row r="32" spans="1:4" x14ac:dyDescent="0.25">
      <c r="A32" t="s">
        <v>25</v>
      </c>
      <c r="B32" t="s">
        <v>199</v>
      </c>
      <c r="C32">
        <v>1980</v>
      </c>
      <c r="D32">
        <v>5123078</v>
      </c>
    </row>
    <row r="33" spans="1:4" x14ac:dyDescent="0.25">
      <c r="A33" t="s">
        <v>25</v>
      </c>
      <c r="B33" t="s">
        <v>199</v>
      </c>
      <c r="C33">
        <v>1981</v>
      </c>
      <c r="D33">
        <v>5121628</v>
      </c>
    </row>
    <row r="34" spans="1:4" x14ac:dyDescent="0.25">
      <c r="A34" t="s">
        <v>25</v>
      </c>
      <c r="B34" t="s">
        <v>199</v>
      </c>
      <c r="C34">
        <v>1982</v>
      </c>
      <c r="D34">
        <v>5117897</v>
      </c>
    </row>
    <row r="35" spans="1:4" x14ac:dyDescent="0.25">
      <c r="A35" t="s">
        <v>25</v>
      </c>
      <c r="B35" t="s">
        <v>199</v>
      </c>
      <c r="C35">
        <v>1983</v>
      </c>
      <c r="D35">
        <v>5114468</v>
      </c>
    </row>
    <row r="36" spans="1:4" x14ac:dyDescent="0.25">
      <c r="A36" t="s">
        <v>25</v>
      </c>
      <c r="B36" t="s">
        <v>199</v>
      </c>
      <c r="C36">
        <v>1984</v>
      </c>
      <c r="D36">
        <v>5111830</v>
      </c>
    </row>
    <row r="37" spans="1:4" x14ac:dyDescent="0.25">
      <c r="A37" t="s">
        <v>25</v>
      </c>
      <c r="B37" t="s">
        <v>199</v>
      </c>
      <c r="C37">
        <v>1985</v>
      </c>
      <c r="D37">
        <v>5113878</v>
      </c>
    </row>
    <row r="38" spans="1:4" x14ac:dyDescent="0.25">
      <c r="A38" t="s">
        <v>25</v>
      </c>
      <c r="B38" t="s">
        <v>199</v>
      </c>
      <c r="C38">
        <v>1986</v>
      </c>
      <c r="D38">
        <v>5120691</v>
      </c>
    </row>
    <row r="39" spans="1:4" x14ac:dyDescent="0.25">
      <c r="A39" t="s">
        <v>25</v>
      </c>
      <c r="B39" t="s">
        <v>199</v>
      </c>
      <c r="C39">
        <v>1987</v>
      </c>
      <c r="D39">
        <v>5127135</v>
      </c>
    </row>
    <row r="40" spans="1:4" x14ac:dyDescent="0.25">
      <c r="A40" t="s">
        <v>25</v>
      </c>
      <c r="B40" t="s">
        <v>199</v>
      </c>
      <c r="C40">
        <v>1988</v>
      </c>
      <c r="D40">
        <v>5129650</v>
      </c>
    </row>
    <row r="41" spans="1:4" x14ac:dyDescent="0.25">
      <c r="A41" t="s">
        <v>25</v>
      </c>
      <c r="B41" t="s">
        <v>199</v>
      </c>
      <c r="C41">
        <v>1989</v>
      </c>
      <c r="D41">
        <v>5132717</v>
      </c>
    </row>
    <row r="42" spans="1:4" x14ac:dyDescent="0.25">
      <c r="A42" t="s">
        <v>25</v>
      </c>
      <c r="B42" t="s">
        <v>199</v>
      </c>
      <c r="C42">
        <v>1990</v>
      </c>
      <c r="D42">
        <v>5141025</v>
      </c>
    </row>
    <row r="43" spans="1:4" x14ac:dyDescent="0.25">
      <c r="A43" t="s">
        <v>25</v>
      </c>
      <c r="B43" t="s">
        <v>199</v>
      </c>
      <c r="C43">
        <v>1991</v>
      </c>
      <c r="D43">
        <v>5154346</v>
      </c>
    </row>
    <row r="44" spans="1:4" x14ac:dyDescent="0.25">
      <c r="A44" t="s">
        <v>25</v>
      </c>
      <c r="B44" t="s">
        <v>199</v>
      </c>
      <c r="C44">
        <v>1992</v>
      </c>
      <c r="D44">
        <v>5171371</v>
      </c>
    </row>
    <row r="45" spans="1:4" x14ac:dyDescent="0.25">
      <c r="A45" t="s">
        <v>25</v>
      </c>
      <c r="B45" t="s">
        <v>199</v>
      </c>
      <c r="C45">
        <v>1993</v>
      </c>
      <c r="D45">
        <v>5188639</v>
      </c>
    </row>
    <row r="46" spans="1:4" x14ac:dyDescent="0.25">
      <c r="A46" t="s">
        <v>25</v>
      </c>
      <c r="B46" t="s">
        <v>199</v>
      </c>
      <c r="C46">
        <v>1994</v>
      </c>
      <c r="D46">
        <v>5206190</v>
      </c>
    </row>
    <row r="47" spans="1:4" x14ac:dyDescent="0.25">
      <c r="A47" t="s">
        <v>25</v>
      </c>
      <c r="B47" t="s">
        <v>199</v>
      </c>
      <c r="C47">
        <v>1995</v>
      </c>
      <c r="D47">
        <v>5233363</v>
      </c>
    </row>
    <row r="48" spans="1:4" x14ac:dyDescent="0.25">
      <c r="A48" t="s">
        <v>25</v>
      </c>
      <c r="B48" t="s">
        <v>199</v>
      </c>
      <c r="C48">
        <v>1996</v>
      </c>
      <c r="D48">
        <v>5263072</v>
      </c>
    </row>
    <row r="49" spans="1:4" x14ac:dyDescent="0.25">
      <c r="A49" t="s">
        <v>25</v>
      </c>
      <c r="B49" t="s">
        <v>199</v>
      </c>
      <c r="C49">
        <v>1997</v>
      </c>
      <c r="D49">
        <v>5285041</v>
      </c>
    </row>
    <row r="50" spans="1:4" x14ac:dyDescent="0.25">
      <c r="A50" t="s">
        <v>25</v>
      </c>
      <c r="B50" t="s">
        <v>199</v>
      </c>
      <c r="C50">
        <v>1998</v>
      </c>
      <c r="D50">
        <v>5304264</v>
      </c>
    </row>
    <row r="51" spans="1:4" x14ac:dyDescent="0.25">
      <c r="A51" t="s">
        <v>25</v>
      </c>
      <c r="B51" t="s">
        <v>199</v>
      </c>
      <c r="C51">
        <v>1999</v>
      </c>
      <c r="D51">
        <v>5321814</v>
      </c>
    </row>
    <row r="52" spans="1:4" x14ac:dyDescent="0.25">
      <c r="A52" t="s">
        <v>25</v>
      </c>
      <c r="B52" t="s">
        <v>199</v>
      </c>
      <c r="C52">
        <v>2000</v>
      </c>
      <c r="D52">
        <v>5339660</v>
      </c>
    </row>
    <row r="53" spans="1:4" x14ac:dyDescent="0.25">
      <c r="A53" t="s">
        <v>25</v>
      </c>
      <c r="B53" t="s">
        <v>199</v>
      </c>
      <c r="C53">
        <v>2001</v>
      </c>
      <c r="D53">
        <v>5358825</v>
      </c>
    </row>
    <row r="54" spans="1:4" x14ac:dyDescent="0.25">
      <c r="A54" t="s">
        <v>25</v>
      </c>
      <c r="B54" t="s">
        <v>199</v>
      </c>
      <c r="C54">
        <v>2002</v>
      </c>
      <c r="D54">
        <v>5375966</v>
      </c>
    </row>
    <row r="55" spans="1:4" x14ac:dyDescent="0.25">
      <c r="A55" t="s">
        <v>25</v>
      </c>
      <c r="B55" t="s">
        <v>199</v>
      </c>
      <c r="C55">
        <v>2003</v>
      </c>
      <c r="D55">
        <v>5390622</v>
      </c>
    </row>
    <row r="56" spans="1:4" x14ac:dyDescent="0.25">
      <c r="A56" t="s">
        <v>25</v>
      </c>
      <c r="B56" t="s">
        <v>199</v>
      </c>
      <c r="C56">
        <v>2004</v>
      </c>
      <c r="D56">
        <v>5404594</v>
      </c>
    </row>
    <row r="57" spans="1:4" x14ac:dyDescent="0.25">
      <c r="A57" t="s">
        <v>25</v>
      </c>
      <c r="B57" t="s">
        <v>199</v>
      </c>
      <c r="C57">
        <v>2005</v>
      </c>
      <c r="D57">
        <v>5419551</v>
      </c>
    </row>
    <row r="58" spans="1:4" x14ac:dyDescent="0.25">
      <c r="A58" t="s">
        <v>25</v>
      </c>
      <c r="B58" t="s">
        <v>199</v>
      </c>
      <c r="C58">
        <v>2006</v>
      </c>
      <c r="D58">
        <v>5437421</v>
      </c>
    </row>
    <row r="59" spans="1:4" x14ac:dyDescent="0.25">
      <c r="A59" t="s">
        <v>25</v>
      </c>
      <c r="B59" t="s">
        <v>199</v>
      </c>
      <c r="C59">
        <v>2007</v>
      </c>
      <c r="D59">
        <v>5461604</v>
      </c>
    </row>
    <row r="60" spans="1:4" x14ac:dyDescent="0.25">
      <c r="A60" t="s">
        <v>25</v>
      </c>
      <c r="B60" t="s">
        <v>199</v>
      </c>
      <c r="C60">
        <v>2008</v>
      </c>
      <c r="D60">
        <v>5493766</v>
      </c>
    </row>
    <row r="61" spans="1:4" x14ac:dyDescent="0.25">
      <c r="A61" t="s">
        <v>25</v>
      </c>
      <c r="B61" t="s">
        <v>199</v>
      </c>
      <c r="C61">
        <v>2009</v>
      </c>
      <c r="D61">
        <v>5523168</v>
      </c>
    </row>
    <row r="62" spans="1:4" x14ac:dyDescent="0.25">
      <c r="A62" t="s">
        <v>25</v>
      </c>
      <c r="B62" t="s">
        <v>199</v>
      </c>
      <c r="C62">
        <v>2010</v>
      </c>
      <c r="D62">
        <v>5547866</v>
      </c>
    </row>
    <row r="63" spans="1:4" x14ac:dyDescent="0.25">
      <c r="A63" t="s">
        <v>25</v>
      </c>
      <c r="B63" t="s">
        <v>199</v>
      </c>
      <c r="C63">
        <v>2011</v>
      </c>
      <c r="D63">
        <v>5570846</v>
      </c>
    </row>
    <row r="64" spans="1:4" x14ac:dyDescent="0.25">
      <c r="A64" t="s">
        <v>25</v>
      </c>
      <c r="B64" t="s">
        <v>199</v>
      </c>
      <c r="C64">
        <v>2012</v>
      </c>
      <c r="D64">
        <v>5591912</v>
      </c>
    </row>
    <row r="65" spans="1:4" x14ac:dyDescent="0.25">
      <c r="A65" t="s">
        <v>25</v>
      </c>
      <c r="B65" t="s">
        <v>199</v>
      </c>
      <c r="C65">
        <v>2013</v>
      </c>
      <c r="D65">
        <v>5615334</v>
      </c>
    </row>
    <row r="66" spans="1:4" x14ac:dyDescent="0.25">
      <c r="A66" t="s">
        <v>25</v>
      </c>
      <c r="B66" t="s">
        <v>199</v>
      </c>
      <c r="C66">
        <v>2014</v>
      </c>
      <c r="D66">
        <v>5643793</v>
      </c>
    </row>
    <row r="67" spans="1:4" x14ac:dyDescent="0.25">
      <c r="A67" t="s">
        <v>25</v>
      </c>
      <c r="B67" t="s">
        <v>199</v>
      </c>
      <c r="C67">
        <v>2015</v>
      </c>
      <c r="D67">
        <v>5683698</v>
      </c>
    </row>
    <row r="68" spans="1:4" x14ac:dyDescent="0.25">
      <c r="A68" t="s">
        <v>25</v>
      </c>
      <c r="B68" t="s">
        <v>199</v>
      </c>
      <c r="C68">
        <v>2016</v>
      </c>
      <c r="D68">
        <v>5728198</v>
      </c>
    </row>
    <row r="69" spans="1:4" x14ac:dyDescent="0.25">
      <c r="A69" t="s">
        <v>25</v>
      </c>
      <c r="B69" t="s">
        <v>199</v>
      </c>
      <c r="C69">
        <v>2017</v>
      </c>
      <c r="D69">
        <v>5765168</v>
      </c>
    </row>
    <row r="70" spans="1:4" x14ac:dyDescent="0.25">
      <c r="A70" t="s">
        <v>25</v>
      </c>
      <c r="B70" t="s">
        <v>199</v>
      </c>
      <c r="C70">
        <v>2018</v>
      </c>
      <c r="D70">
        <v>5793825</v>
      </c>
    </row>
    <row r="71" spans="1:4" x14ac:dyDescent="0.25">
      <c r="A71" t="s">
        <v>25</v>
      </c>
      <c r="B71" t="s">
        <v>199</v>
      </c>
      <c r="C71">
        <v>2019</v>
      </c>
      <c r="D71">
        <v>5814619</v>
      </c>
    </row>
    <row r="72" spans="1:4" x14ac:dyDescent="0.25">
      <c r="A72" t="s">
        <v>25</v>
      </c>
      <c r="B72" t="s">
        <v>199</v>
      </c>
      <c r="C72">
        <v>2020</v>
      </c>
      <c r="D72">
        <v>5831530</v>
      </c>
    </row>
    <row r="73" spans="1:4" x14ac:dyDescent="0.25">
      <c r="A73" t="s">
        <v>25</v>
      </c>
      <c r="B73" t="s">
        <v>199</v>
      </c>
      <c r="C73">
        <v>2021</v>
      </c>
      <c r="D73">
        <v>5856773</v>
      </c>
    </row>
    <row r="74" spans="1:4" x14ac:dyDescent="0.25">
      <c r="A74" t="s">
        <v>25</v>
      </c>
      <c r="B74" t="s">
        <v>199</v>
      </c>
      <c r="C74">
        <v>2022</v>
      </c>
      <c r="D74">
        <v>5902898</v>
      </c>
    </row>
    <row r="75" spans="1:4" x14ac:dyDescent="0.25">
      <c r="A75" t="s">
        <v>25</v>
      </c>
      <c r="B75" t="s">
        <v>199</v>
      </c>
      <c r="C75">
        <v>2023</v>
      </c>
      <c r="D75">
        <v>5948134</v>
      </c>
    </row>
    <row r="76" spans="1:4" x14ac:dyDescent="0.25">
      <c r="A76" t="s">
        <v>24</v>
      </c>
      <c r="B76" t="s">
        <v>200</v>
      </c>
      <c r="C76">
        <v>1950</v>
      </c>
      <c r="D76">
        <v>69847777</v>
      </c>
    </row>
    <row r="77" spans="1:4" x14ac:dyDescent="0.25">
      <c r="A77" t="s">
        <v>24</v>
      </c>
      <c r="B77" t="s">
        <v>200</v>
      </c>
      <c r="C77">
        <v>1951</v>
      </c>
      <c r="D77">
        <v>69782048</v>
      </c>
    </row>
    <row r="78" spans="1:4" x14ac:dyDescent="0.25">
      <c r="A78" t="s">
        <v>24</v>
      </c>
      <c r="B78" t="s">
        <v>200</v>
      </c>
      <c r="C78">
        <v>1952</v>
      </c>
      <c r="D78">
        <v>69826946</v>
      </c>
    </row>
    <row r="79" spans="1:4" x14ac:dyDescent="0.25">
      <c r="A79" t="s">
        <v>24</v>
      </c>
      <c r="B79" t="s">
        <v>200</v>
      </c>
      <c r="C79">
        <v>1953</v>
      </c>
      <c r="D79">
        <v>69935116</v>
      </c>
    </row>
    <row r="80" spans="1:4" x14ac:dyDescent="0.25">
      <c r="A80" t="s">
        <v>24</v>
      </c>
      <c r="B80" t="s">
        <v>200</v>
      </c>
      <c r="C80">
        <v>1954</v>
      </c>
      <c r="D80">
        <v>70104623</v>
      </c>
    </row>
    <row r="81" spans="1:4" x14ac:dyDescent="0.25">
      <c r="A81" t="s">
        <v>24</v>
      </c>
      <c r="B81" t="s">
        <v>200</v>
      </c>
      <c r="C81">
        <v>1955</v>
      </c>
      <c r="D81">
        <v>70334148</v>
      </c>
    </row>
    <row r="82" spans="1:4" x14ac:dyDescent="0.25">
      <c r="A82" t="s">
        <v>24</v>
      </c>
      <c r="B82" t="s">
        <v>200</v>
      </c>
      <c r="C82">
        <v>1956</v>
      </c>
      <c r="D82">
        <v>70613899</v>
      </c>
    </row>
    <row r="83" spans="1:4" x14ac:dyDescent="0.25">
      <c r="A83" t="s">
        <v>24</v>
      </c>
      <c r="B83" t="s">
        <v>200</v>
      </c>
      <c r="C83">
        <v>1957</v>
      </c>
      <c r="D83">
        <v>71088144</v>
      </c>
    </row>
    <row r="84" spans="1:4" x14ac:dyDescent="0.25">
      <c r="A84" t="s">
        <v>24</v>
      </c>
      <c r="B84" t="s">
        <v>200</v>
      </c>
      <c r="C84">
        <v>1958</v>
      </c>
      <c r="D84">
        <v>71694672</v>
      </c>
    </row>
    <row r="85" spans="1:4" x14ac:dyDescent="0.25">
      <c r="A85" t="s">
        <v>24</v>
      </c>
      <c r="B85" t="s">
        <v>200</v>
      </c>
      <c r="C85">
        <v>1959</v>
      </c>
      <c r="D85">
        <v>72241715</v>
      </c>
    </row>
    <row r="86" spans="1:4" x14ac:dyDescent="0.25">
      <c r="A86" t="s">
        <v>24</v>
      </c>
      <c r="B86" t="s">
        <v>200</v>
      </c>
      <c r="C86">
        <v>1960</v>
      </c>
      <c r="D86">
        <v>72811637</v>
      </c>
    </row>
    <row r="87" spans="1:4" x14ac:dyDescent="0.25">
      <c r="A87" t="s">
        <v>24</v>
      </c>
      <c r="B87" t="s">
        <v>200</v>
      </c>
      <c r="C87">
        <v>1961</v>
      </c>
      <c r="D87">
        <v>73376111</v>
      </c>
    </row>
    <row r="88" spans="1:4" x14ac:dyDescent="0.25">
      <c r="A88" t="s">
        <v>24</v>
      </c>
      <c r="B88" t="s">
        <v>200</v>
      </c>
      <c r="C88">
        <v>1962</v>
      </c>
      <c r="D88">
        <v>73997001</v>
      </c>
    </row>
    <row r="89" spans="1:4" x14ac:dyDescent="0.25">
      <c r="A89" t="s">
        <v>24</v>
      </c>
      <c r="B89" t="s">
        <v>200</v>
      </c>
      <c r="C89">
        <v>1963</v>
      </c>
      <c r="D89">
        <v>74698006</v>
      </c>
    </row>
    <row r="90" spans="1:4" x14ac:dyDescent="0.25">
      <c r="A90" t="s">
        <v>24</v>
      </c>
      <c r="B90" t="s">
        <v>200</v>
      </c>
      <c r="C90">
        <v>1964</v>
      </c>
      <c r="D90">
        <v>75313477</v>
      </c>
    </row>
    <row r="91" spans="1:4" x14ac:dyDescent="0.25">
      <c r="A91" t="s">
        <v>24</v>
      </c>
      <c r="B91" t="s">
        <v>200</v>
      </c>
      <c r="C91">
        <v>1965</v>
      </c>
      <c r="D91">
        <v>75966964</v>
      </c>
    </row>
    <row r="92" spans="1:4" x14ac:dyDescent="0.25">
      <c r="A92" t="s">
        <v>24</v>
      </c>
      <c r="B92" t="s">
        <v>200</v>
      </c>
      <c r="C92">
        <v>1966</v>
      </c>
      <c r="D92">
        <v>76611028</v>
      </c>
    </row>
    <row r="93" spans="1:4" x14ac:dyDescent="0.25">
      <c r="A93" t="s">
        <v>24</v>
      </c>
      <c r="B93" t="s">
        <v>200</v>
      </c>
      <c r="C93">
        <v>1967</v>
      </c>
      <c r="D93">
        <v>76970793</v>
      </c>
    </row>
    <row r="94" spans="1:4" x14ac:dyDescent="0.25">
      <c r="A94" t="s">
        <v>24</v>
      </c>
      <c r="B94" t="s">
        <v>200</v>
      </c>
      <c r="C94">
        <v>1968</v>
      </c>
      <c r="D94">
        <v>77321278</v>
      </c>
    </row>
    <row r="95" spans="1:4" x14ac:dyDescent="0.25">
      <c r="A95" t="s">
        <v>24</v>
      </c>
      <c r="B95" t="s">
        <v>200</v>
      </c>
      <c r="C95">
        <v>1969</v>
      </c>
      <c r="D95">
        <v>77944023</v>
      </c>
    </row>
    <row r="96" spans="1:4" x14ac:dyDescent="0.25">
      <c r="A96" t="s">
        <v>24</v>
      </c>
      <c r="B96" t="s">
        <v>200</v>
      </c>
      <c r="C96">
        <v>1970</v>
      </c>
      <c r="D96">
        <v>78205102</v>
      </c>
    </row>
    <row r="97" spans="1:4" x14ac:dyDescent="0.25">
      <c r="A97" t="s">
        <v>24</v>
      </c>
      <c r="B97" t="s">
        <v>200</v>
      </c>
      <c r="C97">
        <v>1971</v>
      </c>
      <c r="D97">
        <v>78345873</v>
      </c>
    </row>
    <row r="98" spans="1:4" x14ac:dyDescent="0.25">
      <c r="A98" t="s">
        <v>24</v>
      </c>
      <c r="B98" t="s">
        <v>200</v>
      </c>
      <c r="C98">
        <v>1972</v>
      </c>
      <c r="D98">
        <v>78719923</v>
      </c>
    </row>
    <row r="99" spans="1:4" x14ac:dyDescent="0.25">
      <c r="A99" t="s">
        <v>24</v>
      </c>
      <c r="B99" t="s">
        <v>200</v>
      </c>
      <c r="C99">
        <v>1973</v>
      </c>
      <c r="D99">
        <v>78966976</v>
      </c>
    </row>
    <row r="100" spans="1:4" x14ac:dyDescent="0.25">
      <c r="A100" t="s">
        <v>24</v>
      </c>
      <c r="B100" t="s">
        <v>200</v>
      </c>
      <c r="C100">
        <v>1974</v>
      </c>
      <c r="D100">
        <v>78996693</v>
      </c>
    </row>
    <row r="101" spans="1:4" x14ac:dyDescent="0.25">
      <c r="A101" t="s">
        <v>24</v>
      </c>
      <c r="B101" t="s">
        <v>200</v>
      </c>
      <c r="C101">
        <v>1975</v>
      </c>
      <c r="D101">
        <v>78701861</v>
      </c>
    </row>
    <row r="102" spans="1:4" x14ac:dyDescent="0.25">
      <c r="A102" t="s">
        <v>24</v>
      </c>
      <c r="B102" t="s">
        <v>200</v>
      </c>
      <c r="C102">
        <v>1976</v>
      </c>
      <c r="D102">
        <v>78364503</v>
      </c>
    </row>
    <row r="103" spans="1:4" x14ac:dyDescent="0.25">
      <c r="A103" t="s">
        <v>24</v>
      </c>
      <c r="B103" t="s">
        <v>200</v>
      </c>
      <c r="C103">
        <v>1977</v>
      </c>
      <c r="D103">
        <v>78185560</v>
      </c>
    </row>
    <row r="104" spans="1:4" x14ac:dyDescent="0.25">
      <c r="A104" t="s">
        <v>24</v>
      </c>
      <c r="B104" t="s">
        <v>200</v>
      </c>
      <c r="C104">
        <v>1978</v>
      </c>
      <c r="D104">
        <v>78115357</v>
      </c>
    </row>
    <row r="105" spans="1:4" x14ac:dyDescent="0.25">
      <c r="A105" t="s">
        <v>24</v>
      </c>
      <c r="B105" t="s">
        <v>200</v>
      </c>
      <c r="C105">
        <v>1979</v>
      </c>
      <c r="D105">
        <v>78147899</v>
      </c>
    </row>
    <row r="106" spans="1:4" x14ac:dyDescent="0.25">
      <c r="A106" t="s">
        <v>24</v>
      </c>
      <c r="B106" t="s">
        <v>200</v>
      </c>
      <c r="C106">
        <v>1980</v>
      </c>
      <c r="D106">
        <v>78315374</v>
      </c>
    </row>
    <row r="107" spans="1:4" x14ac:dyDescent="0.25">
      <c r="A107" t="s">
        <v>24</v>
      </c>
      <c r="B107" t="s">
        <v>200</v>
      </c>
      <c r="C107">
        <v>1981</v>
      </c>
      <c r="D107">
        <v>78448044</v>
      </c>
    </row>
    <row r="108" spans="1:4" x14ac:dyDescent="0.25">
      <c r="A108" t="s">
        <v>24</v>
      </c>
      <c r="B108" t="s">
        <v>200</v>
      </c>
      <c r="C108">
        <v>1982</v>
      </c>
      <c r="D108">
        <v>78393671</v>
      </c>
    </row>
    <row r="109" spans="1:4" x14ac:dyDescent="0.25">
      <c r="A109" t="s">
        <v>24</v>
      </c>
      <c r="B109" t="s">
        <v>200</v>
      </c>
      <c r="C109">
        <v>1983</v>
      </c>
      <c r="D109">
        <v>78224137</v>
      </c>
    </row>
    <row r="110" spans="1:4" x14ac:dyDescent="0.25">
      <c r="A110" t="s">
        <v>24</v>
      </c>
      <c r="B110" t="s">
        <v>200</v>
      </c>
      <c r="C110">
        <v>1984</v>
      </c>
      <c r="D110">
        <v>77998199</v>
      </c>
    </row>
    <row r="111" spans="1:4" x14ac:dyDescent="0.25">
      <c r="A111" t="s">
        <v>24</v>
      </c>
      <c r="B111" t="s">
        <v>200</v>
      </c>
      <c r="C111">
        <v>1985</v>
      </c>
      <c r="D111">
        <v>77863423</v>
      </c>
    </row>
    <row r="112" spans="1:4" x14ac:dyDescent="0.25">
      <c r="A112" t="s">
        <v>24</v>
      </c>
      <c r="B112" t="s">
        <v>200</v>
      </c>
      <c r="C112">
        <v>1986</v>
      </c>
      <c r="D112">
        <v>77923807</v>
      </c>
    </row>
    <row r="113" spans="1:4" x14ac:dyDescent="0.25">
      <c r="A113" t="s">
        <v>24</v>
      </c>
      <c r="B113" t="s">
        <v>200</v>
      </c>
      <c r="C113">
        <v>1987</v>
      </c>
      <c r="D113">
        <v>78062321</v>
      </c>
    </row>
    <row r="114" spans="1:4" x14ac:dyDescent="0.25">
      <c r="A114" t="s">
        <v>24</v>
      </c>
      <c r="B114" t="s">
        <v>200</v>
      </c>
      <c r="C114">
        <v>1988</v>
      </c>
      <c r="D114">
        <v>78385993</v>
      </c>
    </row>
    <row r="115" spans="1:4" x14ac:dyDescent="0.25">
      <c r="A115" t="s">
        <v>24</v>
      </c>
      <c r="B115" t="s">
        <v>200</v>
      </c>
      <c r="C115">
        <v>1989</v>
      </c>
      <c r="D115">
        <v>79007063</v>
      </c>
    </row>
    <row r="116" spans="1:4" x14ac:dyDescent="0.25">
      <c r="A116" t="s">
        <v>24</v>
      </c>
      <c r="B116" t="s">
        <v>200</v>
      </c>
      <c r="C116">
        <v>1990</v>
      </c>
      <c r="D116">
        <v>79707964</v>
      </c>
    </row>
    <row r="117" spans="1:4" x14ac:dyDescent="0.25">
      <c r="A117" t="s">
        <v>24</v>
      </c>
      <c r="B117" t="s">
        <v>200</v>
      </c>
      <c r="C117">
        <v>1991</v>
      </c>
      <c r="D117">
        <v>80303189</v>
      </c>
    </row>
    <row r="118" spans="1:4" x14ac:dyDescent="0.25">
      <c r="A118" t="s">
        <v>24</v>
      </c>
      <c r="B118" t="s">
        <v>200</v>
      </c>
      <c r="C118">
        <v>1992</v>
      </c>
      <c r="D118">
        <v>80934901</v>
      </c>
    </row>
    <row r="119" spans="1:4" x14ac:dyDescent="0.25">
      <c r="A119" t="s">
        <v>24</v>
      </c>
      <c r="B119" t="s">
        <v>200</v>
      </c>
      <c r="C119">
        <v>1993</v>
      </c>
      <c r="D119">
        <v>81486770</v>
      </c>
    </row>
    <row r="120" spans="1:4" x14ac:dyDescent="0.25">
      <c r="A120" t="s">
        <v>24</v>
      </c>
      <c r="B120" t="s">
        <v>200</v>
      </c>
      <c r="C120">
        <v>1994</v>
      </c>
      <c r="D120">
        <v>81773612</v>
      </c>
    </row>
    <row r="121" spans="1:4" x14ac:dyDescent="0.25">
      <c r="A121" t="s">
        <v>24</v>
      </c>
      <c r="B121" t="s">
        <v>200</v>
      </c>
      <c r="C121">
        <v>1995</v>
      </c>
      <c r="D121">
        <v>82019890</v>
      </c>
    </row>
    <row r="122" spans="1:4" x14ac:dyDescent="0.25">
      <c r="A122" t="s">
        <v>24</v>
      </c>
      <c r="B122" t="s">
        <v>200</v>
      </c>
      <c r="C122">
        <v>1996</v>
      </c>
      <c r="D122">
        <v>82263195</v>
      </c>
    </row>
    <row r="123" spans="1:4" x14ac:dyDescent="0.25">
      <c r="A123" t="s">
        <v>24</v>
      </c>
      <c r="B123" t="s">
        <v>200</v>
      </c>
      <c r="C123">
        <v>1997</v>
      </c>
      <c r="D123">
        <v>82389631</v>
      </c>
    </row>
    <row r="124" spans="1:4" x14ac:dyDescent="0.25">
      <c r="A124" t="s">
        <v>24</v>
      </c>
      <c r="B124" t="s">
        <v>200</v>
      </c>
      <c r="C124">
        <v>1998</v>
      </c>
      <c r="D124">
        <v>82011933</v>
      </c>
    </row>
    <row r="125" spans="1:4" x14ac:dyDescent="0.25">
      <c r="A125" t="s">
        <v>24</v>
      </c>
      <c r="B125" t="s">
        <v>200</v>
      </c>
      <c r="C125">
        <v>1999</v>
      </c>
      <c r="D125">
        <v>81678279</v>
      </c>
    </row>
    <row r="126" spans="1:4" x14ac:dyDescent="0.25">
      <c r="A126" t="s">
        <v>24</v>
      </c>
      <c r="B126" t="s">
        <v>200</v>
      </c>
      <c r="C126">
        <v>2000</v>
      </c>
      <c r="D126">
        <v>81797255</v>
      </c>
    </row>
    <row r="127" spans="1:4" x14ac:dyDescent="0.25">
      <c r="A127" t="s">
        <v>24</v>
      </c>
      <c r="B127" t="s">
        <v>200</v>
      </c>
      <c r="C127">
        <v>2001</v>
      </c>
      <c r="D127">
        <v>81933883</v>
      </c>
    </row>
    <row r="128" spans="1:4" x14ac:dyDescent="0.25">
      <c r="A128" t="s">
        <v>24</v>
      </c>
      <c r="B128" t="s">
        <v>200</v>
      </c>
      <c r="C128">
        <v>2002</v>
      </c>
      <c r="D128">
        <v>82068328</v>
      </c>
    </row>
    <row r="129" spans="1:4" x14ac:dyDescent="0.25">
      <c r="A129" t="s">
        <v>24</v>
      </c>
      <c r="B129" t="s">
        <v>200</v>
      </c>
      <c r="C129">
        <v>2003</v>
      </c>
      <c r="D129">
        <v>82111619</v>
      </c>
    </row>
    <row r="130" spans="1:4" x14ac:dyDescent="0.25">
      <c r="A130" t="s">
        <v>24</v>
      </c>
      <c r="B130" t="s">
        <v>200</v>
      </c>
      <c r="C130">
        <v>2004</v>
      </c>
      <c r="D130">
        <v>82092706</v>
      </c>
    </row>
    <row r="131" spans="1:4" x14ac:dyDescent="0.25">
      <c r="A131" t="s">
        <v>24</v>
      </c>
      <c r="B131" t="s">
        <v>200</v>
      </c>
      <c r="C131">
        <v>2005</v>
      </c>
      <c r="D131">
        <v>82046731</v>
      </c>
    </row>
    <row r="132" spans="1:4" x14ac:dyDescent="0.25">
      <c r="A132" t="s">
        <v>24</v>
      </c>
      <c r="B132" t="s">
        <v>200</v>
      </c>
      <c r="C132">
        <v>2006</v>
      </c>
      <c r="D132">
        <v>81701971</v>
      </c>
    </row>
    <row r="133" spans="1:4" x14ac:dyDescent="0.25">
      <c r="A133" t="s">
        <v>24</v>
      </c>
      <c r="B133" t="s">
        <v>200</v>
      </c>
      <c r="C133">
        <v>2007</v>
      </c>
      <c r="D133">
        <v>81298546</v>
      </c>
    </row>
    <row r="134" spans="1:4" x14ac:dyDescent="0.25">
      <c r="A134" t="s">
        <v>24</v>
      </c>
      <c r="B134" t="s">
        <v>200</v>
      </c>
      <c r="C134">
        <v>2008</v>
      </c>
      <c r="D134">
        <v>81110781</v>
      </c>
    </row>
    <row r="135" spans="1:4" x14ac:dyDescent="0.25">
      <c r="A135" t="s">
        <v>24</v>
      </c>
      <c r="B135" t="s">
        <v>200</v>
      </c>
      <c r="C135">
        <v>2009</v>
      </c>
      <c r="D135">
        <v>80935275</v>
      </c>
    </row>
    <row r="136" spans="1:4" x14ac:dyDescent="0.25">
      <c r="A136" t="s">
        <v>24</v>
      </c>
      <c r="B136" t="s">
        <v>200</v>
      </c>
      <c r="C136">
        <v>2010</v>
      </c>
      <c r="D136">
        <v>80830917</v>
      </c>
    </row>
    <row r="137" spans="1:4" x14ac:dyDescent="0.25">
      <c r="A137" t="s">
        <v>24</v>
      </c>
      <c r="B137" t="s">
        <v>200</v>
      </c>
      <c r="C137">
        <v>2011</v>
      </c>
      <c r="D137">
        <v>80857877</v>
      </c>
    </row>
    <row r="138" spans="1:4" x14ac:dyDescent="0.25">
      <c r="A138" t="s">
        <v>24</v>
      </c>
      <c r="B138" t="s">
        <v>200</v>
      </c>
      <c r="C138">
        <v>2012</v>
      </c>
      <c r="D138">
        <v>80916393</v>
      </c>
    </row>
    <row r="139" spans="1:4" x14ac:dyDescent="0.25">
      <c r="A139" t="s">
        <v>24</v>
      </c>
      <c r="B139" t="s">
        <v>200</v>
      </c>
      <c r="C139">
        <v>2013</v>
      </c>
      <c r="D139">
        <v>81041580</v>
      </c>
    </row>
    <row r="140" spans="1:4" x14ac:dyDescent="0.25">
      <c r="A140" t="s">
        <v>24</v>
      </c>
      <c r="B140" t="s">
        <v>200</v>
      </c>
      <c r="C140">
        <v>2014</v>
      </c>
      <c r="D140">
        <v>81376078</v>
      </c>
    </row>
    <row r="141" spans="1:4" x14ac:dyDescent="0.25">
      <c r="A141" t="s">
        <v>24</v>
      </c>
      <c r="B141" t="s">
        <v>200</v>
      </c>
      <c r="C141">
        <v>2015</v>
      </c>
      <c r="D141">
        <v>82077546</v>
      </c>
    </row>
    <row r="142" spans="1:4" x14ac:dyDescent="0.25">
      <c r="A142" t="s">
        <v>24</v>
      </c>
      <c r="B142" t="s">
        <v>200</v>
      </c>
      <c r="C142">
        <v>2016</v>
      </c>
      <c r="D142">
        <v>82760100</v>
      </c>
    </row>
    <row r="143" spans="1:4" x14ac:dyDescent="0.25">
      <c r="A143" t="s">
        <v>24</v>
      </c>
      <c r="B143" t="s">
        <v>200</v>
      </c>
      <c r="C143">
        <v>2017</v>
      </c>
      <c r="D143">
        <v>83104012</v>
      </c>
    </row>
    <row r="144" spans="1:4" x14ac:dyDescent="0.25">
      <c r="A144" t="s">
        <v>24</v>
      </c>
      <c r="B144" t="s">
        <v>200</v>
      </c>
      <c r="C144">
        <v>2018</v>
      </c>
      <c r="D144">
        <v>83368506</v>
      </c>
    </row>
    <row r="145" spans="1:4" x14ac:dyDescent="0.25">
      <c r="A145" t="s">
        <v>24</v>
      </c>
      <c r="B145" t="s">
        <v>200</v>
      </c>
      <c r="C145">
        <v>2019</v>
      </c>
      <c r="D145">
        <v>83559185</v>
      </c>
    </row>
    <row r="146" spans="1:4" x14ac:dyDescent="0.25">
      <c r="A146" t="s">
        <v>24</v>
      </c>
      <c r="B146" t="s">
        <v>200</v>
      </c>
      <c r="C146">
        <v>2020</v>
      </c>
      <c r="D146">
        <v>83628711</v>
      </c>
    </row>
    <row r="147" spans="1:4" x14ac:dyDescent="0.25">
      <c r="A147" t="s">
        <v>24</v>
      </c>
      <c r="B147" t="s">
        <v>200</v>
      </c>
      <c r="C147">
        <v>2021</v>
      </c>
      <c r="D147">
        <v>83697082</v>
      </c>
    </row>
    <row r="148" spans="1:4" x14ac:dyDescent="0.25">
      <c r="A148" t="s">
        <v>24</v>
      </c>
      <c r="B148" t="s">
        <v>200</v>
      </c>
      <c r="C148">
        <v>2022</v>
      </c>
      <c r="D148">
        <v>84086228</v>
      </c>
    </row>
    <row r="149" spans="1:4" x14ac:dyDescent="0.25">
      <c r="A149" t="s">
        <v>24</v>
      </c>
      <c r="B149" t="s">
        <v>200</v>
      </c>
      <c r="C149">
        <v>2023</v>
      </c>
      <c r="D149">
        <v>84548234</v>
      </c>
    </row>
    <row r="150" spans="1:4" x14ac:dyDescent="0.25">
      <c r="A150" t="s">
        <v>201</v>
      </c>
      <c r="B150" t="s">
        <v>202</v>
      </c>
      <c r="C150">
        <v>1950</v>
      </c>
      <c r="D150">
        <v>4692642</v>
      </c>
    </row>
    <row r="151" spans="1:4" x14ac:dyDescent="0.25">
      <c r="A151" t="s">
        <v>201</v>
      </c>
      <c r="B151" t="s">
        <v>202</v>
      </c>
      <c r="C151">
        <v>1951</v>
      </c>
      <c r="D151">
        <v>4748088</v>
      </c>
    </row>
    <row r="152" spans="1:4" x14ac:dyDescent="0.25">
      <c r="A152" t="s">
        <v>201</v>
      </c>
      <c r="B152" t="s">
        <v>202</v>
      </c>
      <c r="C152">
        <v>1952</v>
      </c>
      <c r="D152">
        <v>4811614</v>
      </c>
    </row>
    <row r="153" spans="1:4" x14ac:dyDescent="0.25">
      <c r="A153" t="s">
        <v>201</v>
      </c>
      <c r="B153" t="s">
        <v>202</v>
      </c>
      <c r="C153">
        <v>1953</v>
      </c>
      <c r="D153">
        <v>4875655</v>
      </c>
    </row>
    <row r="154" spans="1:4" x14ac:dyDescent="0.25">
      <c r="A154" t="s">
        <v>201</v>
      </c>
      <c r="B154" t="s">
        <v>202</v>
      </c>
      <c r="C154">
        <v>1954</v>
      </c>
      <c r="D154">
        <v>4938751</v>
      </c>
    </row>
    <row r="155" spans="1:4" x14ac:dyDescent="0.25">
      <c r="A155" t="s">
        <v>201</v>
      </c>
      <c r="B155" t="s">
        <v>202</v>
      </c>
      <c r="C155">
        <v>1955</v>
      </c>
      <c r="D155">
        <v>5002116</v>
      </c>
    </row>
    <row r="156" spans="1:4" x14ac:dyDescent="0.25">
      <c r="A156" t="s">
        <v>201</v>
      </c>
      <c r="B156" t="s">
        <v>202</v>
      </c>
      <c r="C156">
        <v>1956</v>
      </c>
      <c r="D156">
        <v>5065626</v>
      </c>
    </row>
    <row r="157" spans="1:4" x14ac:dyDescent="0.25">
      <c r="A157" t="s">
        <v>201</v>
      </c>
      <c r="B157" t="s">
        <v>202</v>
      </c>
      <c r="C157">
        <v>1957</v>
      </c>
      <c r="D157">
        <v>5130170</v>
      </c>
    </row>
    <row r="158" spans="1:4" x14ac:dyDescent="0.25">
      <c r="A158" t="s">
        <v>201</v>
      </c>
      <c r="B158" t="s">
        <v>202</v>
      </c>
      <c r="C158">
        <v>1958</v>
      </c>
      <c r="D158">
        <v>5196449</v>
      </c>
    </row>
    <row r="159" spans="1:4" x14ac:dyDescent="0.25">
      <c r="A159" t="s">
        <v>201</v>
      </c>
      <c r="B159" t="s">
        <v>202</v>
      </c>
      <c r="C159">
        <v>1959</v>
      </c>
      <c r="D159">
        <v>5262809</v>
      </c>
    </row>
    <row r="160" spans="1:4" x14ac:dyDescent="0.25">
      <c r="A160" t="s">
        <v>201</v>
      </c>
      <c r="B160" t="s">
        <v>202</v>
      </c>
      <c r="C160">
        <v>1960</v>
      </c>
      <c r="D160">
        <v>5327776</v>
      </c>
    </row>
    <row r="161" spans="1:4" x14ac:dyDescent="0.25">
      <c r="A161" t="s">
        <v>201</v>
      </c>
      <c r="B161" t="s">
        <v>202</v>
      </c>
      <c r="C161">
        <v>1961</v>
      </c>
      <c r="D161">
        <v>5434125</v>
      </c>
    </row>
    <row r="162" spans="1:4" x14ac:dyDescent="0.25">
      <c r="A162" t="s">
        <v>201</v>
      </c>
      <c r="B162" t="s">
        <v>202</v>
      </c>
      <c r="C162">
        <v>1962</v>
      </c>
      <c r="D162">
        <v>5573701</v>
      </c>
    </row>
    <row r="163" spans="1:4" x14ac:dyDescent="0.25">
      <c r="A163" t="s">
        <v>201</v>
      </c>
      <c r="B163" t="s">
        <v>202</v>
      </c>
      <c r="C163">
        <v>1963</v>
      </c>
      <c r="D163">
        <v>5694162</v>
      </c>
    </row>
    <row r="164" spans="1:4" x14ac:dyDescent="0.25">
      <c r="A164" t="s">
        <v>201</v>
      </c>
      <c r="B164" t="s">
        <v>202</v>
      </c>
      <c r="C164">
        <v>1964</v>
      </c>
      <c r="D164">
        <v>5789156</v>
      </c>
    </row>
    <row r="165" spans="1:4" x14ac:dyDescent="0.25">
      <c r="A165" t="s">
        <v>201</v>
      </c>
      <c r="B165" t="s">
        <v>202</v>
      </c>
      <c r="C165">
        <v>1965</v>
      </c>
      <c r="D165">
        <v>5856417</v>
      </c>
    </row>
    <row r="166" spans="1:4" x14ac:dyDescent="0.25">
      <c r="A166" t="s">
        <v>201</v>
      </c>
      <c r="B166" t="s">
        <v>202</v>
      </c>
      <c r="C166">
        <v>1966</v>
      </c>
      <c r="D166">
        <v>5917969</v>
      </c>
    </row>
    <row r="167" spans="1:4" x14ac:dyDescent="0.25">
      <c r="A167" t="s">
        <v>201</v>
      </c>
      <c r="B167" t="s">
        <v>202</v>
      </c>
      <c r="C167">
        <v>1967</v>
      </c>
      <c r="D167">
        <v>5991734</v>
      </c>
    </row>
    <row r="168" spans="1:4" x14ac:dyDescent="0.25">
      <c r="A168" t="s">
        <v>201</v>
      </c>
      <c r="B168" t="s">
        <v>202</v>
      </c>
      <c r="C168">
        <v>1968</v>
      </c>
      <c r="D168">
        <v>6067659</v>
      </c>
    </row>
    <row r="169" spans="1:4" x14ac:dyDescent="0.25">
      <c r="A169" t="s">
        <v>201</v>
      </c>
      <c r="B169" t="s">
        <v>202</v>
      </c>
      <c r="C169">
        <v>1969</v>
      </c>
      <c r="D169">
        <v>6136354</v>
      </c>
    </row>
    <row r="170" spans="1:4" x14ac:dyDescent="0.25">
      <c r="A170" t="s">
        <v>201</v>
      </c>
      <c r="B170" t="s">
        <v>202</v>
      </c>
      <c r="C170">
        <v>1970</v>
      </c>
      <c r="D170">
        <v>6180925</v>
      </c>
    </row>
    <row r="171" spans="1:4" x14ac:dyDescent="0.25">
      <c r="A171" t="s">
        <v>201</v>
      </c>
      <c r="B171" t="s">
        <v>202</v>
      </c>
      <c r="C171">
        <v>1971</v>
      </c>
      <c r="D171">
        <v>6213535</v>
      </c>
    </row>
    <row r="172" spans="1:4" x14ac:dyDescent="0.25">
      <c r="A172" t="s">
        <v>201</v>
      </c>
      <c r="B172" t="s">
        <v>202</v>
      </c>
      <c r="C172">
        <v>1972</v>
      </c>
      <c r="D172">
        <v>6261087</v>
      </c>
    </row>
    <row r="173" spans="1:4" x14ac:dyDescent="0.25">
      <c r="A173" t="s">
        <v>201</v>
      </c>
      <c r="B173" t="s">
        <v>202</v>
      </c>
      <c r="C173">
        <v>1973</v>
      </c>
      <c r="D173">
        <v>6307408</v>
      </c>
    </row>
    <row r="174" spans="1:4" x14ac:dyDescent="0.25">
      <c r="A174" t="s">
        <v>201</v>
      </c>
      <c r="B174" t="s">
        <v>202</v>
      </c>
      <c r="C174">
        <v>1974</v>
      </c>
      <c r="D174">
        <v>6341381</v>
      </c>
    </row>
    <row r="175" spans="1:4" x14ac:dyDescent="0.25">
      <c r="A175" t="s">
        <v>201</v>
      </c>
      <c r="B175" t="s">
        <v>202</v>
      </c>
      <c r="C175">
        <v>1975</v>
      </c>
      <c r="D175">
        <v>6338600</v>
      </c>
    </row>
    <row r="176" spans="1:4" x14ac:dyDescent="0.25">
      <c r="A176" t="s">
        <v>201</v>
      </c>
      <c r="B176" t="s">
        <v>202</v>
      </c>
      <c r="C176">
        <v>1976</v>
      </c>
      <c r="D176">
        <v>6302555</v>
      </c>
    </row>
    <row r="177" spans="1:4" x14ac:dyDescent="0.25">
      <c r="A177" t="s">
        <v>201</v>
      </c>
      <c r="B177" t="s">
        <v>202</v>
      </c>
      <c r="C177">
        <v>1977</v>
      </c>
      <c r="D177">
        <v>6281365</v>
      </c>
    </row>
    <row r="178" spans="1:4" x14ac:dyDescent="0.25">
      <c r="A178" t="s">
        <v>201</v>
      </c>
      <c r="B178" t="s">
        <v>202</v>
      </c>
      <c r="C178">
        <v>1978</v>
      </c>
      <c r="D178">
        <v>6282044</v>
      </c>
    </row>
    <row r="179" spans="1:4" x14ac:dyDescent="0.25">
      <c r="A179" t="s">
        <v>201</v>
      </c>
      <c r="B179" t="s">
        <v>202</v>
      </c>
      <c r="C179">
        <v>1979</v>
      </c>
      <c r="D179">
        <v>6294719</v>
      </c>
    </row>
    <row r="180" spans="1:4" x14ac:dyDescent="0.25">
      <c r="A180" t="s">
        <v>201</v>
      </c>
      <c r="B180" t="s">
        <v>202</v>
      </c>
      <c r="C180">
        <v>1980</v>
      </c>
      <c r="D180">
        <v>6319848</v>
      </c>
    </row>
    <row r="181" spans="1:4" x14ac:dyDescent="0.25">
      <c r="A181" t="s">
        <v>201</v>
      </c>
      <c r="B181" t="s">
        <v>202</v>
      </c>
      <c r="C181">
        <v>1981</v>
      </c>
      <c r="D181">
        <v>6354561</v>
      </c>
    </row>
    <row r="182" spans="1:4" x14ac:dyDescent="0.25">
      <c r="A182" t="s">
        <v>201</v>
      </c>
      <c r="B182" t="s">
        <v>202</v>
      </c>
      <c r="C182">
        <v>1982</v>
      </c>
      <c r="D182">
        <v>6391805</v>
      </c>
    </row>
    <row r="183" spans="1:4" x14ac:dyDescent="0.25">
      <c r="A183" t="s">
        <v>201</v>
      </c>
      <c r="B183" t="s">
        <v>202</v>
      </c>
      <c r="C183">
        <v>1983</v>
      </c>
      <c r="D183">
        <v>6419309</v>
      </c>
    </row>
    <row r="184" spans="1:4" x14ac:dyDescent="0.25">
      <c r="A184" t="s">
        <v>201</v>
      </c>
      <c r="B184" t="s">
        <v>202</v>
      </c>
      <c r="C184">
        <v>1984</v>
      </c>
      <c r="D184">
        <v>6442418</v>
      </c>
    </row>
    <row r="185" spans="1:4" x14ac:dyDescent="0.25">
      <c r="A185" t="s">
        <v>201</v>
      </c>
      <c r="B185" t="s">
        <v>202</v>
      </c>
      <c r="C185">
        <v>1985</v>
      </c>
      <c r="D185">
        <v>6470959</v>
      </c>
    </row>
    <row r="186" spans="1:4" x14ac:dyDescent="0.25">
      <c r="A186" t="s">
        <v>201</v>
      </c>
      <c r="B186" t="s">
        <v>202</v>
      </c>
      <c r="C186">
        <v>1986</v>
      </c>
      <c r="D186">
        <v>6504748</v>
      </c>
    </row>
    <row r="187" spans="1:4" x14ac:dyDescent="0.25">
      <c r="A187" t="s">
        <v>201</v>
      </c>
      <c r="B187" t="s">
        <v>202</v>
      </c>
      <c r="C187">
        <v>1987</v>
      </c>
      <c r="D187">
        <v>6545771</v>
      </c>
    </row>
    <row r="188" spans="1:4" x14ac:dyDescent="0.25">
      <c r="A188" t="s">
        <v>201</v>
      </c>
      <c r="B188" t="s">
        <v>202</v>
      </c>
      <c r="C188">
        <v>1988</v>
      </c>
      <c r="D188">
        <v>6594145</v>
      </c>
    </row>
    <row r="189" spans="1:4" x14ac:dyDescent="0.25">
      <c r="A189" t="s">
        <v>201</v>
      </c>
      <c r="B189" t="s">
        <v>202</v>
      </c>
      <c r="C189">
        <v>1989</v>
      </c>
      <c r="D189">
        <v>6647786</v>
      </c>
    </row>
    <row r="190" spans="1:4" x14ac:dyDescent="0.25">
      <c r="A190" t="s">
        <v>201</v>
      </c>
      <c r="B190" t="s">
        <v>202</v>
      </c>
      <c r="C190">
        <v>1990</v>
      </c>
      <c r="D190">
        <v>6713167</v>
      </c>
    </row>
    <row r="191" spans="1:4" x14ac:dyDescent="0.25">
      <c r="A191" t="s">
        <v>201</v>
      </c>
      <c r="B191" t="s">
        <v>202</v>
      </c>
      <c r="C191">
        <v>1991</v>
      </c>
      <c r="D191">
        <v>6796942</v>
      </c>
    </row>
    <row r="192" spans="1:4" x14ac:dyDescent="0.25">
      <c r="A192" t="s">
        <v>201</v>
      </c>
      <c r="B192" t="s">
        <v>202</v>
      </c>
      <c r="C192">
        <v>1992</v>
      </c>
      <c r="D192">
        <v>6875049</v>
      </c>
    </row>
    <row r="193" spans="1:4" x14ac:dyDescent="0.25">
      <c r="A193" t="s">
        <v>201</v>
      </c>
      <c r="B193" t="s">
        <v>202</v>
      </c>
      <c r="C193">
        <v>1993</v>
      </c>
      <c r="D193">
        <v>6938107</v>
      </c>
    </row>
    <row r="194" spans="1:4" x14ac:dyDescent="0.25">
      <c r="A194" t="s">
        <v>201</v>
      </c>
      <c r="B194" t="s">
        <v>202</v>
      </c>
      <c r="C194">
        <v>1994</v>
      </c>
      <c r="D194">
        <v>6993594</v>
      </c>
    </row>
    <row r="195" spans="1:4" x14ac:dyDescent="0.25">
      <c r="A195" t="s">
        <v>201</v>
      </c>
      <c r="B195" t="s">
        <v>202</v>
      </c>
      <c r="C195">
        <v>1995</v>
      </c>
      <c r="D195">
        <v>7040481</v>
      </c>
    </row>
    <row r="196" spans="1:4" x14ac:dyDescent="0.25">
      <c r="A196" t="s">
        <v>201</v>
      </c>
      <c r="B196" t="s">
        <v>202</v>
      </c>
      <c r="C196">
        <v>1996</v>
      </c>
      <c r="D196">
        <v>7071884</v>
      </c>
    </row>
    <row r="197" spans="1:4" x14ac:dyDescent="0.25">
      <c r="A197" t="s">
        <v>201</v>
      </c>
      <c r="B197" t="s">
        <v>202</v>
      </c>
      <c r="C197">
        <v>1997</v>
      </c>
      <c r="D197">
        <v>7089163</v>
      </c>
    </row>
    <row r="198" spans="1:4" x14ac:dyDescent="0.25">
      <c r="A198" t="s">
        <v>201</v>
      </c>
      <c r="B198" t="s">
        <v>202</v>
      </c>
      <c r="C198">
        <v>1998</v>
      </c>
      <c r="D198">
        <v>7110294</v>
      </c>
    </row>
    <row r="199" spans="1:4" x14ac:dyDescent="0.25">
      <c r="A199" t="s">
        <v>201</v>
      </c>
      <c r="B199" t="s">
        <v>202</v>
      </c>
      <c r="C199">
        <v>1999</v>
      </c>
      <c r="D199">
        <v>7144118</v>
      </c>
    </row>
    <row r="200" spans="1:4" x14ac:dyDescent="0.25">
      <c r="A200" t="s">
        <v>201</v>
      </c>
      <c r="B200" t="s">
        <v>202</v>
      </c>
      <c r="C200">
        <v>2000</v>
      </c>
      <c r="D200">
        <v>7184003</v>
      </c>
    </row>
    <row r="201" spans="1:4" x14ac:dyDescent="0.25">
      <c r="A201" t="s">
        <v>201</v>
      </c>
      <c r="B201" t="s">
        <v>202</v>
      </c>
      <c r="C201">
        <v>2001</v>
      </c>
      <c r="D201">
        <v>7226391</v>
      </c>
    </row>
    <row r="202" spans="1:4" x14ac:dyDescent="0.25">
      <c r="A202" t="s">
        <v>201</v>
      </c>
      <c r="B202" t="s">
        <v>202</v>
      </c>
      <c r="C202">
        <v>2002</v>
      </c>
      <c r="D202">
        <v>7278744</v>
      </c>
    </row>
    <row r="203" spans="1:4" x14ac:dyDescent="0.25">
      <c r="A203" t="s">
        <v>201</v>
      </c>
      <c r="B203" t="s">
        <v>202</v>
      </c>
      <c r="C203">
        <v>2003</v>
      </c>
      <c r="D203">
        <v>7333450</v>
      </c>
    </row>
    <row r="204" spans="1:4" x14ac:dyDescent="0.25">
      <c r="A204" t="s">
        <v>201</v>
      </c>
      <c r="B204" t="s">
        <v>202</v>
      </c>
      <c r="C204">
        <v>2004</v>
      </c>
      <c r="D204">
        <v>7384196</v>
      </c>
    </row>
    <row r="205" spans="1:4" x14ac:dyDescent="0.25">
      <c r="A205" t="s">
        <v>201</v>
      </c>
      <c r="B205" t="s">
        <v>202</v>
      </c>
      <c r="C205">
        <v>2005</v>
      </c>
      <c r="D205">
        <v>7431824</v>
      </c>
    </row>
    <row r="206" spans="1:4" x14ac:dyDescent="0.25">
      <c r="A206" t="s">
        <v>201</v>
      </c>
      <c r="B206" t="s">
        <v>202</v>
      </c>
      <c r="C206">
        <v>2006</v>
      </c>
      <c r="D206">
        <v>7478514</v>
      </c>
    </row>
    <row r="207" spans="1:4" x14ac:dyDescent="0.25">
      <c r="A207" t="s">
        <v>201</v>
      </c>
      <c r="B207" t="s">
        <v>202</v>
      </c>
      <c r="C207">
        <v>2007</v>
      </c>
      <c r="D207">
        <v>7545386</v>
      </c>
    </row>
    <row r="208" spans="1:4" x14ac:dyDescent="0.25">
      <c r="A208" t="s">
        <v>201</v>
      </c>
      <c r="B208" t="s">
        <v>202</v>
      </c>
      <c r="C208">
        <v>2008</v>
      </c>
      <c r="D208">
        <v>7641729</v>
      </c>
    </row>
    <row r="209" spans="1:4" x14ac:dyDescent="0.25">
      <c r="A209" t="s">
        <v>201</v>
      </c>
      <c r="B209" t="s">
        <v>202</v>
      </c>
      <c r="C209">
        <v>2009</v>
      </c>
      <c r="D209">
        <v>7737642</v>
      </c>
    </row>
    <row r="210" spans="1:4" x14ac:dyDescent="0.25">
      <c r="A210" t="s">
        <v>201</v>
      </c>
      <c r="B210" t="s">
        <v>202</v>
      </c>
      <c r="C210">
        <v>2010</v>
      </c>
      <c r="D210">
        <v>7825751</v>
      </c>
    </row>
    <row r="211" spans="1:4" x14ac:dyDescent="0.25">
      <c r="A211" t="s">
        <v>201</v>
      </c>
      <c r="B211" t="s">
        <v>202</v>
      </c>
      <c r="C211">
        <v>2011</v>
      </c>
      <c r="D211">
        <v>7914378</v>
      </c>
    </row>
    <row r="212" spans="1:4" x14ac:dyDescent="0.25">
      <c r="A212" t="s">
        <v>201</v>
      </c>
      <c r="B212" t="s">
        <v>202</v>
      </c>
      <c r="C212">
        <v>2012</v>
      </c>
      <c r="D212">
        <v>7998927</v>
      </c>
    </row>
    <row r="213" spans="1:4" x14ac:dyDescent="0.25">
      <c r="A213" t="s">
        <v>201</v>
      </c>
      <c r="B213" t="s">
        <v>202</v>
      </c>
      <c r="C213">
        <v>2013</v>
      </c>
      <c r="D213">
        <v>8091197</v>
      </c>
    </row>
    <row r="214" spans="1:4" x14ac:dyDescent="0.25">
      <c r="A214" t="s">
        <v>201</v>
      </c>
      <c r="B214" t="s">
        <v>202</v>
      </c>
      <c r="C214">
        <v>2014</v>
      </c>
      <c r="D214">
        <v>8190238</v>
      </c>
    </row>
    <row r="215" spans="1:4" x14ac:dyDescent="0.25">
      <c r="A215" t="s">
        <v>201</v>
      </c>
      <c r="B215" t="s">
        <v>202</v>
      </c>
      <c r="C215">
        <v>2015</v>
      </c>
      <c r="D215">
        <v>8283940</v>
      </c>
    </row>
    <row r="216" spans="1:4" x14ac:dyDescent="0.25">
      <c r="A216" t="s">
        <v>201</v>
      </c>
      <c r="B216" t="s">
        <v>202</v>
      </c>
      <c r="C216">
        <v>2016</v>
      </c>
      <c r="D216">
        <v>8374902</v>
      </c>
    </row>
    <row r="217" spans="1:4" x14ac:dyDescent="0.25">
      <c r="A217" t="s">
        <v>201</v>
      </c>
      <c r="B217" t="s">
        <v>202</v>
      </c>
      <c r="C217">
        <v>2017</v>
      </c>
      <c r="D217">
        <v>8453628</v>
      </c>
    </row>
    <row r="218" spans="1:4" x14ac:dyDescent="0.25">
      <c r="A218" t="s">
        <v>201</v>
      </c>
      <c r="B218" t="s">
        <v>202</v>
      </c>
      <c r="C218">
        <v>2018</v>
      </c>
      <c r="D218">
        <v>8516339</v>
      </c>
    </row>
    <row r="219" spans="1:4" x14ac:dyDescent="0.25">
      <c r="A219" t="s">
        <v>201</v>
      </c>
      <c r="B219" t="s">
        <v>202</v>
      </c>
      <c r="C219">
        <v>2019</v>
      </c>
      <c r="D219">
        <v>8577526</v>
      </c>
    </row>
    <row r="220" spans="1:4" x14ac:dyDescent="0.25">
      <c r="A220" t="s">
        <v>201</v>
      </c>
      <c r="B220" t="s">
        <v>202</v>
      </c>
      <c r="C220">
        <v>2020</v>
      </c>
      <c r="D220">
        <v>8640582</v>
      </c>
    </row>
    <row r="221" spans="1:4" x14ac:dyDescent="0.25">
      <c r="A221" t="s">
        <v>201</v>
      </c>
      <c r="B221" t="s">
        <v>202</v>
      </c>
      <c r="C221">
        <v>2021</v>
      </c>
      <c r="D221">
        <v>8707018</v>
      </c>
    </row>
    <row r="222" spans="1:4" x14ac:dyDescent="0.25">
      <c r="A222" t="s">
        <v>201</v>
      </c>
      <c r="B222" t="s">
        <v>202</v>
      </c>
      <c r="C222">
        <v>2022</v>
      </c>
      <c r="D222">
        <v>8792180</v>
      </c>
    </row>
    <row r="223" spans="1:4" x14ac:dyDescent="0.25">
      <c r="A223" t="s">
        <v>201</v>
      </c>
      <c r="B223" t="s">
        <v>202</v>
      </c>
      <c r="C223">
        <v>2023</v>
      </c>
      <c r="D223">
        <v>8870564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8D16-9405-954E-B9C3-FC2482A5DC44}">
  <dimension ref="A1:D403"/>
  <sheetViews>
    <sheetView topLeftCell="A337" workbookViewId="0"/>
  </sheetViews>
  <sheetFormatPr defaultColWidth="11" defaultRowHeight="15.75" x14ac:dyDescent="0.25"/>
  <cols>
    <col min="1" max="1" width="10.5" bestFit="1" customWidth="1"/>
    <col min="2" max="2" width="8" bestFit="1" customWidth="1"/>
    <col min="3" max="3" width="7.375" bestFit="1" customWidth="1"/>
    <col min="4" max="4" width="22.125" bestFit="1" customWidth="1"/>
  </cols>
  <sheetData>
    <row r="1" spans="1:4" x14ac:dyDescent="0.25">
      <c r="A1" t="s">
        <v>67</v>
      </c>
      <c r="B1" t="s">
        <v>68</v>
      </c>
      <c r="C1" t="s">
        <v>69</v>
      </c>
      <c r="D1" t="s">
        <v>70</v>
      </c>
    </row>
    <row r="2" spans="1:4" x14ac:dyDescent="0.25">
      <c r="A2" t="s">
        <v>27</v>
      </c>
      <c r="B2" t="s">
        <v>203</v>
      </c>
      <c r="C2">
        <v>1890</v>
      </c>
      <c r="D2">
        <v>25777945</v>
      </c>
    </row>
    <row r="3" spans="1:4" x14ac:dyDescent="0.25">
      <c r="A3" t="s">
        <v>27</v>
      </c>
      <c r="B3" t="s">
        <v>203</v>
      </c>
      <c r="C3">
        <v>1891</v>
      </c>
      <c r="D3">
        <v>25883723</v>
      </c>
    </row>
    <row r="4" spans="1:4" x14ac:dyDescent="0.25">
      <c r="A4" t="s">
        <v>27</v>
      </c>
      <c r="B4" t="s">
        <v>203</v>
      </c>
      <c r="C4">
        <v>1892</v>
      </c>
      <c r="D4">
        <v>25989810</v>
      </c>
    </row>
    <row r="5" spans="1:4" x14ac:dyDescent="0.25">
      <c r="A5" t="s">
        <v>27</v>
      </c>
      <c r="B5" t="s">
        <v>203</v>
      </c>
      <c r="C5">
        <v>1893</v>
      </c>
      <c r="D5">
        <v>26096205</v>
      </c>
    </row>
    <row r="6" spans="1:4" x14ac:dyDescent="0.25">
      <c r="A6" t="s">
        <v>27</v>
      </c>
      <c r="B6" t="s">
        <v>203</v>
      </c>
      <c r="C6">
        <v>1894</v>
      </c>
      <c r="D6">
        <v>26202910</v>
      </c>
    </row>
    <row r="7" spans="1:4" x14ac:dyDescent="0.25">
      <c r="A7" t="s">
        <v>27</v>
      </c>
      <c r="B7" t="s">
        <v>203</v>
      </c>
      <c r="C7">
        <v>1895</v>
      </c>
      <c r="D7">
        <v>26309922</v>
      </c>
    </row>
    <row r="8" spans="1:4" x14ac:dyDescent="0.25">
      <c r="A8" t="s">
        <v>27</v>
      </c>
      <c r="B8" t="s">
        <v>203</v>
      </c>
      <c r="C8">
        <v>1896</v>
      </c>
      <c r="D8">
        <v>26417242</v>
      </c>
    </row>
    <row r="9" spans="1:4" x14ac:dyDescent="0.25">
      <c r="A9" t="s">
        <v>27</v>
      </c>
      <c r="B9" t="s">
        <v>203</v>
      </c>
      <c r="C9">
        <v>1897</v>
      </c>
      <c r="D9">
        <v>26524870</v>
      </c>
    </row>
    <row r="10" spans="1:4" x14ac:dyDescent="0.25">
      <c r="A10" t="s">
        <v>27</v>
      </c>
      <c r="B10" t="s">
        <v>203</v>
      </c>
      <c r="C10">
        <v>1898</v>
      </c>
      <c r="D10">
        <v>26632805</v>
      </c>
    </row>
    <row r="11" spans="1:4" x14ac:dyDescent="0.25">
      <c r="A11" t="s">
        <v>27</v>
      </c>
      <c r="B11" t="s">
        <v>203</v>
      </c>
      <c r="C11">
        <v>1899</v>
      </c>
      <c r="D11">
        <v>26741047</v>
      </c>
    </row>
    <row r="12" spans="1:4" x14ac:dyDescent="0.25">
      <c r="A12" t="s">
        <v>27</v>
      </c>
      <c r="B12" t="s">
        <v>203</v>
      </c>
      <c r="C12">
        <v>1900</v>
      </c>
      <c r="D12">
        <v>26849595</v>
      </c>
    </row>
    <row r="13" spans="1:4" x14ac:dyDescent="0.25">
      <c r="A13" t="s">
        <v>27</v>
      </c>
      <c r="B13" t="s">
        <v>203</v>
      </c>
      <c r="C13">
        <v>1901</v>
      </c>
      <c r="D13">
        <v>26958449</v>
      </c>
    </row>
    <row r="14" spans="1:4" x14ac:dyDescent="0.25">
      <c r="A14" t="s">
        <v>27</v>
      </c>
      <c r="B14" t="s">
        <v>203</v>
      </c>
      <c r="C14">
        <v>1902</v>
      </c>
      <c r="D14">
        <v>27067609</v>
      </c>
    </row>
    <row r="15" spans="1:4" x14ac:dyDescent="0.25">
      <c r="A15" t="s">
        <v>27</v>
      </c>
      <c r="B15" t="s">
        <v>203</v>
      </c>
      <c r="C15">
        <v>1903</v>
      </c>
      <c r="D15">
        <v>27177073</v>
      </c>
    </row>
    <row r="16" spans="1:4" x14ac:dyDescent="0.25">
      <c r="A16" t="s">
        <v>27</v>
      </c>
      <c r="B16" t="s">
        <v>203</v>
      </c>
      <c r="C16">
        <v>1904</v>
      </c>
      <c r="D16">
        <v>27286841</v>
      </c>
    </row>
    <row r="17" spans="1:4" x14ac:dyDescent="0.25">
      <c r="A17" t="s">
        <v>27</v>
      </c>
      <c r="B17" t="s">
        <v>203</v>
      </c>
      <c r="C17">
        <v>1905</v>
      </c>
      <c r="D17">
        <v>27396914</v>
      </c>
    </row>
    <row r="18" spans="1:4" x14ac:dyDescent="0.25">
      <c r="A18" t="s">
        <v>27</v>
      </c>
      <c r="B18" t="s">
        <v>203</v>
      </c>
      <c r="C18">
        <v>1906</v>
      </c>
      <c r="D18">
        <v>27507290</v>
      </c>
    </row>
    <row r="19" spans="1:4" x14ac:dyDescent="0.25">
      <c r="A19" t="s">
        <v>27</v>
      </c>
      <c r="B19" t="s">
        <v>203</v>
      </c>
      <c r="C19">
        <v>1907</v>
      </c>
      <c r="D19">
        <v>27617969</v>
      </c>
    </row>
    <row r="20" spans="1:4" x14ac:dyDescent="0.25">
      <c r="A20" t="s">
        <v>27</v>
      </c>
      <c r="B20" t="s">
        <v>203</v>
      </c>
      <c r="C20">
        <v>1908</v>
      </c>
      <c r="D20">
        <v>27728950</v>
      </c>
    </row>
    <row r="21" spans="1:4" x14ac:dyDescent="0.25">
      <c r="A21" t="s">
        <v>27</v>
      </c>
      <c r="B21" t="s">
        <v>203</v>
      </c>
      <c r="C21">
        <v>1909</v>
      </c>
      <c r="D21">
        <v>27827316</v>
      </c>
    </row>
    <row r="22" spans="1:4" x14ac:dyDescent="0.25">
      <c r="A22" t="s">
        <v>27</v>
      </c>
      <c r="B22" t="s">
        <v>203</v>
      </c>
      <c r="C22">
        <v>1910</v>
      </c>
      <c r="D22">
        <v>27913022</v>
      </c>
    </row>
    <row r="23" spans="1:4" x14ac:dyDescent="0.25">
      <c r="A23" t="s">
        <v>27</v>
      </c>
      <c r="B23" t="s">
        <v>203</v>
      </c>
      <c r="C23">
        <v>1911</v>
      </c>
      <c r="D23">
        <v>27986023</v>
      </c>
    </row>
    <row r="24" spans="1:4" x14ac:dyDescent="0.25">
      <c r="A24" t="s">
        <v>27</v>
      </c>
      <c r="B24" t="s">
        <v>203</v>
      </c>
      <c r="C24">
        <v>1912</v>
      </c>
      <c r="D24">
        <v>28046274</v>
      </c>
    </row>
    <row r="25" spans="1:4" x14ac:dyDescent="0.25">
      <c r="A25" t="s">
        <v>27</v>
      </c>
      <c r="B25" t="s">
        <v>203</v>
      </c>
      <c r="C25">
        <v>1913</v>
      </c>
      <c r="D25">
        <v>28093731</v>
      </c>
    </row>
    <row r="26" spans="1:4" x14ac:dyDescent="0.25">
      <c r="A26" t="s">
        <v>27</v>
      </c>
      <c r="B26" t="s">
        <v>203</v>
      </c>
      <c r="C26">
        <v>1914</v>
      </c>
      <c r="D26">
        <v>28141120</v>
      </c>
    </row>
    <row r="27" spans="1:4" x14ac:dyDescent="0.25">
      <c r="A27" t="s">
        <v>27</v>
      </c>
      <c r="B27" t="s">
        <v>203</v>
      </c>
      <c r="C27">
        <v>1915</v>
      </c>
      <c r="D27">
        <v>28188438</v>
      </c>
    </row>
    <row r="28" spans="1:4" x14ac:dyDescent="0.25">
      <c r="A28" t="s">
        <v>27</v>
      </c>
      <c r="B28" t="s">
        <v>203</v>
      </c>
      <c r="C28">
        <v>1916</v>
      </c>
      <c r="D28">
        <v>28235684</v>
      </c>
    </row>
    <row r="29" spans="1:4" x14ac:dyDescent="0.25">
      <c r="A29" t="s">
        <v>27</v>
      </c>
      <c r="B29" t="s">
        <v>203</v>
      </c>
      <c r="C29">
        <v>1917</v>
      </c>
      <c r="D29">
        <v>28282858</v>
      </c>
    </row>
    <row r="30" spans="1:4" x14ac:dyDescent="0.25">
      <c r="A30" t="s">
        <v>27</v>
      </c>
      <c r="B30" t="s">
        <v>203</v>
      </c>
      <c r="C30">
        <v>1918</v>
      </c>
      <c r="D30">
        <v>28395953</v>
      </c>
    </row>
    <row r="31" spans="1:4" x14ac:dyDescent="0.25">
      <c r="A31" t="s">
        <v>27</v>
      </c>
      <c r="B31" t="s">
        <v>203</v>
      </c>
      <c r="C31">
        <v>1919</v>
      </c>
      <c r="D31">
        <v>28509501</v>
      </c>
    </row>
    <row r="32" spans="1:4" x14ac:dyDescent="0.25">
      <c r="A32" t="s">
        <v>27</v>
      </c>
      <c r="B32" t="s">
        <v>203</v>
      </c>
      <c r="C32">
        <v>1920</v>
      </c>
      <c r="D32">
        <v>28623503</v>
      </c>
    </row>
    <row r="33" spans="1:4" x14ac:dyDescent="0.25">
      <c r="A33" t="s">
        <v>27</v>
      </c>
      <c r="B33" t="s">
        <v>203</v>
      </c>
      <c r="C33">
        <v>1921</v>
      </c>
      <c r="D33">
        <v>28737961</v>
      </c>
    </row>
    <row r="34" spans="1:4" x14ac:dyDescent="0.25">
      <c r="A34" t="s">
        <v>27</v>
      </c>
      <c r="B34" t="s">
        <v>203</v>
      </c>
      <c r="C34">
        <v>1922</v>
      </c>
      <c r="D34">
        <v>28852876</v>
      </c>
    </row>
    <row r="35" spans="1:4" x14ac:dyDescent="0.25">
      <c r="A35" t="s">
        <v>27</v>
      </c>
      <c r="B35" t="s">
        <v>203</v>
      </c>
      <c r="C35">
        <v>1923</v>
      </c>
      <c r="D35">
        <v>28968251</v>
      </c>
    </row>
    <row r="36" spans="1:4" x14ac:dyDescent="0.25">
      <c r="A36" t="s">
        <v>27</v>
      </c>
      <c r="B36" t="s">
        <v>203</v>
      </c>
      <c r="C36">
        <v>1924</v>
      </c>
      <c r="D36">
        <v>29084088</v>
      </c>
    </row>
    <row r="37" spans="1:4" x14ac:dyDescent="0.25">
      <c r="A37" t="s">
        <v>27</v>
      </c>
      <c r="B37" t="s">
        <v>203</v>
      </c>
      <c r="C37">
        <v>1925</v>
      </c>
      <c r="D37">
        <v>29200387</v>
      </c>
    </row>
    <row r="38" spans="1:4" x14ac:dyDescent="0.25">
      <c r="A38" t="s">
        <v>27</v>
      </c>
      <c r="B38" t="s">
        <v>203</v>
      </c>
      <c r="C38">
        <v>1926</v>
      </c>
      <c r="D38">
        <v>29317152</v>
      </c>
    </row>
    <row r="39" spans="1:4" x14ac:dyDescent="0.25">
      <c r="A39" t="s">
        <v>27</v>
      </c>
      <c r="B39" t="s">
        <v>203</v>
      </c>
      <c r="C39">
        <v>1927</v>
      </c>
      <c r="D39">
        <v>29434383</v>
      </c>
    </row>
    <row r="40" spans="1:4" x14ac:dyDescent="0.25">
      <c r="A40" t="s">
        <v>27</v>
      </c>
      <c r="B40" t="s">
        <v>203</v>
      </c>
      <c r="C40">
        <v>1928</v>
      </c>
      <c r="D40">
        <v>29552084</v>
      </c>
    </row>
    <row r="41" spans="1:4" x14ac:dyDescent="0.25">
      <c r="A41" t="s">
        <v>27</v>
      </c>
      <c r="B41" t="s">
        <v>203</v>
      </c>
      <c r="C41">
        <v>1929</v>
      </c>
      <c r="D41">
        <v>29765580</v>
      </c>
    </row>
    <row r="42" spans="1:4" x14ac:dyDescent="0.25">
      <c r="A42" t="s">
        <v>27</v>
      </c>
      <c r="B42" t="s">
        <v>203</v>
      </c>
      <c r="C42">
        <v>1930</v>
      </c>
      <c r="D42">
        <v>30077163</v>
      </c>
    </row>
    <row r="43" spans="1:4" x14ac:dyDescent="0.25">
      <c r="A43" t="s">
        <v>27</v>
      </c>
      <c r="B43" t="s">
        <v>203</v>
      </c>
      <c r="C43">
        <v>1931</v>
      </c>
      <c r="D43">
        <v>30489169</v>
      </c>
    </row>
    <row r="44" spans="1:4" x14ac:dyDescent="0.25">
      <c r="A44" t="s">
        <v>27</v>
      </c>
      <c r="B44" t="s">
        <v>203</v>
      </c>
      <c r="C44">
        <v>1932</v>
      </c>
      <c r="D44">
        <v>31003982</v>
      </c>
    </row>
    <row r="45" spans="1:4" x14ac:dyDescent="0.25">
      <c r="A45" t="s">
        <v>27</v>
      </c>
      <c r="B45" t="s">
        <v>203</v>
      </c>
      <c r="C45">
        <v>1933</v>
      </c>
      <c r="D45">
        <v>31624037</v>
      </c>
    </row>
    <row r="46" spans="1:4" x14ac:dyDescent="0.25">
      <c r="A46" t="s">
        <v>27</v>
      </c>
      <c r="B46" t="s">
        <v>203</v>
      </c>
      <c r="C46">
        <v>1934</v>
      </c>
      <c r="D46">
        <v>32256494</v>
      </c>
    </row>
    <row r="47" spans="1:4" x14ac:dyDescent="0.25">
      <c r="A47" t="s">
        <v>27</v>
      </c>
      <c r="B47" t="s">
        <v>203</v>
      </c>
      <c r="C47">
        <v>1935</v>
      </c>
      <c r="D47">
        <v>32901598</v>
      </c>
    </row>
    <row r="48" spans="1:4" x14ac:dyDescent="0.25">
      <c r="A48" t="s">
        <v>27</v>
      </c>
      <c r="B48" t="s">
        <v>203</v>
      </c>
      <c r="C48">
        <v>1936</v>
      </c>
      <c r="D48">
        <v>33559605</v>
      </c>
    </row>
    <row r="49" spans="1:4" x14ac:dyDescent="0.25">
      <c r="A49" t="s">
        <v>27</v>
      </c>
      <c r="B49" t="s">
        <v>203</v>
      </c>
      <c r="C49">
        <v>1937</v>
      </c>
      <c r="D49">
        <v>34230771</v>
      </c>
    </row>
    <row r="50" spans="1:4" x14ac:dyDescent="0.25">
      <c r="A50" t="s">
        <v>27</v>
      </c>
      <c r="B50" t="s">
        <v>203</v>
      </c>
      <c r="C50">
        <v>1938</v>
      </c>
      <c r="D50">
        <v>34915359</v>
      </c>
    </row>
    <row r="51" spans="1:4" x14ac:dyDescent="0.25">
      <c r="A51" t="s">
        <v>27</v>
      </c>
      <c r="B51" t="s">
        <v>203</v>
      </c>
      <c r="C51">
        <v>1939</v>
      </c>
      <c r="D51">
        <v>35529699</v>
      </c>
    </row>
    <row r="52" spans="1:4" x14ac:dyDescent="0.25">
      <c r="A52" t="s">
        <v>27</v>
      </c>
      <c r="B52" t="s">
        <v>203</v>
      </c>
      <c r="C52">
        <v>1940</v>
      </c>
      <c r="D52">
        <v>36071677</v>
      </c>
    </row>
    <row r="53" spans="1:4" x14ac:dyDescent="0.25">
      <c r="A53" t="s">
        <v>27</v>
      </c>
      <c r="B53" t="s">
        <v>203</v>
      </c>
      <c r="C53">
        <v>1941</v>
      </c>
      <c r="D53">
        <v>36539131</v>
      </c>
    </row>
    <row r="54" spans="1:4" x14ac:dyDescent="0.25">
      <c r="A54" t="s">
        <v>27</v>
      </c>
      <c r="B54" t="s">
        <v>203</v>
      </c>
      <c r="C54">
        <v>1942</v>
      </c>
      <c r="D54">
        <v>36929851</v>
      </c>
    </row>
    <row r="55" spans="1:4" x14ac:dyDescent="0.25">
      <c r="A55" t="s">
        <v>27</v>
      </c>
      <c r="B55" t="s">
        <v>203</v>
      </c>
      <c r="C55">
        <v>1943</v>
      </c>
      <c r="D55">
        <v>37241574</v>
      </c>
    </row>
    <row r="56" spans="1:4" x14ac:dyDescent="0.25">
      <c r="A56" t="s">
        <v>27</v>
      </c>
      <c r="B56" t="s">
        <v>203</v>
      </c>
      <c r="C56">
        <v>1944</v>
      </c>
      <c r="D56">
        <v>37555929</v>
      </c>
    </row>
    <row r="57" spans="1:4" x14ac:dyDescent="0.25">
      <c r="A57" t="s">
        <v>27</v>
      </c>
      <c r="B57" t="s">
        <v>203</v>
      </c>
      <c r="C57">
        <v>1945</v>
      </c>
      <c r="D57">
        <v>37872937</v>
      </c>
    </row>
    <row r="58" spans="1:4" x14ac:dyDescent="0.25">
      <c r="A58" t="s">
        <v>27</v>
      </c>
      <c r="B58" t="s">
        <v>203</v>
      </c>
      <c r="C58">
        <v>1946</v>
      </c>
      <c r="D58">
        <v>38192621</v>
      </c>
    </row>
    <row r="59" spans="1:4" x14ac:dyDescent="0.25">
      <c r="A59" t="s">
        <v>27</v>
      </c>
      <c r="B59" t="s">
        <v>203</v>
      </c>
      <c r="C59">
        <v>1947</v>
      </c>
      <c r="D59">
        <v>38515003</v>
      </c>
    </row>
    <row r="60" spans="1:4" x14ac:dyDescent="0.25">
      <c r="A60" t="s">
        <v>27</v>
      </c>
      <c r="B60" t="s">
        <v>203</v>
      </c>
      <c r="C60">
        <v>1948</v>
      </c>
      <c r="D60">
        <v>38840107</v>
      </c>
    </row>
    <row r="61" spans="1:4" x14ac:dyDescent="0.25">
      <c r="A61" t="s">
        <v>27</v>
      </c>
      <c r="B61" t="s">
        <v>203</v>
      </c>
      <c r="C61">
        <v>1949</v>
      </c>
      <c r="D61">
        <v>39243938</v>
      </c>
    </row>
    <row r="62" spans="1:4" x14ac:dyDescent="0.25">
      <c r="A62" t="s">
        <v>27</v>
      </c>
      <c r="B62" t="s">
        <v>203</v>
      </c>
      <c r="C62">
        <v>1950</v>
      </c>
      <c r="D62">
        <v>41206858</v>
      </c>
    </row>
    <row r="63" spans="1:4" x14ac:dyDescent="0.25">
      <c r="A63" t="s">
        <v>27</v>
      </c>
      <c r="B63" t="s">
        <v>203</v>
      </c>
      <c r="C63">
        <v>1951</v>
      </c>
      <c r="D63">
        <v>42022310</v>
      </c>
    </row>
    <row r="64" spans="1:4" x14ac:dyDescent="0.25">
      <c r="A64" t="s">
        <v>27</v>
      </c>
      <c r="B64" t="s">
        <v>203</v>
      </c>
      <c r="C64">
        <v>1952</v>
      </c>
      <c r="D64">
        <v>42893013</v>
      </c>
    </row>
    <row r="65" spans="1:4" x14ac:dyDescent="0.25">
      <c r="A65" t="s">
        <v>27</v>
      </c>
      <c r="B65" t="s">
        <v>203</v>
      </c>
      <c r="C65">
        <v>1953</v>
      </c>
      <c r="D65">
        <v>43791389</v>
      </c>
    </row>
    <row r="66" spans="1:4" x14ac:dyDescent="0.25">
      <c r="A66" t="s">
        <v>27</v>
      </c>
      <c r="B66" t="s">
        <v>203</v>
      </c>
      <c r="C66">
        <v>1954</v>
      </c>
      <c r="D66">
        <v>44741297</v>
      </c>
    </row>
    <row r="67" spans="1:4" x14ac:dyDescent="0.25">
      <c r="A67" t="s">
        <v>27</v>
      </c>
      <c r="B67" t="s">
        <v>203</v>
      </c>
      <c r="C67">
        <v>1955</v>
      </c>
      <c r="D67">
        <v>45767687</v>
      </c>
    </row>
    <row r="68" spans="1:4" x14ac:dyDescent="0.25">
      <c r="A68" t="s">
        <v>27</v>
      </c>
      <c r="B68" t="s">
        <v>203</v>
      </c>
      <c r="C68">
        <v>1956</v>
      </c>
      <c r="D68">
        <v>46854418</v>
      </c>
    </row>
    <row r="69" spans="1:4" x14ac:dyDescent="0.25">
      <c r="A69" t="s">
        <v>27</v>
      </c>
      <c r="B69" t="s">
        <v>203</v>
      </c>
      <c r="C69">
        <v>1957</v>
      </c>
      <c r="D69">
        <v>48004665</v>
      </c>
    </row>
    <row r="70" spans="1:4" x14ac:dyDescent="0.25">
      <c r="A70" t="s">
        <v>27</v>
      </c>
      <c r="B70" t="s">
        <v>203</v>
      </c>
      <c r="C70">
        <v>1958</v>
      </c>
      <c r="D70">
        <v>49184052</v>
      </c>
    </row>
    <row r="71" spans="1:4" x14ac:dyDescent="0.25">
      <c r="A71" t="s">
        <v>27</v>
      </c>
      <c r="B71" t="s">
        <v>203</v>
      </c>
      <c r="C71">
        <v>1959</v>
      </c>
      <c r="D71">
        <v>50441766</v>
      </c>
    </row>
    <row r="72" spans="1:4" x14ac:dyDescent="0.25">
      <c r="A72" t="s">
        <v>27</v>
      </c>
      <c r="B72" t="s">
        <v>203</v>
      </c>
      <c r="C72">
        <v>1960</v>
      </c>
      <c r="D72">
        <v>51828663</v>
      </c>
    </row>
    <row r="73" spans="1:4" x14ac:dyDescent="0.25">
      <c r="A73" t="s">
        <v>27</v>
      </c>
      <c r="B73" t="s">
        <v>203</v>
      </c>
      <c r="C73">
        <v>1961</v>
      </c>
      <c r="D73">
        <v>53310344</v>
      </c>
    </row>
    <row r="74" spans="1:4" x14ac:dyDescent="0.25">
      <c r="A74" t="s">
        <v>27</v>
      </c>
      <c r="B74" t="s">
        <v>203</v>
      </c>
      <c r="C74">
        <v>1962</v>
      </c>
      <c r="D74">
        <v>54881155</v>
      </c>
    </row>
    <row r="75" spans="1:4" x14ac:dyDescent="0.25">
      <c r="A75" t="s">
        <v>27</v>
      </c>
      <c r="B75" t="s">
        <v>203</v>
      </c>
      <c r="C75">
        <v>1963</v>
      </c>
      <c r="D75">
        <v>56504405</v>
      </c>
    </row>
    <row r="76" spans="1:4" x14ac:dyDescent="0.25">
      <c r="A76" t="s">
        <v>27</v>
      </c>
      <c r="B76" t="s">
        <v>203</v>
      </c>
      <c r="C76">
        <v>1964</v>
      </c>
      <c r="D76">
        <v>58178373</v>
      </c>
    </row>
    <row r="77" spans="1:4" x14ac:dyDescent="0.25">
      <c r="A77" t="s">
        <v>27</v>
      </c>
      <c r="B77" t="s">
        <v>203</v>
      </c>
      <c r="C77">
        <v>1965</v>
      </c>
      <c r="D77">
        <v>59902521</v>
      </c>
    </row>
    <row r="78" spans="1:4" x14ac:dyDescent="0.25">
      <c r="A78" t="s">
        <v>27</v>
      </c>
      <c r="B78" t="s">
        <v>203</v>
      </c>
      <c r="C78">
        <v>1966</v>
      </c>
      <c r="D78">
        <v>61669811</v>
      </c>
    </row>
    <row r="79" spans="1:4" x14ac:dyDescent="0.25">
      <c r="A79" t="s">
        <v>27</v>
      </c>
      <c r="B79" t="s">
        <v>203</v>
      </c>
      <c r="C79">
        <v>1967</v>
      </c>
      <c r="D79">
        <v>63510933</v>
      </c>
    </row>
    <row r="80" spans="1:4" x14ac:dyDescent="0.25">
      <c r="A80" t="s">
        <v>27</v>
      </c>
      <c r="B80" t="s">
        <v>203</v>
      </c>
      <c r="C80">
        <v>1968</v>
      </c>
      <c r="D80">
        <v>65408278</v>
      </c>
    </row>
    <row r="81" spans="1:4" x14ac:dyDescent="0.25">
      <c r="A81" t="s">
        <v>27</v>
      </c>
      <c r="B81" t="s">
        <v>203</v>
      </c>
      <c r="C81">
        <v>1969</v>
      </c>
      <c r="D81">
        <v>67294130</v>
      </c>
    </row>
    <row r="82" spans="1:4" x14ac:dyDescent="0.25">
      <c r="A82" t="s">
        <v>27</v>
      </c>
      <c r="B82" t="s">
        <v>203</v>
      </c>
      <c r="C82">
        <v>1970</v>
      </c>
      <c r="D82">
        <v>69058900</v>
      </c>
    </row>
    <row r="83" spans="1:4" x14ac:dyDescent="0.25">
      <c r="A83" t="s">
        <v>27</v>
      </c>
      <c r="B83" t="s">
        <v>203</v>
      </c>
      <c r="C83">
        <v>1971</v>
      </c>
      <c r="D83">
        <v>70276759</v>
      </c>
    </row>
    <row r="84" spans="1:4" x14ac:dyDescent="0.25">
      <c r="A84" t="s">
        <v>27</v>
      </c>
      <c r="B84" t="s">
        <v>203</v>
      </c>
      <c r="C84">
        <v>1972</v>
      </c>
      <c r="D84">
        <v>71641525</v>
      </c>
    </row>
    <row r="85" spans="1:4" x14ac:dyDescent="0.25">
      <c r="A85" t="s">
        <v>27</v>
      </c>
      <c r="B85" t="s">
        <v>203</v>
      </c>
      <c r="C85">
        <v>1973</v>
      </c>
      <c r="D85">
        <v>73722297</v>
      </c>
    </row>
    <row r="86" spans="1:4" x14ac:dyDescent="0.25">
      <c r="A86" t="s">
        <v>27</v>
      </c>
      <c r="B86" t="s">
        <v>203</v>
      </c>
      <c r="C86">
        <v>1974</v>
      </c>
      <c r="D86">
        <v>75839350</v>
      </c>
    </row>
    <row r="87" spans="1:4" x14ac:dyDescent="0.25">
      <c r="A87" t="s">
        <v>27</v>
      </c>
      <c r="B87" t="s">
        <v>203</v>
      </c>
      <c r="C87">
        <v>1975</v>
      </c>
      <c r="D87">
        <v>77854353</v>
      </c>
    </row>
    <row r="88" spans="1:4" x14ac:dyDescent="0.25">
      <c r="A88" t="s">
        <v>27</v>
      </c>
      <c r="B88" t="s">
        <v>203</v>
      </c>
      <c r="C88">
        <v>1976</v>
      </c>
      <c r="D88">
        <v>79855319</v>
      </c>
    </row>
    <row r="89" spans="1:4" x14ac:dyDescent="0.25">
      <c r="A89" t="s">
        <v>27</v>
      </c>
      <c r="B89" t="s">
        <v>203</v>
      </c>
      <c r="C89">
        <v>1977</v>
      </c>
      <c r="D89">
        <v>81867267</v>
      </c>
    </row>
    <row r="90" spans="1:4" x14ac:dyDescent="0.25">
      <c r="A90" t="s">
        <v>27</v>
      </c>
      <c r="B90" t="s">
        <v>203</v>
      </c>
      <c r="C90">
        <v>1978</v>
      </c>
      <c r="D90">
        <v>83889659</v>
      </c>
    </row>
    <row r="91" spans="1:4" x14ac:dyDescent="0.25">
      <c r="A91" t="s">
        <v>27</v>
      </c>
      <c r="B91" t="s">
        <v>203</v>
      </c>
      <c r="C91">
        <v>1979</v>
      </c>
      <c r="D91">
        <v>85935069</v>
      </c>
    </row>
    <row r="92" spans="1:4" x14ac:dyDescent="0.25">
      <c r="A92" t="s">
        <v>27</v>
      </c>
      <c r="B92" t="s">
        <v>203</v>
      </c>
      <c r="C92">
        <v>1980</v>
      </c>
      <c r="D92">
        <v>88016436</v>
      </c>
    </row>
    <row r="93" spans="1:4" x14ac:dyDescent="0.25">
      <c r="A93" t="s">
        <v>27</v>
      </c>
      <c r="B93" t="s">
        <v>203</v>
      </c>
      <c r="C93">
        <v>1981</v>
      </c>
      <c r="D93">
        <v>90303105</v>
      </c>
    </row>
    <row r="94" spans="1:4" x14ac:dyDescent="0.25">
      <c r="A94" t="s">
        <v>27</v>
      </c>
      <c r="B94" t="s">
        <v>203</v>
      </c>
      <c r="C94">
        <v>1982</v>
      </c>
      <c r="D94">
        <v>92814506</v>
      </c>
    </row>
    <row r="95" spans="1:4" x14ac:dyDescent="0.25">
      <c r="A95" t="s">
        <v>27</v>
      </c>
      <c r="B95" t="s">
        <v>203</v>
      </c>
      <c r="C95">
        <v>1983</v>
      </c>
      <c r="D95">
        <v>95335162</v>
      </c>
    </row>
    <row r="96" spans="1:4" x14ac:dyDescent="0.25">
      <c r="A96" t="s">
        <v>27</v>
      </c>
      <c r="B96" t="s">
        <v>203</v>
      </c>
      <c r="C96">
        <v>1984</v>
      </c>
      <c r="D96">
        <v>97814966</v>
      </c>
    </row>
    <row r="97" spans="1:4" x14ac:dyDescent="0.25">
      <c r="A97" t="s">
        <v>27</v>
      </c>
      <c r="B97" t="s">
        <v>203</v>
      </c>
      <c r="C97">
        <v>1985</v>
      </c>
      <c r="D97">
        <v>100253825</v>
      </c>
    </row>
    <row r="98" spans="1:4" x14ac:dyDescent="0.25">
      <c r="A98" t="s">
        <v>27</v>
      </c>
      <c r="B98" t="s">
        <v>203</v>
      </c>
      <c r="C98">
        <v>1986</v>
      </c>
      <c r="D98">
        <v>102635570</v>
      </c>
    </row>
    <row r="99" spans="1:4" x14ac:dyDescent="0.25">
      <c r="A99" t="s">
        <v>27</v>
      </c>
      <c r="B99" t="s">
        <v>203</v>
      </c>
      <c r="C99">
        <v>1987</v>
      </c>
      <c r="D99">
        <v>104959291</v>
      </c>
    </row>
    <row r="100" spans="1:4" x14ac:dyDescent="0.25">
      <c r="A100" t="s">
        <v>27</v>
      </c>
      <c r="B100" t="s">
        <v>203</v>
      </c>
      <c r="C100">
        <v>1988</v>
      </c>
      <c r="D100">
        <v>107216011</v>
      </c>
    </row>
    <row r="101" spans="1:4" x14ac:dyDescent="0.25">
      <c r="A101" t="s">
        <v>27</v>
      </c>
      <c r="B101" t="s">
        <v>203</v>
      </c>
      <c r="C101">
        <v>1989</v>
      </c>
      <c r="D101">
        <v>109433805</v>
      </c>
    </row>
    <row r="102" spans="1:4" x14ac:dyDescent="0.25">
      <c r="A102" t="s">
        <v>27</v>
      </c>
      <c r="B102" t="s">
        <v>203</v>
      </c>
      <c r="C102">
        <v>1990</v>
      </c>
      <c r="D102">
        <v>111633723</v>
      </c>
    </row>
    <row r="103" spans="1:4" x14ac:dyDescent="0.25">
      <c r="A103" t="s">
        <v>27</v>
      </c>
      <c r="B103" t="s">
        <v>203</v>
      </c>
      <c r="C103">
        <v>1991</v>
      </c>
      <c r="D103">
        <v>113787112</v>
      </c>
    </row>
    <row r="104" spans="1:4" x14ac:dyDescent="0.25">
      <c r="A104" t="s">
        <v>27</v>
      </c>
      <c r="B104" t="s">
        <v>203</v>
      </c>
      <c r="C104">
        <v>1992</v>
      </c>
      <c r="D104">
        <v>115952198</v>
      </c>
    </row>
    <row r="105" spans="1:4" x14ac:dyDescent="0.25">
      <c r="A105" t="s">
        <v>27</v>
      </c>
      <c r="B105" t="s">
        <v>203</v>
      </c>
      <c r="C105">
        <v>1993</v>
      </c>
      <c r="D105">
        <v>118132363</v>
      </c>
    </row>
    <row r="106" spans="1:4" x14ac:dyDescent="0.25">
      <c r="A106" t="s">
        <v>27</v>
      </c>
      <c r="B106" t="s">
        <v>203</v>
      </c>
      <c r="C106">
        <v>1994</v>
      </c>
      <c r="D106">
        <v>120343183</v>
      </c>
    </row>
    <row r="107" spans="1:4" x14ac:dyDescent="0.25">
      <c r="A107" t="s">
        <v>27</v>
      </c>
      <c r="B107" t="s">
        <v>203</v>
      </c>
      <c r="C107">
        <v>1995</v>
      </c>
      <c r="D107">
        <v>122600371</v>
      </c>
    </row>
    <row r="108" spans="1:4" x14ac:dyDescent="0.25">
      <c r="A108" t="s">
        <v>27</v>
      </c>
      <c r="B108" t="s">
        <v>203</v>
      </c>
      <c r="C108">
        <v>1996</v>
      </c>
      <c r="D108">
        <v>124862185</v>
      </c>
    </row>
    <row r="109" spans="1:4" x14ac:dyDescent="0.25">
      <c r="A109" t="s">
        <v>27</v>
      </c>
      <c r="B109" t="s">
        <v>203</v>
      </c>
      <c r="C109">
        <v>1997</v>
      </c>
      <c r="D109">
        <v>127198069</v>
      </c>
    </row>
    <row r="110" spans="1:4" x14ac:dyDescent="0.25">
      <c r="A110" t="s">
        <v>27</v>
      </c>
      <c r="B110" t="s">
        <v>203</v>
      </c>
      <c r="C110">
        <v>1998</v>
      </c>
      <c r="D110">
        <v>129622333</v>
      </c>
    </row>
    <row r="111" spans="1:4" x14ac:dyDescent="0.25">
      <c r="A111" t="s">
        <v>27</v>
      </c>
      <c r="B111" t="s">
        <v>203</v>
      </c>
      <c r="C111">
        <v>1999</v>
      </c>
      <c r="D111">
        <v>132108064</v>
      </c>
    </row>
    <row r="112" spans="1:4" x14ac:dyDescent="0.25">
      <c r="A112" t="s">
        <v>27</v>
      </c>
      <c r="B112" t="s">
        <v>203</v>
      </c>
      <c r="C112">
        <v>2000</v>
      </c>
      <c r="D112">
        <v>134544303</v>
      </c>
    </row>
    <row r="113" spans="1:4" x14ac:dyDescent="0.25">
      <c r="A113" t="s">
        <v>27</v>
      </c>
      <c r="B113" t="s">
        <v>203</v>
      </c>
      <c r="C113">
        <v>2001</v>
      </c>
      <c r="D113">
        <v>136805812</v>
      </c>
    </row>
    <row r="114" spans="1:4" x14ac:dyDescent="0.25">
      <c r="A114" t="s">
        <v>27</v>
      </c>
      <c r="B114" t="s">
        <v>203</v>
      </c>
      <c r="C114">
        <v>2002</v>
      </c>
      <c r="D114">
        <v>138933659</v>
      </c>
    </row>
    <row r="115" spans="1:4" x14ac:dyDescent="0.25">
      <c r="A115" t="s">
        <v>27</v>
      </c>
      <c r="B115" t="s">
        <v>203</v>
      </c>
      <c r="C115">
        <v>2003</v>
      </c>
      <c r="D115">
        <v>140970356</v>
      </c>
    </row>
    <row r="116" spans="1:4" x14ac:dyDescent="0.25">
      <c r="A116" t="s">
        <v>27</v>
      </c>
      <c r="B116" t="s">
        <v>203</v>
      </c>
      <c r="C116">
        <v>2004</v>
      </c>
      <c r="D116">
        <v>142902855</v>
      </c>
    </row>
    <row r="117" spans="1:4" x14ac:dyDescent="0.25">
      <c r="A117" t="s">
        <v>27</v>
      </c>
      <c r="B117" t="s">
        <v>203</v>
      </c>
      <c r="C117">
        <v>2005</v>
      </c>
      <c r="D117">
        <v>144715789</v>
      </c>
    </row>
    <row r="118" spans="1:4" x14ac:dyDescent="0.25">
      <c r="A118" t="s">
        <v>27</v>
      </c>
      <c r="B118" t="s">
        <v>203</v>
      </c>
      <c r="C118">
        <v>2006</v>
      </c>
      <c r="D118">
        <v>146405982</v>
      </c>
    </row>
    <row r="119" spans="1:4" x14ac:dyDescent="0.25">
      <c r="A119" t="s">
        <v>27</v>
      </c>
      <c r="B119" t="s">
        <v>203</v>
      </c>
      <c r="C119">
        <v>2007</v>
      </c>
      <c r="D119">
        <v>147989283</v>
      </c>
    </row>
    <row r="120" spans="1:4" x14ac:dyDescent="0.25">
      <c r="A120" t="s">
        <v>27</v>
      </c>
      <c r="B120" t="s">
        <v>203</v>
      </c>
      <c r="C120">
        <v>2008</v>
      </c>
      <c r="D120">
        <v>149474264</v>
      </c>
    </row>
    <row r="121" spans="1:4" x14ac:dyDescent="0.25">
      <c r="A121" t="s">
        <v>27</v>
      </c>
      <c r="B121" t="s">
        <v>203</v>
      </c>
      <c r="C121">
        <v>2009</v>
      </c>
      <c r="D121">
        <v>150873716</v>
      </c>
    </row>
    <row r="122" spans="1:4" x14ac:dyDescent="0.25">
      <c r="A122" t="s">
        <v>27</v>
      </c>
      <c r="B122" t="s">
        <v>203</v>
      </c>
      <c r="C122">
        <v>2010</v>
      </c>
      <c r="D122">
        <v>152201977</v>
      </c>
    </row>
    <row r="123" spans="1:4" x14ac:dyDescent="0.25">
      <c r="A123" t="s">
        <v>27</v>
      </c>
      <c r="B123" t="s">
        <v>203</v>
      </c>
      <c r="C123">
        <v>2011</v>
      </c>
      <c r="D123">
        <v>153591075</v>
      </c>
    </row>
    <row r="124" spans="1:4" x14ac:dyDescent="0.25">
      <c r="A124" t="s">
        <v>27</v>
      </c>
      <c r="B124" t="s">
        <v>203</v>
      </c>
      <c r="C124">
        <v>2012</v>
      </c>
      <c r="D124">
        <v>155070111</v>
      </c>
    </row>
    <row r="125" spans="1:4" x14ac:dyDescent="0.25">
      <c r="A125" t="s">
        <v>27</v>
      </c>
      <c r="B125" t="s">
        <v>203</v>
      </c>
      <c r="C125">
        <v>2013</v>
      </c>
      <c r="D125">
        <v>156532135</v>
      </c>
    </row>
    <row r="126" spans="1:4" x14ac:dyDescent="0.25">
      <c r="A126" t="s">
        <v>27</v>
      </c>
      <c r="B126" t="s">
        <v>203</v>
      </c>
      <c r="C126">
        <v>2014</v>
      </c>
      <c r="D126">
        <v>157964931</v>
      </c>
    </row>
    <row r="127" spans="1:4" x14ac:dyDescent="0.25">
      <c r="A127" t="s">
        <v>27</v>
      </c>
      <c r="B127" t="s">
        <v>203</v>
      </c>
      <c r="C127">
        <v>2015</v>
      </c>
      <c r="D127">
        <v>159383180</v>
      </c>
    </row>
    <row r="128" spans="1:4" x14ac:dyDescent="0.25">
      <c r="A128" t="s">
        <v>27</v>
      </c>
      <c r="B128" t="s">
        <v>203</v>
      </c>
      <c r="C128">
        <v>2016</v>
      </c>
      <c r="D128">
        <v>160811935</v>
      </c>
    </row>
    <row r="129" spans="1:4" x14ac:dyDescent="0.25">
      <c r="A129" t="s">
        <v>27</v>
      </c>
      <c r="B129" t="s">
        <v>203</v>
      </c>
      <c r="C129">
        <v>2017</v>
      </c>
      <c r="D129">
        <v>162186147</v>
      </c>
    </row>
    <row r="130" spans="1:4" x14ac:dyDescent="0.25">
      <c r="A130" t="s">
        <v>27</v>
      </c>
      <c r="B130" t="s">
        <v>203</v>
      </c>
      <c r="C130">
        <v>2018</v>
      </c>
      <c r="D130">
        <v>163523108</v>
      </c>
    </row>
    <row r="131" spans="1:4" x14ac:dyDescent="0.25">
      <c r="A131" t="s">
        <v>27</v>
      </c>
      <c r="B131" t="s">
        <v>203</v>
      </c>
      <c r="C131">
        <v>2019</v>
      </c>
      <c r="D131">
        <v>164913060</v>
      </c>
    </row>
    <row r="132" spans="1:4" x14ac:dyDescent="0.25">
      <c r="A132" t="s">
        <v>27</v>
      </c>
      <c r="B132" t="s">
        <v>203</v>
      </c>
      <c r="C132">
        <v>2020</v>
      </c>
      <c r="D132">
        <v>166298024</v>
      </c>
    </row>
    <row r="133" spans="1:4" x14ac:dyDescent="0.25">
      <c r="A133" t="s">
        <v>27</v>
      </c>
      <c r="B133" t="s">
        <v>203</v>
      </c>
      <c r="C133">
        <v>2021</v>
      </c>
      <c r="D133">
        <v>167658855</v>
      </c>
    </row>
    <row r="134" spans="1:4" x14ac:dyDescent="0.25">
      <c r="A134" t="s">
        <v>27</v>
      </c>
      <c r="B134" t="s">
        <v>203</v>
      </c>
      <c r="C134">
        <v>2022</v>
      </c>
      <c r="D134">
        <v>169384890</v>
      </c>
    </row>
    <row r="135" spans="1:4" x14ac:dyDescent="0.25">
      <c r="A135" t="s">
        <v>27</v>
      </c>
      <c r="B135" t="s">
        <v>203</v>
      </c>
      <c r="C135">
        <v>2023</v>
      </c>
      <c r="D135">
        <v>171466986</v>
      </c>
    </row>
    <row r="136" spans="1:4" x14ac:dyDescent="0.25">
      <c r="A136" t="s">
        <v>30</v>
      </c>
      <c r="B136" t="s">
        <v>204</v>
      </c>
      <c r="C136">
        <v>1890</v>
      </c>
      <c r="D136">
        <v>274991729</v>
      </c>
    </row>
    <row r="137" spans="1:4" x14ac:dyDescent="0.25">
      <c r="A137" t="s">
        <v>30</v>
      </c>
      <c r="B137" t="s">
        <v>204</v>
      </c>
      <c r="C137">
        <v>1891</v>
      </c>
      <c r="D137">
        <v>276105563</v>
      </c>
    </row>
    <row r="138" spans="1:4" x14ac:dyDescent="0.25">
      <c r="A138" t="s">
        <v>30</v>
      </c>
      <c r="B138" t="s">
        <v>204</v>
      </c>
      <c r="C138">
        <v>1892</v>
      </c>
      <c r="D138">
        <v>276859000</v>
      </c>
    </row>
    <row r="139" spans="1:4" x14ac:dyDescent="0.25">
      <c r="A139" t="s">
        <v>30</v>
      </c>
      <c r="B139" t="s">
        <v>204</v>
      </c>
      <c r="C139">
        <v>1893</v>
      </c>
      <c r="D139">
        <v>277248729</v>
      </c>
    </row>
    <row r="140" spans="1:4" x14ac:dyDescent="0.25">
      <c r="A140" t="s">
        <v>30</v>
      </c>
      <c r="B140" t="s">
        <v>204</v>
      </c>
      <c r="C140">
        <v>1894</v>
      </c>
      <c r="D140">
        <v>277638978</v>
      </c>
    </row>
    <row r="141" spans="1:4" x14ac:dyDescent="0.25">
      <c r="A141" t="s">
        <v>30</v>
      </c>
      <c r="B141" t="s">
        <v>204</v>
      </c>
      <c r="C141">
        <v>1895</v>
      </c>
      <c r="D141">
        <v>278029747</v>
      </c>
    </row>
    <row r="142" spans="1:4" x14ac:dyDescent="0.25">
      <c r="A142" t="s">
        <v>30</v>
      </c>
      <c r="B142" t="s">
        <v>204</v>
      </c>
      <c r="C142">
        <v>1896</v>
      </c>
      <c r="D142">
        <v>278421038</v>
      </c>
    </row>
    <row r="143" spans="1:4" x14ac:dyDescent="0.25">
      <c r="A143" t="s">
        <v>30</v>
      </c>
      <c r="B143" t="s">
        <v>204</v>
      </c>
      <c r="C143">
        <v>1897</v>
      </c>
      <c r="D143">
        <v>278812851</v>
      </c>
    </row>
    <row r="144" spans="1:4" x14ac:dyDescent="0.25">
      <c r="A144" t="s">
        <v>30</v>
      </c>
      <c r="B144" t="s">
        <v>204</v>
      </c>
      <c r="C144">
        <v>1898</v>
      </c>
      <c r="D144">
        <v>279205186</v>
      </c>
    </row>
    <row r="145" spans="1:4" x14ac:dyDescent="0.25">
      <c r="A145" t="s">
        <v>30</v>
      </c>
      <c r="B145" t="s">
        <v>204</v>
      </c>
      <c r="C145">
        <v>1899</v>
      </c>
      <c r="D145">
        <v>279838410</v>
      </c>
    </row>
    <row r="146" spans="1:4" x14ac:dyDescent="0.25">
      <c r="A146" t="s">
        <v>30</v>
      </c>
      <c r="B146" t="s">
        <v>204</v>
      </c>
      <c r="C146">
        <v>1900</v>
      </c>
      <c r="D146">
        <v>280714154</v>
      </c>
    </row>
    <row r="147" spans="1:4" x14ac:dyDescent="0.25">
      <c r="A147" t="s">
        <v>30</v>
      </c>
      <c r="B147" t="s">
        <v>204</v>
      </c>
      <c r="C147">
        <v>1901</v>
      </c>
      <c r="D147">
        <v>281834058</v>
      </c>
    </row>
    <row r="148" spans="1:4" x14ac:dyDescent="0.25">
      <c r="A148" t="s">
        <v>30</v>
      </c>
      <c r="B148" t="s">
        <v>204</v>
      </c>
      <c r="C148">
        <v>1902</v>
      </c>
      <c r="D148">
        <v>283199773</v>
      </c>
    </row>
    <row r="149" spans="1:4" x14ac:dyDescent="0.25">
      <c r="A149" t="s">
        <v>30</v>
      </c>
      <c r="B149" t="s">
        <v>204</v>
      </c>
      <c r="C149">
        <v>1903</v>
      </c>
      <c r="D149">
        <v>284812956</v>
      </c>
    </row>
    <row r="150" spans="1:4" x14ac:dyDescent="0.25">
      <c r="A150" t="s">
        <v>30</v>
      </c>
      <c r="B150" t="s">
        <v>204</v>
      </c>
      <c r="C150">
        <v>1904</v>
      </c>
      <c r="D150">
        <v>286435299</v>
      </c>
    </row>
    <row r="151" spans="1:4" x14ac:dyDescent="0.25">
      <c r="A151" t="s">
        <v>30</v>
      </c>
      <c r="B151" t="s">
        <v>204</v>
      </c>
      <c r="C151">
        <v>1905</v>
      </c>
      <c r="D151">
        <v>288066854</v>
      </c>
    </row>
    <row r="152" spans="1:4" x14ac:dyDescent="0.25">
      <c r="A152" t="s">
        <v>30</v>
      </c>
      <c r="B152" t="s">
        <v>204</v>
      </c>
      <c r="C152">
        <v>1906</v>
      </c>
      <c r="D152">
        <v>289707671</v>
      </c>
    </row>
    <row r="153" spans="1:4" x14ac:dyDescent="0.25">
      <c r="A153" t="s">
        <v>30</v>
      </c>
      <c r="B153" t="s">
        <v>204</v>
      </c>
      <c r="C153">
        <v>1907</v>
      </c>
      <c r="D153">
        <v>291357804</v>
      </c>
    </row>
    <row r="154" spans="1:4" x14ac:dyDescent="0.25">
      <c r="A154" t="s">
        <v>30</v>
      </c>
      <c r="B154" t="s">
        <v>204</v>
      </c>
      <c r="C154">
        <v>1908</v>
      </c>
      <c r="D154">
        <v>293017306</v>
      </c>
    </row>
    <row r="155" spans="1:4" x14ac:dyDescent="0.25">
      <c r="A155" t="s">
        <v>30</v>
      </c>
      <c r="B155" t="s">
        <v>204</v>
      </c>
      <c r="C155">
        <v>1909</v>
      </c>
      <c r="D155">
        <v>294397607</v>
      </c>
    </row>
    <row r="156" spans="1:4" x14ac:dyDescent="0.25">
      <c r="A156" t="s">
        <v>30</v>
      </c>
      <c r="B156" t="s">
        <v>204</v>
      </c>
      <c r="C156">
        <v>1910</v>
      </c>
      <c r="D156">
        <v>295496971</v>
      </c>
    </row>
    <row r="157" spans="1:4" x14ac:dyDescent="0.25">
      <c r="A157" t="s">
        <v>30</v>
      </c>
      <c r="B157" t="s">
        <v>204</v>
      </c>
      <c r="C157">
        <v>1911</v>
      </c>
      <c r="D157">
        <v>296313651</v>
      </c>
    </row>
    <row r="158" spans="1:4" x14ac:dyDescent="0.25">
      <c r="A158" t="s">
        <v>30</v>
      </c>
      <c r="B158" t="s">
        <v>204</v>
      </c>
      <c r="C158">
        <v>1912</v>
      </c>
      <c r="D158">
        <v>296845891</v>
      </c>
    </row>
    <row r="159" spans="1:4" x14ac:dyDescent="0.25">
      <c r="A159" t="s">
        <v>30</v>
      </c>
      <c r="B159" t="s">
        <v>204</v>
      </c>
      <c r="C159">
        <v>1913</v>
      </c>
      <c r="D159">
        <v>297091925</v>
      </c>
    </row>
    <row r="160" spans="1:4" x14ac:dyDescent="0.25">
      <c r="A160" t="s">
        <v>30</v>
      </c>
      <c r="B160" t="s">
        <v>204</v>
      </c>
      <c r="C160">
        <v>1914</v>
      </c>
      <c r="D160">
        <v>297338132</v>
      </c>
    </row>
    <row r="161" spans="1:4" x14ac:dyDescent="0.25">
      <c r="A161" t="s">
        <v>30</v>
      </c>
      <c r="B161" t="s">
        <v>204</v>
      </c>
      <c r="C161">
        <v>1915</v>
      </c>
      <c r="D161">
        <v>297584511</v>
      </c>
    </row>
    <row r="162" spans="1:4" x14ac:dyDescent="0.25">
      <c r="A162" t="s">
        <v>30</v>
      </c>
      <c r="B162" t="s">
        <v>204</v>
      </c>
      <c r="C162">
        <v>1916</v>
      </c>
      <c r="D162">
        <v>297831063</v>
      </c>
    </row>
    <row r="163" spans="1:4" x14ac:dyDescent="0.25">
      <c r="A163" t="s">
        <v>30</v>
      </c>
      <c r="B163" t="s">
        <v>204</v>
      </c>
      <c r="C163">
        <v>1917</v>
      </c>
      <c r="D163">
        <v>298077789</v>
      </c>
    </row>
    <row r="164" spans="1:4" x14ac:dyDescent="0.25">
      <c r="A164" t="s">
        <v>30</v>
      </c>
      <c r="B164" t="s">
        <v>204</v>
      </c>
      <c r="C164">
        <v>1918</v>
      </c>
      <c r="D164">
        <v>298421342</v>
      </c>
    </row>
    <row r="165" spans="1:4" x14ac:dyDescent="0.25">
      <c r="A165" t="s">
        <v>30</v>
      </c>
      <c r="B165" t="s">
        <v>204</v>
      </c>
      <c r="C165">
        <v>1919</v>
      </c>
      <c r="D165">
        <v>299273541</v>
      </c>
    </row>
    <row r="166" spans="1:4" x14ac:dyDescent="0.25">
      <c r="A166" t="s">
        <v>30</v>
      </c>
      <c r="B166" t="s">
        <v>204</v>
      </c>
      <c r="C166">
        <v>1920</v>
      </c>
      <c r="D166">
        <v>300639878</v>
      </c>
    </row>
    <row r="167" spans="1:4" x14ac:dyDescent="0.25">
      <c r="A167" t="s">
        <v>30</v>
      </c>
      <c r="B167" t="s">
        <v>204</v>
      </c>
      <c r="C167">
        <v>1921</v>
      </c>
      <c r="D167">
        <v>302525896</v>
      </c>
    </row>
    <row r="168" spans="1:4" x14ac:dyDescent="0.25">
      <c r="A168" t="s">
        <v>30</v>
      </c>
      <c r="B168" t="s">
        <v>204</v>
      </c>
      <c r="C168">
        <v>1922</v>
      </c>
      <c r="D168">
        <v>304937193</v>
      </c>
    </row>
    <row r="169" spans="1:4" x14ac:dyDescent="0.25">
      <c r="A169" t="s">
        <v>30</v>
      </c>
      <c r="B169" t="s">
        <v>204</v>
      </c>
      <c r="C169">
        <v>1923</v>
      </c>
      <c r="D169">
        <v>307879422</v>
      </c>
    </row>
    <row r="170" spans="1:4" x14ac:dyDescent="0.25">
      <c r="A170" t="s">
        <v>30</v>
      </c>
      <c r="B170" t="s">
        <v>204</v>
      </c>
      <c r="C170">
        <v>1924</v>
      </c>
      <c r="D170">
        <v>310850039</v>
      </c>
    </row>
    <row r="171" spans="1:4" x14ac:dyDescent="0.25">
      <c r="A171" t="s">
        <v>30</v>
      </c>
      <c r="B171" t="s">
        <v>204</v>
      </c>
      <c r="C171">
        <v>1925</v>
      </c>
      <c r="D171">
        <v>313849318</v>
      </c>
    </row>
    <row r="172" spans="1:4" x14ac:dyDescent="0.25">
      <c r="A172" t="s">
        <v>30</v>
      </c>
      <c r="B172" t="s">
        <v>204</v>
      </c>
      <c r="C172">
        <v>1926</v>
      </c>
      <c r="D172">
        <v>316877536</v>
      </c>
    </row>
    <row r="173" spans="1:4" x14ac:dyDescent="0.25">
      <c r="A173" t="s">
        <v>30</v>
      </c>
      <c r="B173" t="s">
        <v>204</v>
      </c>
      <c r="C173">
        <v>1927</v>
      </c>
      <c r="D173">
        <v>319934973</v>
      </c>
    </row>
    <row r="174" spans="1:4" x14ac:dyDescent="0.25">
      <c r="A174" t="s">
        <v>30</v>
      </c>
      <c r="B174" t="s">
        <v>204</v>
      </c>
      <c r="C174">
        <v>1928</v>
      </c>
      <c r="D174">
        <v>323021910</v>
      </c>
    </row>
    <row r="175" spans="1:4" x14ac:dyDescent="0.25">
      <c r="A175" t="s">
        <v>30</v>
      </c>
      <c r="B175" t="s">
        <v>204</v>
      </c>
      <c r="C175">
        <v>1929</v>
      </c>
      <c r="D175">
        <v>326429031</v>
      </c>
    </row>
    <row r="176" spans="1:4" x14ac:dyDescent="0.25">
      <c r="A176" t="s">
        <v>30</v>
      </c>
      <c r="B176" t="s">
        <v>204</v>
      </c>
      <c r="C176">
        <v>1930</v>
      </c>
      <c r="D176">
        <v>330163509</v>
      </c>
    </row>
    <row r="177" spans="1:4" x14ac:dyDescent="0.25">
      <c r="A177" t="s">
        <v>30</v>
      </c>
      <c r="B177" t="s">
        <v>204</v>
      </c>
      <c r="C177">
        <v>1931</v>
      </c>
      <c r="D177">
        <v>334232641</v>
      </c>
    </row>
    <row r="178" spans="1:4" x14ac:dyDescent="0.25">
      <c r="A178" t="s">
        <v>30</v>
      </c>
      <c r="B178" t="s">
        <v>204</v>
      </c>
      <c r="C178">
        <v>1932</v>
      </c>
      <c r="D178">
        <v>338643856</v>
      </c>
    </row>
    <row r="179" spans="1:4" x14ac:dyDescent="0.25">
      <c r="A179" t="s">
        <v>30</v>
      </c>
      <c r="B179" t="s">
        <v>204</v>
      </c>
      <c r="C179">
        <v>1933</v>
      </c>
      <c r="D179">
        <v>343404711</v>
      </c>
    </row>
    <row r="180" spans="1:4" x14ac:dyDescent="0.25">
      <c r="A180" t="s">
        <v>30</v>
      </c>
      <c r="B180" t="s">
        <v>204</v>
      </c>
      <c r="C180">
        <v>1934</v>
      </c>
      <c r="D180">
        <v>348232496</v>
      </c>
    </row>
    <row r="181" spans="1:4" x14ac:dyDescent="0.25">
      <c r="A181" t="s">
        <v>30</v>
      </c>
      <c r="B181" t="s">
        <v>204</v>
      </c>
      <c r="C181">
        <v>1935</v>
      </c>
      <c r="D181">
        <v>353128154</v>
      </c>
    </row>
    <row r="182" spans="1:4" x14ac:dyDescent="0.25">
      <c r="A182" t="s">
        <v>30</v>
      </c>
      <c r="B182" t="s">
        <v>204</v>
      </c>
      <c r="C182">
        <v>1936</v>
      </c>
      <c r="D182">
        <v>358092638</v>
      </c>
    </row>
    <row r="183" spans="1:4" x14ac:dyDescent="0.25">
      <c r="A183" t="s">
        <v>30</v>
      </c>
      <c r="B183" t="s">
        <v>204</v>
      </c>
      <c r="C183">
        <v>1937</v>
      </c>
      <c r="D183">
        <v>363126915</v>
      </c>
    </row>
    <row r="184" spans="1:4" x14ac:dyDescent="0.25">
      <c r="A184" t="s">
        <v>30</v>
      </c>
      <c r="B184" t="s">
        <v>204</v>
      </c>
      <c r="C184">
        <v>1938</v>
      </c>
      <c r="D184">
        <v>368231967</v>
      </c>
    </row>
    <row r="185" spans="1:4" x14ac:dyDescent="0.25">
      <c r="A185" t="s">
        <v>30</v>
      </c>
      <c r="B185" t="s">
        <v>204</v>
      </c>
      <c r="C185">
        <v>1939</v>
      </c>
      <c r="D185">
        <v>371781679</v>
      </c>
    </row>
    <row r="186" spans="1:4" x14ac:dyDescent="0.25">
      <c r="A186" t="s">
        <v>30</v>
      </c>
      <c r="B186" t="s">
        <v>204</v>
      </c>
      <c r="C186">
        <v>1940</v>
      </c>
      <c r="D186">
        <v>373766276</v>
      </c>
    </row>
    <row r="187" spans="1:4" x14ac:dyDescent="0.25">
      <c r="A187" t="s">
        <v>30</v>
      </c>
      <c r="B187" t="s">
        <v>204</v>
      </c>
      <c r="C187">
        <v>1941</v>
      </c>
      <c r="D187">
        <v>374175756</v>
      </c>
    </row>
    <row r="188" spans="1:4" x14ac:dyDescent="0.25">
      <c r="A188" t="s">
        <v>30</v>
      </c>
      <c r="B188" t="s">
        <v>204</v>
      </c>
      <c r="C188">
        <v>1942</v>
      </c>
      <c r="D188">
        <v>372999886</v>
      </c>
    </row>
    <row r="189" spans="1:4" x14ac:dyDescent="0.25">
      <c r="A189" t="s">
        <v>30</v>
      </c>
      <c r="B189" t="s">
        <v>204</v>
      </c>
      <c r="C189">
        <v>1943</v>
      </c>
      <c r="D189">
        <v>370228201</v>
      </c>
    </row>
    <row r="190" spans="1:4" x14ac:dyDescent="0.25">
      <c r="A190" t="s">
        <v>30</v>
      </c>
      <c r="B190" t="s">
        <v>204</v>
      </c>
      <c r="C190">
        <v>1944</v>
      </c>
      <c r="D190">
        <v>367477113</v>
      </c>
    </row>
    <row r="191" spans="1:4" x14ac:dyDescent="0.25">
      <c r="A191" t="s">
        <v>30</v>
      </c>
      <c r="B191" t="s">
        <v>204</v>
      </c>
      <c r="C191">
        <v>1945</v>
      </c>
      <c r="D191">
        <v>364746467</v>
      </c>
    </row>
    <row r="192" spans="1:4" x14ac:dyDescent="0.25">
      <c r="A192" t="s">
        <v>30</v>
      </c>
      <c r="B192" t="s">
        <v>204</v>
      </c>
      <c r="C192">
        <v>1946</v>
      </c>
      <c r="D192">
        <v>362036112</v>
      </c>
    </row>
    <row r="193" spans="1:4" x14ac:dyDescent="0.25">
      <c r="A193" t="s">
        <v>30</v>
      </c>
      <c r="B193" t="s">
        <v>204</v>
      </c>
      <c r="C193">
        <v>1947</v>
      </c>
      <c r="D193">
        <v>359345897</v>
      </c>
    </row>
    <row r="194" spans="1:4" x14ac:dyDescent="0.25">
      <c r="A194" t="s">
        <v>30</v>
      </c>
      <c r="B194" t="s">
        <v>204</v>
      </c>
      <c r="C194">
        <v>1948</v>
      </c>
      <c r="D194">
        <v>356675672</v>
      </c>
    </row>
    <row r="195" spans="1:4" x14ac:dyDescent="0.25">
      <c r="A195" t="s">
        <v>30</v>
      </c>
      <c r="B195" t="s">
        <v>204</v>
      </c>
      <c r="C195">
        <v>1949</v>
      </c>
      <c r="D195">
        <v>355893489</v>
      </c>
    </row>
    <row r="196" spans="1:4" x14ac:dyDescent="0.25">
      <c r="A196" t="s">
        <v>30</v>
      </c>
      <c r="B196" t="s">
        <v>204</v>
      </c>
      <c r="C196">
        <v>1950</v>
      </c>
      <c r="D196">
        <v>346278817</v>
      </c>
    </row>
    <row r="197" spans="1:4" x14ac:dyDescent="0.25">
      <c r="A197" t="s">
        <v>30</v>
      </c>
      <c r="B197" t="s">
        <v>204</v>
      </c>
      <c r="C197">
        <v>1951</v>
      </c>
      <c r="D197">
        <v>353870058</v>
      </c>
    </row>
    <row r="198" spans="1:4" x14ac:dyDescent="0.25">
      <c r="A198" t="s">
        <v>30</v>
      </c>
      <c r="B198" t="s">
        <v>204</v>
      </c>
      <c r="C198">
        <v>1952</v>
      </c>
      <c r="D198">
        <v>361874904</v>
      </c>
    </row>
    <row r="199" spans="1:4" x14ac:dyDescent="0.25">
      <c r="A199" t="s">
        <v>30</v>
      </c>
      <c r="B199" t="s">
        <v>204</v>
      </c>
      <c r="C199">
        <v>1953</v>
      </c>
      <c r="D199">
        <v>370104571</v>
      </c>
    </row>
    <row r="200" spans="1:4" x14ac:dyDescent="0.25">
      <c r="A200" t="s">
        <v>30</v>
      </c>
      <c r="B200" t="s">
        <v>204</v>
      </c>
      <c r="C200">
        <v>1954</v>
      </c>
      <c r="D200">
        <v>378687141</v>
      </c>
    </row>
    <row r="201" spans="1:4" x14ac:dyDescent="0.25">
      <c r="A201" t="s">
        <v>30</v>
      </c>
      <c r="B201" t="s">
        <v>204</v>
      </c>
      <c r="C201">
        <v>1955</v>
      </c>
      <c r="D201">
        <v>387700891</v>
      </c>
    </row>
    <row r="202" spans="1:4" x14ac:dyDescent="0.25">
      <c r="A202" t="s">
        <v>30</v>
      </c>
      <c r="B202" t="s">
        <v>204</v>
      </c>
      <c r="C202">
        <v>1956</v>
      </c>
      <c r="D202">
        <v>396988906</v>
      </c>
    </row>
    <row r="203" spans="1:4" x14ac:dyDescent="0.25">
      <c r="A203" t="s">
        <v>30</v>
      </c>
      <c r="B203" t="s">
        <v>204</v>
      </c>
      <c r="C203">
        <v>1957</v>
      </c>
      <c r="D203">
        <v>406253895</v>
      </c>
    </row>
    <row r="204" spans="1:4" x14ac:dyDescent="0.25">
      <c r="A204" t="s">
        <v>30</v>
      </c>
      <c r="B204" t="s">
        <v>204</v>
      </c>
      <c r="C204">
        <v>1958</v>
      </c>
      <c r="D204">
        <v>415777437</v>
      </c>
    </row>
    <row r="205" spans="1:4" x14ac:dyDescent="0.25">
      <c r="A205" t="s">
        <v>30</v>
      </c>
      <c r="B205" t="s">
        <v>204</v>
      </c>
      <c r="C205">
        <v>1959</v>
      </c>
      <c r="D205">
        <v>425780669</v>
      </c>
    </row>
    <row r="206" spans="1:4" x14ac:dyDescent="0.25">
      <c r="A206" t="s">
        <v>30</v>
      </c>
      <c r="B206" t="s">
        <v>204</v>
      </c>
      <c r="C206">
        <v>1960</v>
      </c>
      <c r="D206">
        <v>435990344</v>
      </c>
    </row>
    <row r="207" spans="1:4" x14ac:dyDescent="0.25">
      <c r="A207" t="s">
        <v>30</v>
      </c>
      <c r="B207" t="s">
        <v>204</v>
      </c>
      <c r="C207">
        <v>1961</v>
      </c>
      <c r="D207">
        <v>446564730</v>
      </c>
    </row>
    <row r="208" spans="1:4" x14ac:dyDescent="0.25">
      <c r="A208" t="s">
        <v>30</v>
      </c>
      <c r="B208" t="s">
        <v>204</v>
      </c>
      <c r="C208">
        <v>1962</v>
      </c>
      <c r="D208">
        <v>457283092</v>
      </c>
    </row>
    <row r="209" spans="1:4" x14ac:dyDescent="0.25">
      <c r="A209" t="s">
        <v>30</v>
      </c>
      <c r="B209" t="s">
        <v>204</v>
      </c>
      <c r="C209">
        <v>1963</v>
      </c>
      <c r="D209">
        <v>468138576</v>
      </c>
    </row>
    <row r="210" spans="1:4" x14ac:dyDescent="0.25">
      <c r="A210" t="s">
        <v>30</v>
      </c>
      <c r="B210" t="s">
        <v>204</v>
      </c>
      <c r="C210">
        <v>1964</v>
      </c>
      <c r="D210">
        <v>479229599</v>
      </c>
    </row>
    <row r="211" spans="1:4" x14ac:dyDescent="0.25">
      <c r="A211" t="s">
        <v>30</v>
      </c>
      <c r="B211" t="s">
        <v>204</v>
      </c>
      <c r="C211">
        <v>1965</v>
      </c>
      <c r="D211">
        <v>490140141</v>
      </c>
    </row>
    <row r="212" spans="1:4" x14ac:dyDescent="0.25">
      <c r="A212" t="s">
        <v>30</v>
      </c>
      <c r="B212" t="s">
        <v>204</v>
      </c>
      <c r="C212">
        <v>1966</v>
      </c>
      <c r="D212">
        <v>500740250</v>
      </c>
    </row>
    <row r="213" spans="1:4" x14ac:dyDescent="0.25">
      <c r="A213" t="s">
        <v>30</v>
      </c>
      <c r="B213" t="s">
        <v>204</v>
      </c>
      <c r="C213">
        <v>1967</v>
      </c>
      <c r="D213">
        <v>511606375</v>
      </c>
    </row>
    <row r="214" spans="1:4" x14ac:dyDescent="0.25">
      <c r="A214" t="s">
        <v>30</v>
      </c>
      <c r="B214" t="s">
        <v>204</v>
      </c>
      <c r="C214">
        <v>1968</v>
      </c>
      <c r="D214">
        <v>522716894</v>
      </c>
    </row>
    <row r="215" spans="1:4" x14ac:dyDescent="0.25">
      <c r="A215" t="s">
        <v>30</v>
      </c>
      <c r="B215" t="s">
        <v>204</v>
      </c>
      <c r="C215">
        <v>1969</v>
      </c>
      <c r="D215">
        <v>533880544</v>
      </c>
    </row>
    <row r="216" spans="1:4" x14ac:dyDescent="0.25">
      <c r="A216" t="s">
        <v>30</v>
      </c>
      <c r="B216" t="s">
        <v>204</v>
      </c>
      <c r="C216">
        <v>1970</v>
      </c>
      <c r="D216">
        <v>545864268</v>
      </c>
    </row>
    <row r="217" spans="1:4" x14ac:dyDescent="0.25">
      <c r="A217" t="s">
        <v>30</v>
      </c>
      <c r="B217" t="s">
        <v>204</v>
      </c>
      <c r="C217">
        <v>1971</v>
      </c>
      <c r="D217">
        <v>558096383</v>
      </c>
    </row>
    <row r="218" spans="1:4" x14ac:dyDescent="0.25">
      <c r="A218" t="s">
        <v>30</v>
      </c>
      <c r="B218" t="s">
        <v>204</v>
      </c>
      <c r="C218">
        <v>1972</v>
      </c>
      <c r="D218">
        <v>570482142</v>
      </c>
    </row>
    <row r="219" spans="1:4" x14ac:dyDescent="0.25">
      <c r="A219" t="s">
        <v>30</v>
      </c>
      <c r="B219" t="s">
        <v>204</v>
      </c>
      <c r="C219">
        <v>1973</v>
      </c>
      <c r="D219">
        <v>583465595</v>
      </c>
    </row>
    <row r="220" spans="1:4" x14ac:dyDescent="0.25">
      <c r="A220" t="s">
        <v>30</v>
      </c>
      <c r="B220" t="s">
        <v>204</v>
      </c>
      <c r="C220">
        <v>1974</v>
      </c>
      <c r="D220">
        <v>597041392</v>
      </c>
    </row>
    <row r="221" spans="1:4" x14ac:dyDescent="0.25">
      <c r="A221" t="s">
        <v>30</v>
      </c>
      <c r="B221" t="s">
        <v>204</v>
      </c>
      <c r="C221">
        <v>1975</v>
      </c>
      <c r="D221">
        <v>611309532</v>
      </c>
    </row>
    <row r="222" spans="1:4" x14ac:dyDescent="0.25">
      <c r="A222" t="s">
        <v>30</v>
      </c>
      <c r="B222" t="s">
        <v>204</v>
      </c>
      <c r="C222">
        <v>1976</v>
      </c>
      <c r="D222">
        <v>625861887</v>
      </c>
    </row>
    <row r="223" spans="1:4" x14ac:dyDescent="0.25">
      <c r="A223" t="s">
        <v>30</v>
      </c>
      <c r="B223" t="s">
        <v>204</v>
      </c>
      <c r="C223">
        <v>1977</v>
      </c>
      <c r="D223">
        <v>640801105</v>
      </c>
    </row>
    <row r="224" spans="1:4" x14ac:dyDescent="0.25">
      <c r="A224" t="s">
        <v>30</v>
      </c>
      <c r="B224" t="s">
        <v>204</v>
      </c>
      <c r="C224">
        <v>1978</v>
      </c>
      <c r="D224">
        <v>655728226</v>
      </c>
    </row>
    <row r="225" spans="1:4" x14ac:dyDescent="0.25">
      <c r="A225" t="s">
        <v>30</v>
      </c>
      <c r="B225" t="s">
        <v>204</v>
      </c>
      <c r="C225">
        <v>1979</v>
      </c>
      <c r="D225">
        <v>671155745</v>
      </c>
    </row>
    <row r="226" spans="1:4" x14ac:dyDescent="0.25">
      <c r="A226" t="s">
        <v>30</v>
      </c>
      <c r="B226" t="s">
        <v>204</v>
      </c>
      <c r="C226">
        <v>1980</v>
      </c>
      <c r="D226">
        <v>687354031</v>
      </c>
    </row>
    <row r="227" spans="1:4" x14ac:dyDescent="0.25">
      <c r="A227" t="s">
        <v>30</v>
      </c>
      <c r="B227" t="s">
        <v>204</v>
      </c>
      <c r="C227">
        <v>1981</v>
      </c>
      <c r="D227">
        <v>703696255</v>
      </c>
    </row>
    <row r="228" spans="1:4" x14ac:dyDescent="0.25">
      <c r="A228" t="s">
        <v>30</v>
      </c>
      <c r="B228" t="s">
        <v>204</v>
      </c>
      <c r="C228">
        <v>1982</v>
      </c>
      <c r="D228">
        <v>720313474</v>
      </c>
    </row>
    <row r="229" spans="1:4" x14ac:dyDescent="0.25">
      <c r="A229" t="s">
        <v>30</v>
      </c>
      <c r="B229" t="s">
        <v>204</v>
      </c>
      <c r="C229">
        <v>1983</v>
      </c>
      <c r="D229">
        <v>737372685</v>
      </c>
    </row>
    <row r="230" spans="1:4" x14ac:dyDescent="0.25">
      <c r="A230" t="s">
        <v>30</v>
      </c>
      <c r="B230" t="s">
        <v>204</v>
      </c>
      <c r="C230">
        <v>1984</v>
      </c>
      <c r="D230">
        <v>754875451</v>
      </c>
    </row>
    <row r="231" spans="1:4" x14ac:dyDescent="0.25">
      <c r="A231" t="s">
        <v>30</v>
      </c>
      <c r="B231" t="s">
        <v>204</v>
      </c>
      <c r="C231">
        <v>1985</v>
      </c>
      <c r="D231">
        <v>772647801</v>
      </c>
    </row>
    <row r="232" spans="1:4" x14ac:dyDescent="0.25">
      <c r="A232" t="s">
        <v>30</v>
      </c>
      <c r="B232" t="s">
        <v>204</v>
      </c>
      <c r="C232">
        <v>1986</v>
      </c>
      <c r="D232">
        <v>790689978</v>
      </c>
    </row>
    <row r="233" spans="1:4" x14ac:dyDescent="0.25">
      <c r="A233" t="s">
        <v>30</v>
      </c>
      <c r="B233" t="s">
        <v>204</v>
      </c>
      <c r="C233">
        <v>1987</v>
      </c>
      <c r="D233">
        <v>808931261</v>
      </c>
    </row>
    <row r="234" spans="1:4" x14ac:dyDescent="0.25">
      <c r="A234" t="s">
        <v>30</v>
      </c>
      <c r="B234" t="s">
        <v>204</v>
      </c>
      <c r="C234">
        <v>1988</v>
      </c>
      <c r="D234">
        <v>827342997</v>
      </c>
    </row>
    <row r="235" spans="1:4" x14ac:dyDescent="0.25">
      <c r="A235" t="s">
        <v>30</v>
      </c>
      <c r="B235" t="s">
        <v>204</v>
      </c>
      <c r="C235">
        <v>1989</v>
      </c>
      <c r="D235">
        <v>846039530</v>
      </c>
    </row>
    <row r="236" spans="1:4" x14ac:dyDescent="0.25">
      <c r="A236" t="s">
        <v>30</v>
      </c>
      <c r="B236" t="s">
        <v>204</v>
      </c>
      <c r="C236">
        <v>1990</v>
      </c>
      <c r="D236">
        <v>864972219</v>
      </c>
    </row>
    <row r="237" spans="1:4" x14ac:dyDescent="0.25">
      <c r="A237" t="s">
        <v>30</v>
      </c>
      <c r="B237" t="s">
        <v>204</v>
      </c>
      <c r="C237">
        <v>1991</v>
      </c>
      <c r="D237">
        <v>883927607</v>
      </c>
    </row>
    <row r="238" spans="1:4" x14ac:dyDescent="0.25">
      <c r="A238" t="s">
        <v>30</v>
      </c>
      <c r="B238" t="s">
        <v>204</v>
      </c>
      <c r="C238">
        <v>1992</v>
      </c>
      <c r="D238">
        <v>902957072</v>
      </c>
    </row>
    <row r="239" spans="1:4" x14ac:dyDescent="0.25">
      <c r="A239" t="s">
        <v>30</v>
      </c>
      <c r="B239" t="s">
        <v>204</v>
      </c>
      <c r="C239">
        <v>1993</v>
      </c>
      <c r="D239">
        <v>922118380</v>
      </c>
    </row>
    <row r="240" spans="1:4" x14ac:dyDescent="0.25">
      <c r="A240" t="s">
        <v>30</v>
      </c>
      <c r="B240" t="s">
        <v>204</v>
      </c>
      <c r="C240">
        <v>1994</v>
      </c>
      <c r="D240">
        <v>941163775</v>
      </c>
    </row>
    <row r="241" spans="1:4" x14ac:dyDescent="0.25">
      <c r="A241" t="s">
        <v>30</v>
      </c>
      <c r="B241" t="s">
        <v>204</v>
      </c>
      <c r="C241">
        <v>1995</v>
      </c>
      <c r="D241">
        <v>960301048</v>
      </c>
    </row>
    <row r="242" spans="1:4" x14ac:dyDescent="0.25">
      <c r="A242" t="s">
        <v>30</v>
      </c>
      <c r="B242" t="s">
        <v>204</v>
      </c>
      <c r="C242">
        <v>1996</v>
      </c>
      <c r="D242">
        <v>979678464</v>
      </c>
    </row>
    <row r="243" spans="1:4" x14ac:dyDescent="0.25">
      <c r="A243" t="s">
        <v>30</v>
      </c>
      <c r="B243" t="s">
        <v>204</v>
      </c>
      <c r="C243">
        <v>1997</v>
      </c>
      <c r="D243">
        <v>999133765</v>
      </c>
    </row>
    <row r="244" spans="1:4" x14ac:dyDescent="0.25">
      <c r="A244" t="s">
        <v>30</v>
      </c>
      <c r="B244" t="s">
        <v>204</v>
      </c>
      <c r="C244">
        <v>1998</v>
      </c>
      <c r="D244">
        <v>1018665073</v>
      </c>
    </row>
    <row r="245" spans="1:4" x14ac:dyDescent="0.25">
      <c r="A245" t="s">
        <v>30</v>
      </c>
      <c r="B245" t="s">
        <v>204</v>
      </c>
      <c r="C245">
        <v>1999</v>
      </c>
      <c r="D245">
        <v>1038225821</v>
      </c>
    </row>
    <row r="246" spans="1:4" x14ac:dyDescent="0.25">
      <c r="A246" t="s">
        <v>30</v>
      </c>
      <c r="B246" t="s">
        <v>204</v>
      </c>
      <c r="C246">
        <v>2000</v>
      </c>
      <c r="D246">
        <v>1057922728</v>
      </c>
    </row>
    <row r="247" spans="1:4" x14ac:dyDescent="0.25">
      <c r="A247" t="s">
        <v>30</v>
      </c>
      <c r="B247" t="s">
        <v>204</v>
      </c>
      <c r="C247">
        <v>2001</v>
      </c>
      <c r="D247">
        <v>1077898572</v>
      </c>
    </row>
    <row r="248" spans="1:4" x14ac:dyDescent="0.25">
      <c r="A248" t="s">
        <v>30</v>
      </c>
      <c r="B248" t="s">
        <v>204</v>
      </c>
      <c r="C248">
        <v>2002</v>
      </c>
      <c r="D248">
        <v>1097600381</v>
      </c>
    </row>
    <row r="249" spans="1:4" x14ac:dyDescent="0.25">
      <c r="A249" t="s">
        <v>30</v>
      </c>
      <c r="B249" t="s">
        <v>204</v>
      </c>
      <c r="C249">
        <v>2003</v>
      </c>
      <c r="D249">
        <v>1116802997</v>
      </c>
    </row>
    <row r="250" spans="1:4" x14ac:dyDescent="0.25">
      <c r="A250" t="s">
        <v>30</v>
      </c>
      <c r="B250" t="s">
        <v>204</v>
      </c>
      <c r="C250">
        <v>2004</v>
      </c>
      <c r="D250">
        <v>1135991510</v>
      </c>
    </row>
    <row r="251" spans="1:4" x14ac:dyDescent="0.25">
      <c r="A251" t="s">
        <v>30</v>
      </c>
      <c r="B251" t="s">
        <v>204</v>
      </c>
      <c r="C251">
        <v>2005</v>
      </c>
      <c r="D251">
        <v>1154676319</v>
      </c>
    </row>
    <row r="252" spans="1:4" x14ac:dyDescent="0.25">
      <c r="A252" t="s">
        <v>30</v>
      </c>
      <c r="B252" t="s">
        <v>204</v>
      </c>
      <c r="C252">
        <v>2006</v>
      </c>
      <c r="D252">
        <v>1172878890</v>
      </c>
    </row>
    <row r="253" spans="1:4" x14ac:dyDescent="0.25">
      <c r="A253" t="s">
        <v>30</v>
      </c>
      <c r="B253" t="s">
        <v>204</v>
      </c>
      <c r="C253">
        <v>2007</v>
      </c>
      <c r="D253">
        <v>1190676028</v>
      </c>
    </row>
    <row r="254" spans="1:4" x14ac:dyDescent="0.25">
      <c r="A254" t="s">
        <v>30</v>
      </c>
      <c r="B254" t="s">
        <v>204</v>
      </c>
      <c r="C254">
        <v>2008</v>
      </c>
      <c r="D254">
        <v>1207930962</v>
      </c>
    </row>
    <row r="255" spans="1:4" x14ac:dyDescent="0.25">
      <c r="A255" t="s">
        <v>30</v>
      </c>
      <c r="B255" t="s">
        <v>204</v>
      </c>
      <c r="C255">
        <v>2009</v>
      </c>
      <c r="D255">
        <v>1225524760</v>
      </c>
    </row>
    <row r="256" spans="1:4" x14ac:dyDescent="0.25">
      <c r="A256" t="s">
        <v>30</v>
      </c>
      <c r="B256" t="s">
        <v>204</v>
      </c>
      <c r="C256">
        <v>2010</v>
      </c>
      <c r="D256">
        <v>1243481564</v>
      </c>
    </row>
    <row r="257" spans="1:4" x14ac:dyDescent="0.25">
      <c r="A257" t="s">
        <v>30</v>
      </c>
      <c r="B257" t="s">
        <v>204</v>
      </c>
      <c r="C257">
        <v>2011</v>
      </c>
      <c r="D257">
        <v>1261224952</v>
      </c>
    </row>
    <row r="258" spans="1:4" x14ac:dyDescent="0.25">
      <c r="A258" t="s">
        <v>30</v>
      </c>
      <c r="B258" t="s">
        <v>204</v>
      </c>
      <c r="C258">
        <v>2012</v>
      </c>
      <c r="D258">
        <v>1278674506</v>
      </c>
    </row>
    <row r="259" spans="1:4" x14ac:dyDescent="0.25">
      <c r="A259" t="s">
        <v>30</v>
      </c>
      <c r="B259" t="s">
        <v>204</v>
      </c>
      <c r="C259">
        <v>2013</v>
      </c>
      <c r="D259">
        <v>1295829506</v>
      </c>
    </row>
    <row r="260" spans="1:4" x14ac:dyDescent="0.25">
      <c r="A260" t="s">
        <v>30</v>
      </c>
      <c r="B260" t="s">
        <v>204</v>
      </c>
      <c r="C260">
        <v>2014</v>
      </c>
      <c r="D260">
        <v>1312277184</v>
      </c>
    </row>
    <row r="261" spans="1:4" x14ac:dyDescent="0.25">
      <c r="A261" t="s">
        <v>30</v>
      </c>
      <c r="B261" t="s">
        <v>204</v>
      </c>
      <c r="C261">
        <v>2015</v>
      </c>
      <c r="D261">
        <v>1328024492</v>
      </c>
    </row>
    <row r="262" spans="1:4" x14ac:dyDescent="0.25">
      <c r="A262" t="s">
        <v>30</v>
      </c>
      <c r="B262" t="s">
        <v>204</v>
      </c>
      <c r="C262">
        <v>2016</v>
      </c>
      <c r="D262">
        <v>1343944293</v>
      </c>
    </row>
    <row r="263" spans="1:4" x14ac:dyDescent="0.25">
      <c r="A263" t="s">
        <v>30</v>
      </c>
      <c r="B263" t="s">
        <v>204</v>
      </c>
      <c r="C263">
        <v>2017</v>
      </c>
      <c r="D263">
        <v>1359657392</v>
      </c>
    </row>
    <row r="264" spans="1:4" x14ac:dyDescent="0.25">
      <c r="A264" t="s">
        <v>30</v>
      </c>
      <c r="B264" t="s">
        <v>204</v>
      </c>
      <c r="C264">
        <v>2018</v>
      </c>
      <c r="D264">
        <v>1374659068</v>
      </c>
    </row>
    <row r="265" spans="1:4" x14ac:dyDescent="0.25">
      <c r="A265" t="s">
        <v>30</v>
      </c>
      <c r="B265" t="s">
        <v>204</v>
      </c>
      <c r="C265">
        <v>2019</v>
      </c>
      <c r="D265">
        <v>1389030303</v>
      </c>
    </row>
    <row r="266" spans="1:4" x14ac:dyDescent="0.25">
      <c r="A266" t="s">
        <v>30</v>
      </c>
      <c r="B266" t="s">
        <v>204</v>
      </c>
      <c r="C266">
        <v>2020</v>
      </c>
      <c r="D266">
        <v>1402617692</v>
      </c>
    </row>
    <row r="267" spans="1:4" x14ac:dyDescent="0.25">
      <c r="A267" t="s">
        <v>30</v>
      </c>
      <c r="B267" t="s">
        <v>204</v>
      </c>
      <c r="C267">
        <v>2021</v>
      </c>
      <c r="D267">
        <v>1414203889</v>
      </c>
    </row>
    <row r="268" spans="1:4" x14ac:dyDescent="0.25">
      <c r="A268" t="s">
        <v>30</v>
      </c>
      <c r="B268" t="s">
        <v>204</v>
      </c>
      <c r="C268">
        <v>2022</v>
      </c>
      <c r="D268">
        <v>1425423212</v>
      </c>
    </row>
    <row r="269" spans="1:4" x14ac:dyDescent="0.25">
      <c r="A269" t="s">
        <v>30</v>
      </c>
      <c r="B269" t="s">
        <v>204</v>
      </c>
      <c r="C269">
        <v>2023</v>
      </c>
      <c r="D269">
        <v>1438069597</v>
      </c>
    </row>
    <row r="270" spans="1:4" x14ac:dyDescent="0.25">
      <c r="A270" t="s">
        <v>28</v>
      </c>
      <c r="B270" t="s">
        <v>205</v>
      </c>
      <c r="C270">
        <v>1890</v>
      </c>
      <c r="D270">
        <v>17381784</v>
      </c>
    </row>
    <row r="271" spans="1:4" x14ac:dyDescent="0.25">
      <c r="A271" t="s">
        <v>28</v>
      </c>
      <c r="B271" t="s">
        <v>205</v>
      </c>
      <c r="C271">
        <v>1891</v>
      </c>
      <c r="D271">
        <v>17506792</v>
      </c>
    </row>
    <row r="272" spans="1:4" x14ac:dyDescent="0.25">
      <c r="A272" t="s">
        <v>28</v>
      </c>
      <c r="B272" t="s">
        <v>205</v>
      </c>
      <c r="C272">
        <v>1892</v>
      </c>
      <c r="D272">
        <v>17630043</v>
      </c>
    </row>
    <row r="273" spans="1:4" x14ac:dyDescent="0.25">
      <c r="A273" t="s">
        <v>28</v>
      </c>
      <c r="B273" t="s">
        <v>205</v>
      </c>
      <c r="C273">
        <v>1893</v>
      </c>
      <c r="D273">
        <v>17751504</v>
      </c>
    </row>
    <row r="274" spans="1:4" x14ac:dyDescent="0.25">
      <c r="A274" t="s">
        <v>28</v>
      </c>
      <c r="B274" t="s">
        <v>205</v>
      </c>
      <c r="C274">
        <v>1894</v>
      </c>
      <c r="D274">
        <v>17873772</v>
      </c>
    </row>
    <row r="275" spans="1:4" x14ac:dyDescent="0.25">
      <c r="A275" t="s">
        <v>28</v>
      </c>
      <c r="B275" t="s">
        <v>205</v>
      </c>
      <c r="C275">
        <v>1895</v>
      </c>
      <c r="D275">
        <v>17996851</v>
      </c>
    </row>
    <row r="276" spans="1:4" x14ac:dyDescent="0.25">
      <c r="A276" t="s">
        <v>28</v>
      </c>
      <c r="B276" t="s">
        <v>205</v>
      </c>
      <c r="C276">
        <v>1896</v>
      </c>
      <c r="D276">
        <v>18120748</v>
      </c>
    </row>
    <row r="277" spans="1:4" x14ac:dyDescent="0.25">
      <c r="A277" t="s">
        <v>28</v>
      </c>
      <c r="B277" t="s">
        <v>205</v>
      </c>
      <c r="C277">
        <v>1897</v>
      </c>
      <c r="D277">
        <v>18245468</v>
      </c>
    </row>
    <row r="278" spans="1:4" x14ac:dyDescent="0.25">
      <c r="A278" t="s">
        <v>28</v>
      </c>
      <c r="B278" t="s">
        <v>205</v>
      </c>
      <c r="C278">
        <v>1898</v>
      </c>
      <c r="D278">
        <v>18371015</v>
      </c>
    </row>
    <row r="279" spans="1:4" x14ac:dyDescent="0.25">
      <c r="A279" t="s">
        <v>28</v>
      </c>
      <c r="B279" t="s">
        <v>205</v>
      </c>
      <c r="C279">
        <v>1899</v>
      </c>
      <c r="D279">
        <v>18510500</v>
      </c>
    </row>
    <row r="280" spans="1:4" x14ac:dyDescent="0.25">
      <c r="A280" t="s">
        <v>28</v>
      </c>
      <c r="B280" t="s">
        <v>205</v>
      </c>
      <c r="C280">
        <v>1900</v>
      </c>
      <c r="D280">
        <v>18664170</v>
      </c>
    </row>
    <row r="281" spans="1:4" x14ac:dyDescent="0.25">
      <c r="A281" t="s">
        <v>28</v>
      </c>
      <c r="B281" t="s">
        <v>205</v>
      </c>
      <c r="C281">
        <v>1901</v>
      </c>
      <c r="D281">
        <v>18832279</v>
      </c>
    </row>
    <row r="282" spans="1:4" x14ac:dyDescent="0.25">
      <c r="A282" t="s">
        <v>28</v>
      </c>
      <c r="B282" t="s">
        <v>205</v>
      </c>
      <c r="C282">
        <v>1902</v>
      </c>
      <c r="D282">
        <v>19015081</v>
      </c>
    </row>
    <row r="283" spans="1:4" x14ac:dyDescent="0.25">
      <c r="A283" t="s">
        <v>28</v>
      </c>
      <c r="B283" t="s">
        <v>205</v>
      </c>
      <c r="C283">
        <v>1903</v>
      </c>
      <c r="D283">
        <v>19212834</v>
      </c>
    </row>
    <row r="284" spans="1:4" x14ac:dyDescent="0.25">
      <c r="A284" t="s">
        <v>28</v>
      </c>
      <c r="B284" t="s">
        <v>205</v>
      </c>
      <c r="C284">
        <v>1904</v>
      </c>
      <c r="D284">
        <v>19412612</v>
      </c>
    </row>
    <row r="285" spans="1:4" x14ac:dyDescent="0.25">
      <c r="A285" t="s">
        <v>28</v>
      </c>
      <c r="B285" t="s">
        <v>205</v>
      </c>
      <c r="C285">
        <v>1905</v>
      </c>
      <c r="D285">
        <v>19614436</v>
      </c>
    </row>
    <row r="286" spans="1:4" x14ac:dyDescent="0.25">
      <c r="A286" t="s">
        <v>28</v>
      </c>
      <c r="B286" t="s">
        <v>205</v>
      </c>
      <c r="C286">
        <v>1906</v>
      </c>
      <c r="D286">
        <v>19818325</v>
      </c>
    </row>
    <row r="287" spans="1:4" x14ac:dyDescent="0.25">
      <c r="A287" t="s">
        <v>28</v>
      </c>
      <c r="B287" t="s">
        <v>205</v>
      </c>
      <c r="C287">
        <v>1907</v>
      </c>
      <c r="D287">
        <v>20024302</v>
      </c>
    </row>
    <row r="288" spans="1:4" x14ac:dyDescent="0.25">
      <c r="A288" t="s">
        <v>28</v>
      </c>
      <c r="B288" t="s">
        <v>205</v>
      </c>
      <c r="C288">
        <v>1908</v>
      </c>
      <c r="D288">
        <v>20232386</v>
      </c>
    </row>
    <row r="289" spans="1:4" x14ac:dyDescent="0.25">
      <c r="A289" t="s">
        <v>28</v>
      </c>
      <c r="B289" t="s">
        <v>205</v>
      </c>
      <c r="C289">
        <v>1909</v>
      </c>
      <c r="D289">
        <v>20442936</v>
      </c>
    </row>
    <row r="290" spans="1:4" x14ac:dyDescent="0.25">
      <c r="A290" t="s">
        <v>28</v>
      </c>
      <c r="B290" t="s">
        <v>205</v>
      </c>
      <c r="C290">
        <v>1910</v>
      </c>
      <c r="D290">
        <v>20655981</v>
      </c>
    </row>
    <row r="291" spans="1:4" x14ac:dyDescent="0.25">
      <c r="A291" t="s">
        <v>28</v>
      </c>
      <c r="B291" t="s">
        <v>205</v>
      </c>
      <c r="C291">
        <v>1911</v>
      </c>
      <c r="D291">
        <v>20871550</v>
      </c>
    </row>
    <row r="292" spans="1:4" x14ac:dyDescent="0.25">
      <c r="A292" t="s">
        <v>28</v>
      </c>
      <c r="B292" t="s">
        <v>205</v>
      </c>
      <c r="C292">
        <v>1912</v>
      </c>
      <c r="D292">
        <v>21089672</v>
      </c>
    </row>
    <row r="293" spans="1:4" x14ac:dyDescent="0.25">
      <c r="A293" t="s">
        <v>28</v>
      </c>
      <c r="B293" t="s">
        <v>205</v>
      </c>
      <c r="C293">
        <v>1913</v>
      </c>
      <c r="D293">
        <v>21310378</v>
      </c>
    </row>
    <row r="294" spans="1:4" x14ac:dyDescent="0.25">
      <c r="A294" t="s">
        <v>28</v>
      </c>
      <c r="B294" t="s">
        <v>205</v>
      </c>
      <c r="C294">
        <v>1914</v>
      </c>
      <c r="D294">
        <v>21533359</v>
      </c>
    </row>
    <row r="295" spans="1:4" x14ac:dyDescent="0.25">
      <c r="A295" t="s">
        <v>28</v>
      </c>
      <c r="B295" t="s">
        <v>205</v>
      </c>
      <c r="C295">
        <v>1915</v>
      </c>
      <c r="D295">
        <v>21758639</v>
      </c>
    </row>
    <row r="296" spans="1:4" x14ac:dyDescent="0.25">
      <c r="A296" t="s">
        <v>28</v>
      </c>
      <c r="B296" t="s">
        <v>205</v>
      </c>
      <c r="C296">
        <v>1916</v>
      </c>
      <c r="D296">
        <v>21986241</v>
      </c>
    </row>
    <row r="297" spans="1:4" x14ac:dyDescent="0.25">
      <c r="A297" t="s">
        <v>28</v>
      </c>
      <c r="B297" t="s">
        <v>205</v>
      </c>
      <c r="C297">
        <v>1917</v>
      </c>
      <c r="D297">
        <v>22216188</v>
      </c>
    </row>
    <row r="298" spans="1:4" x14ac:dyDescent="0.25">
      <c r="A298" t="s">
        <v>28</v>
      </c>
      <c r="B298" t="s">
        <v>205</v>
      </c>
      <c r="C298">
        <v>1918</v>
      </c>
      <c r="D298">
        <v>22420351</v>
      </c>
    </row>
    <row r="299" spans="1:4" x14ac:dyDescent="0.25">
      <c r="A299" t="s">
        <v>28</v>
      </c>
      <c r="B299" t="s">
        <v>205</v>
      </c>
      <c r="C299">
        <v>1919</v>
      </c>
      <c r="D299">
        <v>22657217</v>
      </c>
    </row>
    <row r="300" spans="1:4" x14ac:dyDescent="0.25">
      <c r="A300" t="s">
        <v>28</v>
      </c>
      <c r="B300" t="s">
        <v>205</v>
      </c>
      <c r="C300">
        <v>1920</v>
      </c>
      <c r="D300">
        <v>22927580</v>
      </c>
    </row>
    <row r="301" spans="1:4" x14ac:dyDescent="0.25">
      <c r="A301" t="s">
        <v>28</v>
      </c>
      <c r="B301" t="s">
        <v>205</v>
      </c>
      <c r="C301">
        <v>1921</v>
      </c>
      <c r="D301">
        <v>23232246</v>
      </c>
    </row>
    <row r="302" spans="1:4" x14ac:dyDescent="0.25">
      <c r="A302" t="s">
        <v>28</v>
      </c>
      <c r="B302" t="s">
        <v>205</v>
      </c>
      <c r="C302">
        <v>1922</v>
      </c>
      <c r="D302">
        <v>23572038</v>
      </c>
    </row>
    <row r="303" spans="1:4" x14ac:dyDescent="0.25">
      <c r="A303" t="s">
        <v>28</v>
      </c>
      <c r="B303" t="s">
        <v>205</v>
      </c>
      <c r="C303">
        <v>1923</v>
      </c>
      <c r="D303">
        <v>23947794</v>
      </c>
    </row>
    <row r="304" spans="1:4" x14ac:dyDescent="0.25">
      <c r="A304" t="s">
        <v>28</v>
      </c>
      <c r="B304" t="s">
        <v>205</v>
      </c>
      <c r="C304">
        <v>1924</v>
      </c>
      <c r="D304">
        <v>24329539</v>
      </c>
    </row>
    <row r="305" spans="1:4" x14ac:dyDescent="0.25">
      <c r="A305" t="s">
        <v>28</v>
      </c>
      <c r="B305" t="s">
        <v>205</v>
      </c>
      <c r="C305">
        <v>1925</v>
      </c>
      <c r="D305">
        <v>24717370</v>
      </c>
    </row>
    <row r="306" spans="1:4" x14ac:dyDescent="0.25">
      <c r="A306" t="s">
        <v>28</v>
      </c>
      <c r="B306" t="s">
        <v>205</v>
      </c>
      <c r="C306">
        <v>1926</v>
      </c>
      <c r="D306">
        <v>25111383</v>
      </c>
    </row>
    <row r="307" spans="1:4" x14ac:dyDescent="0.25">
      <c r="A307" t="s">
        <v>28</v>
      </c>
      <c r="B307" t="s">
        <v>205</v>
      </c>
      <c r="C307">
        <v>1927</v>
      </c>
      <c r="D307">
        <v>25511677</v>
      </c>
    </row>
    <row r="308" spans="1:4" x14ac:dyDescent="0.25">
      <c r="A308" t="s">
        <v>28</v>
      </c>
      <c r="B308" t="s">
        <v>205</v>
      </c>
      <c r="C308">
        <v>1928</v>
      </c>
      <c r="D308">
        <v>25918352</v>
      </c>
    </row>
    <row r="309" spans="1:4" x14ac:dyDescent="0.25">
      <c r="A309" t="s">
        <v>28</v>
      </c>
      <c r="B309" t="s">
        <v>205</v>
      </c>
      <c r="C309">
        <v>1929</v>
      </c>
      <c r="D309">
        <v>26326182</v>
      </c>
    </row>
    <row r="310" spans="1:4" x14ac:dyDescent="0.25">
      <c r="A310" t="s">
        <v>28</v>
      </c>
      <c r="B310" t="s">
        <v>205</v>
      </c>
      <c r="C310">
        <v>1930</v>
      </c>
      <c r="D310">
        <v>26735105</v>
      </c>
    </row>
    <row r="311" spans="1:4" x14ac:dyDescent="0.25">
      <c r="A311" t="s">
        <v>28</v>
      </c>
      <c r="B311" t="s">
        <v>205</v>
      </c>
      <c r="C311">
        <v>1931</v>
      </c>
      <c r="D311">
        <v>27145057</v>
      </c>
    </row>
    <row r="312" spans="1:4" x14ac:dyDescent="0.25">
      <c r="A312" t="s">
        <v>28</v>
      </c>
      <c r="B312" t="s">
        <v>205</v>
      </c>
      <c r="C312">
        <v>1932</v>
      </c>
      <c r="D312">
        <v>27555974</v>
      </c>
    </row>
    <row r="313" spans="1:4" x14ac:dyDescent="0.25">
      <c r="A313" t="s">
        <v>28</v>
      </c>
      <c r="B313" t="s">
        <v>205</v>
      </c>
      <c r="C313">
        <v>1933</v>
      </c>
      <c r="D313">
        <v>27967788</v>
      </c>
    </row>
    <row r="314" spans="1:4" x14ac:dyDescent="0.25">
      <c r="A314" t="s">
        <v>28</v>
      </c>
      <c r="B314" t="s">
        <v>205</v>
      </c>
      <c r="C314">
        <v>1934</v>
      </c>
      <c r="D314">
        <v>28385755</v>
      </c>
    </row>
    <row r="315" spans="1:4" x14ac:dyDescent="0.25">
      <c r="A315" t="s">
        <v>28</v>
      </c>
      <c r="B315" t="s">
        <v>205</v>
      </c>
      <c r="C315">
        <v>1935</v>
      </c>
      <c r="D315">
        <v>28809970</v>
      </c>
    </row>
    <row r="316" spans="1:4" x14ac:dyDescent="0.25">
      <c r="A316" t="s">
        <v>28</v>
      </c>
      <c r="B316" t="s">
        <v>205</v>
      </c>
      <c r="C316">
        <v>1936</v>
      </c>
      <c r="D316">
        <v>29240524</v>
      </c>
    </row>
    <row r="317" spans="1:4" x14ac:dyDescent="0.25">
      <c r="A317" t="s">
        <v>28</v>
      </c>
      <c r="B317" t="s">
        <v>205</v>
      </c>
      <c r="C317">
        <v>1937</v>
      </c>
      <c r="D317">
        <v>29677512</v>
      </c>
    </row>
    <row r="318" spans="1:4" x14ac:dyDescent="0.25">
      <c r="A318" t="s">
        <v>28</v>
      </c>
      <c r="B318" t="s">
        <v>205</v>
      </c>
      <c r="C318">
        <v>1938</v>
      </c>
      <c r="D318">
        <v>30121031</v>
      </c>
    </row>
    <row r="319" spans="1:4" x14ac:dyDescent="0.25">
      <c r="A319" t="s">
        <v>28</v>
      </c>
      <c r="B319" t="s">
        <v>205</v>
      </c>
      <c r="C319">
        <v>1939</v>
      </c>
      <c r="D319">
        <v>30590134</v>
      </c>
    </row>
    <row r="320" spans="1:4" x14ac:dyDescent="0.25">
      <c r="A320" t="s">
        <v>28</v>
      </c>
      <c r="B320" t="s">
        <v>205</v>
      </c>
      <c r="C320">
        <v>1940</v>
      </c>
      <c r="D320">
        <v>31085546</v>
      </c>
    </row>
    <row r="321" spans="1:4" x14ac:dyDescent="0.25">
      <c r="A321" t="s">
        <v>28</v>
      </c>
      <c r="B321" t="s">
        <v>205</v>
      </c>
      <c r="C321">
        <v>1941</v>
      </c>
      <c r="D321">
        <v>31608007</v>
      </c>
    </row>
    <row r="322" spans="1:4" x14ac:dyDescent="0.25">
      <c r="A322" t="s">
        <v>28</v>
      </c>
      <c r="B322" t="s">
        <v>205</v>
      </c>
      <c r="C322">
        <v>1942</v>
      </c>
      <c r="D322">
        <v>32158274</v>
      </c>
    </row>
    <row r="323" spans="1:4" x14ac:dyDescent="0.25">
      <c r="A323" t="s">
        <v>28</v>
      </c>
      <c r="B323" t="s">
        <v>205</v>
      </c>
      <c r="C323">
        <v>1943</v>
      </c>
      <c r="D323">
        <v>32737123</v>
      </c>
    </row>
    <row r="324" spans="1:4" x14ac:dyDescent="0.25">
      <c r="A324" t="s">
        <v>28</v>
      </c>
      <c r="B324" t="s">
        <v>205</v>
      </c>
      <c r="C324">
        <v>1944</v>
      </c>
      <c r="D324">
        <v>33326391</v>
      </c>
    </row>
    <row r="325" spans="1:4" x14ac:dyDescent="0.25">
      <c r="A325" t="s">
        <v>28</v>
      </c>
      <c r="B325" t="s">
        <v>205</v>
      </c>
      <c r="C325">
        <v>1945</v>
      </c>
      <c r="D325">
        <v>33926266</v>
      </c>
    </row>
    <row r="326" spans="1:4" x14ac:dyDescent="0.25">
      <c r="A326" t="s">
        <v>28</v>
      </c>
      <c r="B326" t="s">
        <v>205</v>
      </c>
      <c r="C326">
        <v>1946</v>
      </c>
      <c r="D326">
        <v>34536939</v>
      </c>
    </row>
    <row r="327" spans="1:4" x14ac:dyDescent="0.25">
      <c r="A327" t="s">
        <v>28</v>
      </c>
      <c r="B327" t="s">
        <v>205</v>
      </c>
      <c r="C327">
        <v>1947</v>
      </c>
      <c r="D327">
        <v>35158604</v>
      </c>
    </row>
    <row r="328" spans="1:4" x14ac:dyDescent="0.25">
      <c r="A328" t="s">
        <v>28</v>
      </c>
      <c r="B328" t="s">
        <v>205</v>
      </c>
      <c r="C328">
        <v>1948</v>
      </c>
      <c r="D328">
        <v>35791459</v>
      </c>
    </row>
    <row r="329" spans="1:4" x14ac:dyDescent="0.25">
      <c r="A329" t="s">
        <v>28</v>
      </c>
      <c r="B329" t="s">
        <v>205</v>
      </c>
      <c r="C329">
        <v>1949</v>
      </c>
      <c r="D329">
        <v>36467880</v>
      </c>
    </row>
    <row r="330" spans="1:4" x14ac:dyDescent="0.25">
      <c r="A330" t="s">
        <v>28</v>
      </c>
      <c r="B330" t="s">
        <v>205</v>
      </c>
      <c r="C330">
        <v>1950</v>
      </c>
      <c r="D330">
        <v>37283018</v>
      </c>
    </row>
    <row r="331" spans="1:4" x14ac:dyDescent="0.25">
      <c r="A331" t="s">
        <v>28</v>
      </c>
      <c r="B331" t="s">
        <v>205</v>
      </c>
      <c r="C331">
        <v>1951</v>
      </c>
      <c r="D331">
        <v>37994083</v>
      </c>
    </row>
    <row r="332" spans="1:4" x14ac:dyDescent="0.25">
      <c r="A332" t="s">
        <v>28</v>
      </c>
      <c r="B332" t="s">
        <v>205</v>
      </c>
      <c r="C332">
        <v>1952</v>
      </c>
      <c r="D332">
        <v>38716209</v>
      </c>
    </row>
    <row r="333" spans="1:4" x14ac:dyDescent="0.25">
      <c r="A333" t="s">
        <v>28</v>
      </c>
      <c r="B333" t="s">
        <v>205</v>
      </c>
      <c r="C333">
        <v>1953</v>
      </c>
      <c r="D333">
        <v>39439812</v>
      </c>
    </row>
    <row r="334" spans="1:4" x14ac:dyDescent="0.25">
      <c r="A334" t="s">
        <v>28</v>
      </c>
      <c r="B334" t="s">
        <v>205</v>
      </c>
      <c r="C334">
        <v>1954</v>
      </c>
      <c r="D334">
        <v>40176323</v>
      </c>
    </row>
    <row r="335" spans="1:4" x14ac:dyDescent="0.25">
      <c r="A335" t="s">
        <v>28</v>
      </c>
      <c r="B335" t="s">
        <v>205</v>
      </c>
      <c r="C335">
        <v>1955</v>
      </c>
      <c r="D335">
        <v>40935636</v>
      </c>
    </row>
    <row r="336" spans="1:4" x14ac:dyDescent="0.25">
      <c r="A336" t="s">
        <v>28</v>
      </c>
      <c r="B336" t="s">
        <v>205</v>
      </c>
      <c r="C336">
        <v>1956</v>
      </c>
      <c r="D336">
        <v>41716058</v>
      </c>
    </row>
    <row r="337" spans="1:4" x14ac:dyDescent="0.25">
      <c r="A337" t="s">
        <v>28</v>
      </c>
      <c r="B337" t="s">
        <v>205</v>
      </c>
      <c r="C337">
        <v>1957</v>
      </c>
      <c r="D337">
        <v>42517478</v>
      </c>
    </row>
    <row r="338" spans="1:4" x14ac:dyDescent="0.25">
      <c r="A338" t="s">
        <v>28</v>
      </c>
      <c r="B338" t="s">
        <v>205</v>
      </c>
      <c r="C338">
        <v>1958</v>
      </c>
      <c r="D338">
        <v>43324653</v>
      </c>
    </row>
    <row r="339" spans="1:4" x14ac:dyDescent="0.25">
      <c r="A339" t="s">
        <v>28</v>
      </c>
      <c r="B339" t="s">
        <v>205</v>
      </c>
      <c r="C339">
        <v>1959</v>
      </c>
      <c r="D339">
        <v>44161685</v>
      </c>
    </row>
    <row r="340" spans="1:4" x14ac:dyDescent="0.25">
      <c r="A340" t="s">
        <v>28</v>
      </c>
      <c r="B340" t="s">
        <v>205</v>
      </c>
      <c r="C340">
        <v>1960</v>
      </c>
      <c r="D340">
        <v>45053787</v>
      </c>
    </row>
    <row r="341" spans="1:4" x14ac:dyDescent="0.25">
      <c r="A341" t="s">
        <v>28</v>
      </c>
      <c r="B341" t="s">
        <v>205</v>
      </c>
      <c r="C341">
        <v>1961</v>
      </c>
      <c r="D341">
        <v>45989311</v>
      </c>
    </row>
    <row r="342" spans="1:4" x14ac:dyDescent="0.25">
      <c r="A342" t="s">
        <v>28</v>
      </c>
      <c r="B342" t="s">
        <v>205</v>
      </c>
      <c r="C342">
        <v>1962</v>
      </c>
      <c r="D342">
        <v>46965300</v>
      </c>
    </row>
    <row r="343" spans="1:4" x14ac:dyDescent="0.25">
      <c r="A343" t="s">
        <v>28</v>
      </c>
      <c r="B343" t="s">
        <v>205</v>
      </c>
      <c r="C343">
        <v>1963</v>
      </c>
      <c r="D343">
        <v>47973577</v>
      </c>
    </row>
    <row r="344" spans="1:4" x14ac:dyDescent="0.25">
      <c r="A344" t="s">
        <v>28</v>
      </c>
      <c r="B344" t="s">
        <v>205</v>
      </c>
      <c r="C344">
        <v>1964</v>
      </c>
      <c r="D344">
        <v>49012023</v>
      </c>
    </row>
    <row r="345" spans="1:4" x14ac:dyDescent="0.25">
      <c r="A345" t="s">
        <v>28</v>
      </c>
      <c r="B345" t="s">
        <v>205</v>
      </c>
      <c r="C345">
        <v>1965</v>
      </c>
      <c r="D345">
        <v>50086763</v>
      </c>
    </row>
    <row r="346" spans="1:4" x14ac:dyDescent="0.25">
      <c r="A346" t="s">
        <v>28</v>
      </c>
      <c r="B346" t="s">
        <v>205</v>
      </c>
      <c r="C346">
        <v>1966</v>
      </c>
      <c r="D346">
        <v>51188241</v>
      </c>
    </row>
    <row r="347" spans="1:4" x14ac:dyDescent="0.25">
      <c r="A347" t="s">
        <v>28</v>
      </c>
      <c r="B347" t="s">
        <v>205</v>
      </c>
      <c r="C347">
        <v>1967</v>
      </c>
      <c r="D347">
        <v>52293067</v>
      </c>
    </row>
    <row r="348" spans="1:4" x14ac:dyDescent="0.25">
      <c r="A348" t="s">
        <v>28</v>
      </c>
      <c r="B348" t="s">
        <v>205</v>
      </c>
      <c r="C348">
        <v>1968</v>
      </c>
      <c r="D348">
        <v>53432784</v>
      </c>
    </row>
    <row r="349" spans="1:4" x14ac:dyDescent="0.25">
      <c r="A349" t="s">
        <v>28</v>
      </c>
      <c r="B349" t="s">
        <v>205</v>
      </c>
      <c r="C349">
        <v>1969</v>
      </c>
      <c r="D349">
        <v>54631918</v>
      </c>
    </row>
    <row r="350" spans="1:4" x14ac:dyDescent="0.25">
      <c r="A350" t="s">
        <v>28</v>
      </c>
      <c r="B350" t="s">
        <v>205</v>
      </c>
      <c r="C350">
        <v>1970</v>
      </c>
      <c r="D350">
        <v>55893837</v>
      </c>
    </row>
    <row r="351" spans="1:4" x14ac:dyDescent="0.25">
      <c r="A351" t="s">
        <v>28</v>
      </c>
      <c r="B351" t="s">
        <v>205</v>
      </c>
      <c r="C351">
        <v>1971</v>
      </c>
      <c r="D351">
        <v>57214688</v>
      </c>
    </row>
    <row r="352" spans="1:4" x14ac:dyDescent="0.25">
      <c r="A352" t="s">
        <v>28</v>
      </c>
      <c r="B352" t="s">
        <v>205</v>
      </c>
      <c r="C352">
        <v>1972</v>
      </c>
      <c r="D352">
        <v>58601749</v>
      </c>
    </row>
    <row r="353" spans="1:4" x14ac:dyDescent="0.25">
      <c r="A353" t="s">
        <v>28</v>
      </c>
      <c r="B353" t="s">
        <v>205</v>
      </c>
      <c r="C353">
        <v>1973</v>
      </c>
      <c r="D353">
        <v>60082138</v>
      </c>
    </row>
    <row r="354" spans="1:4" x14ac:dyDescent="0.25">
      <c r="A354" t="s">
        <v>28</v>
      </c>
      <c r="B354" t="s">
        <v>205</v>
      </c>
      <c r="C354">
        <v>1974</v>
      </c>
      <c r="D354">
        <v>61679153</v>
      </c>
    </row>
    <row r="355" spans="1:4" x14ac:dyDescent="0.25">
      <c r="A355" t="s">
        <v>28</v>
      </c>
      <c r="B355" t="s">
        <v>205</v>
      </c>
      <c r="C355">
        <v>1975</v>
      </c>
      <c r="D355">
        <v>63410822</v>
      </c>
    </row>
    <row r="356" spans="1:4" x14ac:dyDescent="0.25">
      <c r="A356" t="s">
        <v>28</v>
      </c>
      <c r="B356" t="s">
        <v>205</v>
      </c>
      <c r="C356">
        <v>1976</v>
      </c>
      <c r="D356">
        <v>65258002</v>
      </c>
    </row>
    <row r="357" spans="1:4" x14ac:dyDescent="0.25">
      <c r="A357" t="s">
        <v>28</v>
      </c>
      <c r="B357" t="s">
        <v>205</v>
      </c>
      <c r="C357">
        <v>1977</v>
      </c>
      <c r="D357">
        <v>67234590</v>
      </c>
    </row>
    <row r="358" spans="1:4" x14ac:dyDescent="0.25">
      <c r="A358" t="s">
        <v>28</v>
      </c>
      <c r="B358" t="s">
        <v>205</v>
      </c>
      <c r="C358">
        <v>1978</v>
      </c>
      <c r="D358">
        <v>69326530</v>
      </c>
    </row>
    <row r="359" spans="1:4" x14ac:dyDescent="0.25">
      <c r="A359" t="s">
        <v>28</v>
      </c>
      <c r="B359" t="s">
        <v>205</v>
      </c>
      <c r="C359">
        <v>1979</v>
      </c>
      <c r="D359">
        <v>71498241</v>
      </c>
    </row>
    <row r="360" spans="1:4" x14ac:dyDescent="0.25">
      <c r="A360" t="s">
        <v>28</v>
      </c>
      <c r="B360" t="s">
        <v>205</v>
      </c>
      <c r="C360">
        <v>1980</v>
      </c>
      <c r="D360">
        <v>73764644</v>
      </c>
    </row>
    <row r="361" spans="1:4" x14ac:dyDescent="0.25">
      <c r="A361" t="s">
        <v>28</v>
      </c>
      <c r="B361" t="s">
        <v>205</v>
      </c>
      <c r="C361">
        <v>1981</v>
      </c>
      <c r="D361">
        <v>76068116</v>
      </c>
    </row>
    <row r="362" spans="1:4" x14ac:dyDescent="0.25">
      <c r="A362" t="s">
        <v>28</v>
      </c>
      <c r="B362" t="s">
        <v>205</v>
      </c>
      <c r="C362">
        <v>1982</v>
      </c>
      <c r="D362">
        <v>78378696</v>
      </c>
    </row>
    <row r="363" spans="1:4" x14ac:dyDescent="0.25">
      <c r="A363" t="s">
        <v>28</v>
      </c>
      <c r="B363" t="s">
        <v>205</v>
      </c>
      <c r="C363">
        <v>1983</v>
      </c>
      <c r="D363">
        <v>80438257</v>
      </c>
    </row>
    <row r="364" spans="1:4" x14ac:dyDescent="0.25">
      <c r="A364" t="s">
        <v>28</v>
      </c>
      <c r="B364" t="s">
        <v>205</v>
      </c>
      <c r="C364">
        <v>1984</v>
      </c>
      <c r="D364">
        <v>82526444</v>
      </c>
    </row>
    <row r="365" spans="1:4" x14ac:dyDescent="0.25">
      <c r="A365" t="s">
        <v>28</v>
      </c>
      <c r="B365" t="s">
        <v>205</v>
      </c>
      <c r="C365">
        <v>1985</v>
      </c>
      <c r="D365">
        <v>84897972</v>
      </c>
    </row>
    <row r="366" spans="1:4" x14ac:dyDescent="0.25">
      <c r="A366" t="s">
        <v>28</v>
      </c>
      <c r="B366" t="s">
        <v>205</v>
      </c>
      <c r="C366">
        <v>1986</v>
      </c>
      <c r="D366">
        <v>87235959</v>
      </c>
    </row>
    <row r="367" spans="1:4" x14ac:dyDescent="0.25">
      <c r="A367" t="s">
        <v>28</v>
      </c>
      <c r="B367" t="s">
        <v>205</v>
      </c>
      <c r="C367">
        <v>1987</v>
      </c>
      <c r="D367">
        <v>89591718</v>
      </c>
    </row>
    <row r="368" spans="1:4" x14ac:dyDescent="0.25">
      <c r="A368" t="s">
        <v>28</v>
      </c>
      <c r="B368" t="s">
        <v>205</v>
      </c>
      <c r="C368">
        <v>1988</v>
      </c>
      <c r="D368">
        <v>92020092</v>
      </c>
    </row>
    <row r="369" spans="1:4" x14ac:dyDescent="0.25">
      <c r="A369" t="s">
        <v>28</v>
      </c>
      <c r="B369" t="s">
        <v>205</v>
      </c>
      <c r="C369">
        <v>1989</v>
      </c>
      <c r="D369">
        <v>94531021</v>
      </c>
    </row>
    <row r="370" spans="1:4" x14ac:dyDescent="0.25">
      <c r="A370" t="s">
        <v>28</v>
      </c>
      <c r="B370" t="s">
        <v>205</v>
      </c>
      <c r="C370">
        <v>1990</v>
      </c>
      <c r="D370">
        <v>97120926</v>
      </c>
    </row>
    <row r="371" spans="1:4" x14ac:dyDescent="0.25">
      <c r="A371" t="s">
        <v>28</v>
      </c>
      <c r="B371" t="s">
        <v>205</v>
      </c>
      <c r="C371">
        <v>1991</v>
      </c>
      <c r="D371">
        <v>99720162</v>
      </c>
    </row>
    <row r="372" spans="1:4" x14ac:dyDescent="0.25">
      <c r="A372" t="s">
        <v>28</v>
      </c>
      <c r="B372" t="s">
        <v>205</v>
      </c>
      <c r="C372">
        <v>1992</v>
      </c>
      <c r="D372">
        <v>102372779</v>
      </c>
    </row>
    <row r="373" spans="1:4" x14ac:dyDescent="0.25">
      <c r="A373" t="s">
        <v>28</v>
      </c>
      <c r="B373" t="s">
        <v>205</v>
      </c>
      <c r="C373">
        <v>1993</v>
      </c>
      <c r="D373">
        <v>105122075</v>
      </c>
    </row>
    <row r="374" spans="1:4" x14ac:dyDescent="0.25">
      <c r="A374" t="s">
        <v>28</v>
      </c>
      <c r="B374" t="s">
        <v>205</v>
      </c>
      <c r="C374">
        <v>1994</v>
      </c>
      <c r="D374">
        <v>107935717</v>
      </c>
    </row>
    <row r="375" spans="1:4" x14ac:dyDescent="0.25">
      <c r="A375" t="s">
        <v>28</v>
      </c>
      <c r="B375" t="s">
        <v>205</v>
      </c>
      <c r="C375">
        <v>1995</v>
      </c>
      <c r="D375">
        <v>110819431</v>
      </c>
    </row>
    <row r="376" spans="1:4" x14ac:dyDescent="0.25">
      <c r="A376" t="s">
        <v>28</v>
      </c>
      <c r="B376" t="s">
        <v>205</v>
      </c>
      <c r="C376">
        <v>1996</v>
      </c>
      <c r="D376">
        <v>113754782</v>
      </c>
    </row>
    <row r="377" spans="1:4" x14ac:dyDescent="0.25">
      <c r="A377" t="s">
        <v>28</v>
      </c>
      <c r="B377" t="s">
        <v>205</v>
      </c>
      <c r="C377">
        <v>1997</v>
      </c>
      <c r="D377">
        <v>116754791</v>
      </c>
    </row>
    <row r="378" spans="1:4" x14ac:dyDescent="0.25">
      <c r="A378" t="s">
        <v>28</v>
      </c>
      <c r="B378" t="s">
        <v>205</v>
      </c>
      <c r="C378">
        <v>1998</v>
      </c>
      <c r="D378">
        <v>119846260</v>
      </c>
    </row>
    <row r="379" spans="1:4" x14ac:dyDescent="0.25">
      <c r="A379" t="s">
        <v>28</v>
      </c>
      <c r="B379" t="s">
        <v>205</v>
      </c>
      <c r="C379">
        <v>1999</v>
      </c>
      <c r="D379">
        <v>123047322</v>
      </c>
    </row>
    <row r="380" spans="1:4" x14ac:dyDescent="0.25">
      <c r="A380" t="s">
        <v>28</v>
      </c>
      <c r="B380" t="s">
        <v>205</v>
      </c>
      <c r="C380">
        <v>2000</v>
      </c>
      <c r="D380">
        <v>126382491</v>
      </c>
    </row>
    <row r="381" spans="1:4" x14ac:dyDescent="0.25">
      <c r="A381" t="s">
        <v>28</v>
      </c>
      <c r="B381" t="s">
        <v>205</v>
      </c>
      <c r="C381">
        <v>2001</v>
      </c>
      <c r="D381">
        <v>129862594</v>
      </c>
    </row>
    <row r="382" spans="1:4" x14ac:dyDescent="0.25">
      <c r="A382" t="s">
        <v>28</v>
      </c>
      <c r="B382" t="s">
        <v>205</v>
      </c>
      <c r="C382">
        <v>2002</v>
      </c>
      <c r="D382">
        <v>133471994</v>
      </c>
    </row>
    <row r="383" spans="1:4" x14ac:dyDescent="0.25">
      <c r="A383" t="s">
        <v>28</v>
      </c>
      <c r="B383" t="s">
        <v>205</v>
      </c>
      <c r="C383">
        <v>2003</v>
      </c>
      <c r="D383">
        <v>137202647</v>
      </c>
    </row>
    <row r="384" spans="1:4" x14ac:dyDescent="0.25">
      <c r="A384" t="s">
        <v>28</v>
      </c>
      <c r="B384" t="s">
        <v>205</v>
      </c>
      <c r="C384">
        <v>2004</v>
      </c>
      <c r="D384">
        <v>141057046</v>
      </c>
    </row>
    <row r="385" spans="1:4" x14ac:dyDescent="0.25">
      <c r="A385" t="s">
        <v>28</v>
      </c>
      <c r="B385" t="s">
        <v>205</v>
      </c>
      <c r="C385">
        <v>2005</v>
      </c>
      <c r="D385">
        <v>145017255</v>
      </c>
    </row>
    <row r="386" spans="1:4" x14ac:dyDescent="0.25">
      <c r="A386" t="s">
        <v>28</v>
      </c>
      <c r="B386" t="s">
        <v>205</v>
      </c>
      <c r="C386">
        <v>2006</v>
      </c>
      <c r="D386">
        <v>149077333</v>
      </c>
    </row>
    <row r="387" spans="1:4" x14ac:dyDescent="0.25">
      <c r="A387" t="s">
        <v>28</v>
      </c>
      <c r="B387" t="s">
        <v>205</v>
      </c>
      <c r="C387">
        <v>2007</v>
      </c>
      <c r="D387">
        <v>153267257</v>
      </c>
    </row>
    <row r="388" spans="1:4" x14ac:dyDescent="0.25">
      <c r="A388" t="s">
        <v>28</v>
      </c>
      <c r="B388" t="s">
        <v>205</v>
      </c>
      <c r="C388">
        <v>2008</v>
      </c>
      <c r="D388">
        <v>157595017</v>
      </c>
    </row>
    <row r="389" spans="1:4" x14ac:dyDescent="0.25">
      <c r="A389" t="s">
        <v>28</v>
      </c>
      <c r="B389" t="s">
        <v>205</v>
      </c>
      <c r="C389">
        <v>2009</v>
      </c>
      <c r="D389">
        <v>162049465</v>
      </c>
    </row>
    <row r="390" spans="1:4" x14ac:dyDescent="0.25">
      <c r="A390" t="s">
        <v>28</v>
      </c>
      <c r="B390" t="s">
        <v>205</v>
      </c>
      <c r="C390">
        <v>2010</v>
      </c>
      <c r="D390">
        <v>166642887</v>
      </c>
    </row>
    <row r="391" spans="1:4" x14ac:dyDescent="0.25">
      <c r="A391" t="s">
        <v>28</v>
      </c>
      <c r="B391" t="s">
        <v>205</v>
      </c>
      <c r="C391">
        <v>2011</v>
      </c>
      <c r="D391">
        <v>171379601</v>
      </c>
    </row>
    <row r="392" spans="1:4" x14ac:dyDescent="0.25">
      <c r="A392" t="s">
        <v>28</v>
      </c>
      <c r="B392" t="s">
        <v>205</v>
      </c>
      <c r="C392">
        <v>2012</v>
      </c>
      <c r="D392">
        <v>176200628</v>
      </c>
    </row>
    <row r="393" spans="1:4" x14ac:dyDescent="0.25">
      <c r="A393" t="s">
        <v>28</v>
      </c>
      <c r="B393" t="s">
        <v>205</v>
      </c>
      <c r="C393">
        <v>2013</v>
      </c>
      <c r="D393">
        <v>181049443</v>
      </c>
    </row>
    <row r="394" spans="1:4" x14ac:dyDescent="0.25">
      <c r="A394" t="s">
        <v>28</v>
      </c>
      <c r="B394" t="s">
        <v>205</v>
      </c>
      <c r="C394">
        <v>2014</v>
      </c>
      <c r="D394">
        <v>185896917</v>
      </c>
    </row>
    <row r="395" spans="1:4" x14ac:dyDescent="0.25">
      <c r="A395" t="s">
        <v>28</v>
      </c>
      <c r="B395" t="s">
        <v>205</v>
      </c>
      <c r="C395">
        <v>2015</v>
      </c>
      <c r="D395">
        <v>190671883</v>
      </c>
    </row>
    <row r="396" spans="1:4" x14ac:dyDescent="0.25">
      <c r="A396" t="s">
        <v>28</v>
      </c>
      <c r="B396" t="s">
        <v>205</v>
      </c>
      <c r="C396">
        <v>2016</v>
      </c>
      <c r="D396">
        <v>195443699</v>
      </c>
    </row>
    <row r="397" spans="1:4" x14ac:dyDescent="0.25">
      <c r="A397" t="s">
        <v>28</v>
      </c>
      <c r="B397" t="s">
        <v>205</v>
      </c>
      <c r="C397">
        <v>2017</v>
      </c>
      <c r="D397">
        <v>200254578</v>
      </c>
    </row>
    <row r="398" spans="1:4" x14ac:dyDescent="0.25">
      <c r="A398" t="s">
        <v>28</v>
      </c>
      <c r="B398" t="s">
        <v>205</v>
      </c>
      <c r="C398">
        <v>2018</v>
      </c>
      <c r="D398">
        <v>204938753</v>
      </c>
    </row>
    <row r="399" spans="1:4" x14ac:dyDescent="0.25">
      <c r="A399" t="s">
        <v>28</v>
      </c>
      <c r="B399" t="s">
        <v>205</v>
      </c>
      <c r="C399">
        <v>2019</v>
      </c>
      <c r="D399">
        <v>209485636</v>
      </c>
    </row>
    <row r="400" spans="1:4" x14ac:dyDescent="0.25">
      <c r="A400" t="s">
        <v>28</v>
      </c>
      <c r="B400" t="s">
        <v>205</v>
      </c>
      <c r="C400">
        <v>2020</v>
      </c>
      <c r="D400">
        <v>213996186</v>
      </c>
    </row>
    <row r="401" spans="1:4" x14ac:dyDescent="0.25">
      <c r="A401" t="s">
        <v>28</v>
      </c>
      <c r="B401" t="s">
        <v>205</v>
      </c>
      <c r="C401">
        <v>2021</v>
      </c>
      <c r="D401">
        <v>218529285</v>
      </c>
    </row>
    <row r="402" spans="1:4" x14ac:dyDescent="0.25">
      <c r="A402" t="s">
        <v>28</v>
      </c>
      <c r="B402" t="s">
        <v>205</v>
      </c>
      <c r="C402">
        <v>2022</v>
      </c>
      <c r="D402">
        <v>223150906</v>
      </c>
    </row>
    <row r="403" spans="1:4" x14ac:dyDescent="0.25">
      <c r="A403" t="s">
        <v>28</v>
      </c>
      <c r="B403" t="s">
        <v>205</v>
      </c>
      <c r="C403">
        <v>2023</v>
      </c>
      <c r="D403">
        <v>227882949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308A-9CD6-C740-A3BD-9C6945736029}">
  <dimension ref="A1:R132"/>
  <sheetViews>
    <sheetView workbookViewId="0">
      <pane xSplit="1" ySplit="6" topLeftCell="B84" activePane="bottomRight" state="frozen"/>
      <selection pane="topRight" activeCell="B1" sqref="B1"/>
      <selection pane="bottomLeft" activeCell="A7" sqref="A7"/>
      <selection pane="bottomRight" activeCell="O106" sqref="O106"/>
    </sheetView>
  </sheetViews>
  <sheetFormatPr defaultColWidth="11" defaultRowHeight="15.75" x14ac:dyDescent="0.25"/>
  <sheetData>
    <row r="1" spans="1:18" x14ac:dyDescent="0.25">
      <c r="B1" s="3" t="s">
        <v>9</v>
      </c>
      <c r="C1" s="3" t="s">
        <v>9</v>
      </c>
      <c r="D1" s="3" t="s">
        <v>9</v>
      </c>
      <c r="E1" s="17" t="s">
        <v>9</v>
      </c>
      <c r="G1" s="3" t="s">
        <v>2082</v>
      </c>
      <c r="O1" t="s">
        <v>2085</v>
      </c>
    </row>
    <row r="2" spans="1:18" x14ac:dyDescent="0.25">
      <c r="B2" t="s">
        <v>19</v>
      </c>
      <c r="C2" t="s">
        <v>19</v>
      </c>
      <c r="D2" t="s">
        <v>19</v>
      </c>
      <c r="E2" t="s">
        <v>19</v>
      </c>
    </row>
    <row r="3" spans="1:18" x14ac:dyDescent="0.25">
      <c r="B3" t="s">
        <v>34</v>
      </c>
      <c r="C3" t="s">
        <v>35</v>
      </c>
      <c r="D3" t="s">
        <v>36</v>
      </c>
      <c r="E3" t="s">
        <v>37</v>
      </c>
      <c r="G3" t="s">
        <v>34</v>
      </c>
      <c r="H3" t="s">
        <v>35</v>
      </c>
      <c r="I3" t="s">
        <v>36</v>
      </c>
      <c r="J3" t="s">
        <v>37</v>
      </c>
      <c r="K3" t="s">
        <v>2083</v>
      </c>
      <c r="L3" t="s">
        <v>2084</v>
      </c>
      <c r="O3" t="s">
        <v>34</v>
      </c>
      <c r="P3" t="s">
        <v>35</v>
      </c>
      <c r="Q3" t="s">
        <v>36</v>
      </c>
      <c r="R3" t="s">
        <v>37</v>
      </c>
    </row>
    <row r="4" spans="1:18" x14ac:dyDescent="0.25">
      <c r="B4" t="s">
        <v>48</v>
      </c>
      <c r="C4" t="s">
        <v>48</v>
      </c>
      <c r="D4" t="s">
        <v>48</v>
      </c>
      <c r="E4" t="s">
        <v>48</v>
      </c>
    </row>
    <row r="5" spans="1:18" x14ac:dyDescent="0.25">
      <c r="B5" s="5" t="s">
        <v>57</v>
      </c>
      <c r="C5" s="5" t="s">
        <v>57</v>
      </c>
      <c r="D5" s="5" t="s">
        <v>57</v>
      </c>
      <c r="E5" s="5" t="s">
        <v>57</v>
      </c>
    </row>
    <row r="6" spans="1:18" x14ac:dyDescent="0.25">
      <c r="B6" t="s">
        <v>64</v>
      </c>
      <c r="C6" t="s">
        <v>64</v>
      </c>
      <c r="D6" t="s">
        <v>64</v>
      </c>
      <c r="E6" t="s">
        <v>64</v>
      </c>
    </row>
    <row r="7" spans="1:18" x14ac:dyDescent="0.25">
      <c r="A7">
        <f>Data!A7</f>
        <v>1900</v>
      </c>
    </row>
    <row r="8" spans="1:18" x14ac:dyDescent="0.25">
      <c r="A8">
        <f>Data!A8</f>
        <v>1901</v>
      </c>
    </row>
    <row r="9" spans="1:18" x14ac:dyDescent="0.25">
      <c r="A9">
        <f>Data!A9</f>
        <v>1902</v>
      </c>
    </row>
    <row r="10" spans="1:18" x14ac:dyDescent="0.25">
      <c r="A10">
        <f>Data!A10</f>
        <v>1903</v>
      </c>
    </row>
    <row r="11" spans="1:18" x14ac:dyDescent="0.25">
      <c r="A11">
        <f>Data!A11</f>
        <v>1904</v>
      </c>
    </row>
    <row r="12" spans="1:18" x14ac:dyDescent="0.25">
      <c r="A12">
        <f>Data!A12</f>
        <v>1905</v>
      </c>
    </row>
    <row r="13" spans="1:18" x14ac:dyDescent="0.25">
      <c r="A13">
        <f>Data!A13</f>
        <v>1906</v>
      </c>
    </row>
    <row r="14" spans="1:18" x14ac:dyDescent="0.25">
      <c r="A14">
        <f>Data!A14</f>
        <v>1907</v>
      </c>
    </row>
    <row r="15" spans="1:18" x14ac:dyDescent="0.25">
      <c r="A15">
        <f>Data!A15</f>
        <v>1908</v>
      </c>
    </row>
    <row r="16" spans="1:18" x14ac:dyDescent="0.25">
      <c r="A16">
        <f>Data!A16</f>
        <v>1909</v>
      </c>
    </row>
    <row r="17" spans="1:1" x14ac:dyDescent="0.25">
      <c r="A17">
        <f>Data!A17</f>
        <v>1910</v>
      </c>
    </row>
    <row r="18" spans="1:1" x14ac:dyDescent="0.25">
      <c r="A18">
        <f>Data!A18</f>
        <v>1911</v>
      </c>
    </row>
    <row r="19" spans="1:1" x14ac:dyDescent="0.25">
      <c r="A19">
        <f>Data!A19</f>
        <v>1912</v>
      </c>
    </row>
    <row r="20" spans="1:1" x14ac:dyDescent="0.25">
      <c r="A20">
        <f>Data!A20</f>
        <v>1913</v>
      </c>
    </row>
    <row r="21" spans="1:1" x14ac:dyDescent="0.25">
      <c r="A21">
        <f>Data!A21</f>
        <v>1914</v>
      </c>
    </row>
    <row r="22" spans="1:1" x14ac:dyDescent="0.25">
      <c r="A22">
        <f>Data!A22</f>
        <v>1915</v>
      </c>
    </row>
    <row r="23" spans="1:1" x14ac:dyDescent="0.25">
      <c r="A23">
        <f>Data!A23</f>
        <v>1916</v>
      </c>
    </row>
    <row r="24" spans="1:1" x14ac:dyDescent="0.25">
      <c r="A24">
        <f>Data!A24</f>
        <v>1917</v>
      </c>
    </row>
    <row r="25" spans="1:1" x14ac:dyDescent="0.25">
      <c r="A25">
        <f>Data!A25</f>
        <v>1918</v>
      </c>
    </row>
    <row r="26" spans="1:1" x14ac:dyDescent="0.25">
      <c r="A26">
        <f>Data!A26</f>
        <v>1919</v>
      </c>
    </row>
    <row r="27" spans="1:1" x14ac:dyDescent="0.25">
      <c r="A27">
        <f>Data!A27</f>
        <v>1920</v>
      </c>
    </row>
    <row r="28" spans="1:1" x14ac:dyDescent="0.25">
      <c r="A28">
        <f>Data!A28</f>
        <v>1921</v>
      </c>
    </row>
    <row r="29" spans="1:1" x14ac:dyDescent="0.25">
      <c r="A29">
        <f>Data!A29</f>
        <v>1922</v>
      </c>
    </row>
    <row r="30" spans="1:1" x14ac:dyDescent="0.25">
      <c r="A30">
        <f>Data!A30</f>
        <v>1923</v>
      </c>
    </row>
    <row r="31" spans="1:1" x14ac:dyDescent="0.25">
      <c r="A31">
        <f>Data!A31</f>
        <v>1924</v>
      </c>
    </row>
    <row r="32" spans="1:1" x14ac:dyDescent="0.25">
      <c r="A32">
        <f>Data!A32</f>
        <v>1925</v>
      </c>
    </row>
    <row r="33" spans="1:1" x14ac:dyDescent="0.25">
      <c r="A33">
        <f>Data!A33</f>
        <v>1926</v>
      </c>
    </row>
    <row r="34" spans="1:1" x14ac:dyDescent="0.25">
      <c r="A34">
        <f>Data!A34</f>
        <v>1927</v>
      </c>
    </row>
    <row r="35" spans="1:1" x14ac:dyDescent="0.25">
      <c r="A35">
        <f>Data!A35</f>
        <v>1928</v>
      </c>
    </row>
    <row r="36" spans="1:1" x14ac:dyDescent="0.25">
      <c r="A36">
        <f>Data!A36</f>
        <v>1929</v>
      </c>
    </row>
    <row r="37" spans="1:1" x14ac:dyDescent="0.25">
      <c r="A37">
        <f>Data!A37</f>
        <v>1930</v>
      </c>
    </row>
    <row r="38" spans="1:1" x14ac:dyDescent="0.25">
      <c r="A38">
        <f>Data!A38</f>
        <v>1931</v>
      </c>
    </row>
    <row r="39" spans="1:1" x14ac:dyDescent="0.25">
      <c r="A39">
        <f>Data!A39</f>
        <v>1932</v>
      </c>
    </row>
    <row r="40" spans="1:1" x14ac:dyDescent="0.25">
      <c r="A40">
        <f>Data!A40</f>
        <v>1933</v>
      </c>
    </row>
    <row r="41" spans="1:1" x14ac:dyDescent="0.25">
      <c r="A41">
        <f>Data!A41</f>
        <v>1934</v>
      </c>
    </row>
    <row r="42" spans="1:1" x14ac:dyDescent="0.25">
      <c r="A42">
        <f>Data!A42</f>
        <v>1935</v>
      </c>
    </row>
    <row r="43" spans="1:1" x14ac:dyDescent="0.25">
      <c r="A43">
        <f>Data!A43</f>
        <v>1936</v>
      </c>
    </row>
    <row r="44" spans="1:1" x14ac:dyDescent="0.25">
      <c r="A44">
        <f>Data!A44</f>
        <v>1937</v>
      </c>
    </row>
    <row r="45" spans="1:1" x14ac:dyDescent="0.25">
      <c r="A45">
        <f>Data!A45</f>
        <v>1938</v>
      </c>
    </row>
    <row r="46" spans="1:1" x14ac:dyDescent="0.25">
      <c r="A46">
        <f>Data!A46</f>
        <v>1939</v>
      </c>
    </row>
    <row r="47" spans="1:1" x14ac:dyDescent="0.25">
      <c r="A47">
        <f>Data!A47</f>
        <v>1940</v>
      </c>
    </row>
    <row r="48" spans="1:1" x14ac:dyDescent="0.25">
      <c r="A48">
        <f>Data!A48</f>
        <v>1941</v>
      </c>
    </row>
    <row r="49" spans="1:1" x14ac:dyDescent="0.25">
      <c r="A49">
        <f>Data!A49</f>
        <v>1942</v>
      </c>
    </row>
    <row r="50" spans="1:1" x14ac:dyDescent="0.25">
      <c r="A50">
        <f>Data!A50</f>
        <v>1943</v>
      </c>
    </row>
    <row r="51" spans="1:1" x14ac:dyDescent="0.25">
      <c r="A51">
        <f>Data!A51</f>
        <v>1944</v>
      </c>
    </row>
    <row r="52" spans="1:1" x14ac:dyDescent="0.25">
      <c r="A52">
        <f>Data!A52</f>
        <v>1945</v>
      </c>
    </row>
    <row r="53" spans="1:1" x14ac:dyDescent="0.25">
      <c r="A53">
        <f>Data!A53</f>
        <v>1946</v>
      </c>
    </row>
    <row r="54" spans="1:1" x14ac:dyDescent="0.25">
      <c r="A54">
        <f>Data!A54</f>
        <v>1947</v>
      </c>
    </row>
    <row r="55" spans="1:1" x14ac:dyDescent="0.25">
      <c r="A55">
        <f>Data!A55</f>
        <v>1948</v>
      </c>
    </row>
    <row r="56" spans="1:1" x14ac:dyDescent="0.25">
      <c r="A56">
        <f>Data!A56</f>
        <v>1949</v>
      </c>
    </row>
    <row r="57" spans="1:1" x14ac:dyDescent="0.25">
      <c r="A57">
        <f>Data!A57</f>
        <v>1950</v>
      </c>
    </row>
    <row r="58" spans="1:1" x14ac:dyDescent="0.25">
      <c r="A58">
        <f>Data!A58</f>
        <v>1951</v>
      </c>
    </row>
    <row r="59" spans="1:1" x14ac:dyDescent="0.25">
      <c r="A59">
        <f>Data!A59</f>
        <v>1952</v>
      </c>
    </row>
    <row r="60" spans="1:1" x14ac:dyDescent="0.25">
      <c r="A60">
        <f>Data!A60</f>
        <v>1953</v>
      </c>
    </row>
    <row r="61" spans="1:1" x14ac:dyDescent="0.25">
      <c r="A61">
        <f>Data!A61</f>
        <v>1954</v>
      </c>
    </row>
    <row r="62" spans="1:1" x14ac:dyDescent="0.25">
      <c r="A62">
        <f>Data!A62</f>
        <v>1955</v>
      </c>
    </row>
    <row r="63" spans="1:1" x14ac:dyDescent="0.25">
      <c r="A63">
        <f>Data!A63</f>
        <v>1956</v>
      </c>
    </row>
    <row r="64" spans="1:1" x14ac:dyDescent="0.25">
      <c r="A64">
        <f>Data!A64</f>
        <v>1957</v>
      </c>
    </row>
    <row r="65" spans="1:1" x14ac:dyDescent="0.25">
      <c r="A65">
        <f>Data!A65</f>
        <v>1958</v>
      </c>
    </row>
    <row r="66" spans="1:1" x14ac:dyDescent="0.25">
      <c r="A66">
        <f>Data!A66</f>
        <v>1959</v>
      </c>
    </row>
    <row r="67" spans="1:1" x14ac:dyDescent="0.25">
      <c r="A67">
        <f>Data!A67</f>
        <v>1960</v>
      </c>
    </row>
    <row r="68" spans="1:1" x14ac:dyDescent="0.25">
      <c r="A68">
        <f>Data!A68</f>
        <v>1961</v>
      </c>
    </row>
    <row r="69" spans="1:1" x14ac:dyDescent="0.25">
      <c r="A69">
        <f>Data!A69</f>
        <v>1962</v>
      </c>
    </row>
    <row r="70" spans="1:1" x14ac:dyDescent="0.25">
      <c r="A70">
        <f>Data!A70</f>
        <v>1963</v>
      </c>
    </row>
    <row r="71" spans="1:1" x14ac:dyDescent="0.25">
      <c r="A71">
        <f>Data!A71</f>
        <v>1964</v>
      </c>
    </row>
    <row r="72" spans="1:1" x14ac:dyDescent="0.25">
      <c r="A72">
        <f>Data!A72</f>
        <v>1965</v>
      </c>
    </row>
    <row r="73" spans="1:1" x14ac:dyDescent="0.25">
      <c r="A73">
        <f>Data!A73</f>
        <v>1966</v>
      </c>
    </row>
    <row r="74" spans="1:1" x14ac:dyDescent="0.25">
      <c r="A74">
        <f>Data!A74</f>
        <v>1967</v>
      </c>
    </row>
    <row r="75" spans="1:1" x14ac:dyDescent="0.25">
      <c r="A75">
        <f>Data!A75</f>
        <v>1968</v>
      </c>
    </row>
    <row r="76" spans="1:1" x14ac:dyDescent="0.25">
      <c r="A76">
        <f>Data!A76</f>
        <v>1969</v>
      </c>
    </row>
    <row r="77" spans="1:1" x14ac:dyDescent="0.25">
      <c r="A77">
        <f>Data!A77</f>
        <v>1970</v>
      </c>
    </row>
    <row r="78" spans="1:1" x14ac:dyDescent="0.25">
      <c r="A78">
        <f>Data!A78</f>
        <v>1971</v>
      </c>
    </row>
    <row r="79" spans="1:1" x14ac:dyDescent="0.25">
      <c r="A79">
        <f>Data!A79</f>
        <v>1972</v>
      </c>
    </row>
    <row r="80" spans="1:1" x14ac:dyDescent="0.25">
      <c r="A80">
        <f>Data!A80</f>
        <v>1973</v>
      </c>
    </row>
    <row r="81" spans="1:1" x14ac:dyDescent="0.25">
      <c r="A81">
        <f>Data!A81</f>
        <v>1974</v>
      </c>
    </row>
    <row r="82" spans="1:1" x14ac:dyDescent="0.25">
      <c r="A82">
        <f>Data!A82</f>
        <v>1975</v>
      </c>
    </row>
    <row r="83" spans="1:1" x14ac:dyDescent="0.25">
      <c r="A83">
        <f>Data!A83</f>
        <v>1976</v>
      </c>
    </row>
    <row r="84" spans="1:1" x14ac:dyDescent="0.25">
      <c r="A84">
        <f>Data!A84</f>
        <v>1977</v>
      </c>
    </row>
    <row r="85" spans="1:1" x14ac:dyDescent="0.25">
      <c r="A85">
        <f>Data!A85</f>
        <v>1978</v>
      </c>
    </row>
    <row r="86" spans="1:1" x14ac:dyDescent="0.25">
      <c r="A86">
        <f>Data!A86</f>
        <v>1979</v>
      </c>
    </row>
    <row r="87" spans="1:1" x14ac:dyDescent="0.25">
      <c r="A87">
        <f>Data!A87</f>
        <v>1980</v>
      </c>
    </row>
    <row r="88" spans="1:1" x14ac:dyDescent="0.25">
      <c r="A88">
        <f>Data!A88</f>
        <v>1981</v>
      </c>
    </row>
    <row r="89" spans="1:1" x14ac:dyDescent="0.25">
      <c r="A89">
        <f>Data!A89</f>
        <v>1982</v>
      </c>
    </row>
    <row r="90" spans="1:1" x14ac:dyDescent="0.25">
      <c r="A90">
        <f>Data!A90</f>
        <v>1983</v>
      </c>
    </row>
    <row r="91" spans="1:1" x14ac:dyDescent="0.25">
      <c r="A91">
        <f>Data!A91</f>
        <v>1984</v>
      </c>
    </row>
    <row r="92" spans="1:1" x14ac:dyDescent="0.25">
      <c r="A92">
        <f>Data!A92</f>
        <v>1985</v>
      </c>
    </row>
    <row r="93" spans="1:1" x14ac:dyDescent="0.25">
      <c r="A93">
        <f>Data!A93</f>
        <v>1986</v>
      </c>
    </row>
    <row r="94" spans="1:1" x14ac:dyDescent="0.25">
      <c r="A94">
        <f>Data!A94</f>
        <v>1987</v>
      </c>
    </row>
    <row r="95" spans="1:1" x14ac:dyDescent="0.25">
      <c r="A95">
        <f>Data!A95</f>
        <v>1988</v>
      </c>
    </row>
    <row r="96" spans="1:1" x14ac:dyDescent="0.25">
      <c r="A96">
        <f>Data!A96</f>
        <v>1989</v>
      </c>
    </row>
    <row r="97" spans="1:18" x14ac:dyDescent="0.25">
      <c r="A97">
        <f>Data!A97</f>
        <v>1990</v>
      </c>
    </row>
    <row r="98" spans="1:18" x14ac:dyDescent="0.25">
      <c r="A98">
        <f>Data!A98</f>
        <v>1991</v>
      </c>
    </row>
    <row r="99" spans="1:18" x14ac:dyDescent="0.25">
      <c r="A99">
        <f>Data!A99</f>
        <v>1992</v>
      </c>
    </row>
    <row r="100" spans="1:18" x14ac:dyDescent="0.25">
      <c r="A100">
        <f>Data!A100</f>
        <v>1993</v>
      </c>
    </row>
    <row r="101" spans="1:18" x14ac:dyDescent="0.25">
      <c r="A101">
        <f>Data!A101</f>
        <v>1994</v>
      </c>
    </row>
    <row r="102" spans="1:18" x14ac:dyDescent="0.25">
      <c r="A102">
        <f>Data!A102</f>
        <v>1995</v>
      </c>
    </row>
    <row r="103" spans="1:18" x14ac:dyDescent="0.25">
      <c r="A103">
        <f>Data!A103</f>
        <v>1996</v>
      </c>
    </row>
    <row r="104" spans="1:18" x14ac:dyDescent="0.25">
      <c r="A104">
        <f>Data!A104</f>
        <v>1997</v>
      </c>
    </row>
    <row r="105" spans="1:18" x14ac:dyDescent="0.25">
      <c r="A105">
        <f>Data!A105</f>
        <v>1998</v>
      </c>
    </row>
    <row r="106" spans="1:18" x14ac:dyDescent="0.25">
      <c r="A106">
        <f>Data!A106</f>
        <v>1999</v>
      </c>
      <c r="H106" s="56">
        <v>11</v>
      </c>
      <c r="O106" s="1">
        <f t="shared" ref="O106:O121" si="0">O107</f>
        <v>1946.1538461538462</v>
      </c>
      <c r="P106" s="1">
        <f t="shared" ref="P106:P121" si="1">P107</f>
        <v>1848.0519480519481</v>
      </c>
      <c r="Q106" s="1">
        <f t="shared" ref="Q106:Q121" si="2">Q107</f>
        <v>2653.0120481927711</v>
      </c>
      <c r="R106" s="1">
        <f t="shared" ref="R106:R121" si="3">R107</f>
        <v>263.46153846153845</v>
      </c>
    </row>
    <row r="107" spans="1:18" x14ac:dyDescent="0.25">
      <c r="A107">
        <f>Data!A107</f>
        <v>2000</v>
      </c>
      <c r="G107" s="56">
        <v>10</v>
      </c>
      <c r="H107" s="56">
        <v>33</v>
      </c>
      <c r="I107">
        <f>SUM(K107:L107)</f>
        <v>5</v>
      </c>
      <c r="K107" s="56">
        <v>5</v>
      </c>
      <c r="O107" s="1">
        <f t="shared" si="0"/>
        <v>1946.1538461538462</v>
      </c>
      <c r="P107" s="1">
        <f t="shared" si="1"/>
        <v>1848.0519480519481</v>
      </c>
      <c r="Q107" s="1">
        <f t="shared" si="2"/>
        <v>2653.0120481927711</v>
      </c>
      <c r="R107" s="1">
        <f t="shared" si="3"/>
        <v>263.46153846153845</v>
      </c>
    </row>
    <row r="108" spans="1:18" x14ac:dyDescent="0.25">
      <c r="A108">
        <f>Data!A108</f>
        <v>2001</v>
      </c>
      <c r="G108" s="56">
        <v>40</v>
      </c>
      <c r="H108" s="56">
        <v>79</v>
      </c>
      <c r="I108">
        <f t="shared" ref="I108:I123" si="4">SUM(K108:L108)</f>
        <v>10</v>
      </c>
      <c r="K108" s="56">
        <v>10</v>
      </c>
      <c r="O108" s="1">
        <f t="shared" si="0"/>
        <v>1946.1538461538462</v>
      </c>
      <c r="P108" s="1">
        <f t="shared" si="1"/>
        <v>1848.0519480519481</v>
      </c>
      <c r="Q108" s="1">
        <f t="shared" si="2"/>
        <v>2653.0120481927711</v>
      </c>
      <c r="R108" s="1">
        <f t="shared" si="3"/>
        <v>263.46153846153845</v>
      </c>
    </row>
    <row r="109" spans="1:18" x14ac:dyDescent="0.25">
      <c r="A109">
        <f>Data!A109</f>
        <v>2002</v>
      </c>
      <c r="G109" s="56">
        <v>40</v>
      </c>
      <c r="H109" s="56">
        <v>91</v>
      </c>
      <c r="I109">
        <f t="shared" si="4"/>
        <v>20</v>
      </c>
      <c r="K109" s="56">
        <v>15</v>
      </c>
      <c r="L109" s="56">
        <v>5</v>
      </c>
      <c r="O109" s="1">
        <f t="shared" si="0"/>
        <v>1946.1538461538462</v>
      </c>
      <c r="P109" s="1">
        <f t="shared" si="1"/>
        <v>1848.0519480519481</v>
      </c>
      <c r="Q109" s="1">
        <f t="shared" si="2"/>
        <v>2653.0120481927711</v>
      </c>
      <c r="R109" s="1">
        <f t="shared" si="3"/>
        <v>263.46153846153845</v>
      </c>
    </row>
    <row r="110" spans="1:18" x14ac:dyDescent="0.25">
      <c r="A110">
        <f>Data!A110</f>
        <v>2003</v>
      </c>
      <c r="G110" s="56">
        <v>50</v>
      </c>
      <c r="H110" s="56">
        <v>84</v>
      </c>
      <c r="I110">
        <f t="shared" si="4"/>
        <v>30</v>
      </c>
      <c r="J110" s="56">
        <v>5</v>
      </c>
      <c r="K110" s="56">
        <v>20</v>
      </c>
      <c r="L110" s="56">
        <v>10</v>
      </c>
      <c r="O110" s="1">
        <f t="shared" si="0"/>
        <v>1946.1538461538462</v>
      </c>
      <c r="P110" s="1">
        <f t="shared" si="1"/>
        <v>1848.0519480519481</v>
      </c>
      <c r="Q110" s="1">
        <f t="shared" si="2"/>
        <v>2653.0120481927711</v>
      </c>
      <c r="R110" s="1">
        <f t="shared" si="3"/>
        <v>263.46153846153845</v>
      </c>
    </row>
    <row r="111" spans="1:18" x14ac:dyDescent="0.25">
      <c r="A111">
        <f>Data!A111</f>
        <v>2004</v>
      </c>
      <c r="G111" s="56">
        <v>70</v>
      </c>
      <c r="H111" s="56">
        <v>165</v>
      </c>
      <c r="I111">
        <f t="shared" si="4"/>
        <v>40</v>
      </c>
      <c r="J111" s="56">
        <v>10</v>
      </c>
      <c r="K111" s="56">
        <v>25</v>
      </c>
      <c r="L111" s="56">
        <v>15</v>
      </c>
      <c r="O111" s="1">
        <f t="shared" si="0"/>
        <v>1946.1538461538462</v>
      </c>
      <c r="P111" s="1">
        <f t="shared" si="1"/>
        <v>1848.0519480519481</v>
      </c>
      <c r="Q111" s="1">
        <f t="shared" si="2"/>
        <v>2653.0120481927711</v>
      </c>
      <c r="R111" s="1">
        <f t="shared" si="3"/>
        <v>263.46153846153845</v>
      </c>
    </row>
    <row r="112" spans="1:18" x14ac:dyDescent="0.25">
      <c r="A112">
        <f>Data!A112</f>
        <v>2005</v>
      </c>
      <c r="G112" s="56">
        <v>80</v>
      </c>
      <c r="H112" s="56">
        <v>235</v>
      </c>
      <c r="I112">
        <f t="shared" si="4"/>
        <v>50</v>
      </c>
      <c r="J112" s="56">
        <v>15</v>
      </c>
      <c r="K112" s="56">
        <v>30</v>
      </c>
      <c r="L112" s="56">
        <v>20</v>
      </c>
      <c r="O112" s="1">
        <f t="shared" si="0"/>
        <v>1946.1538461538462</v>
      </c>
      <c r="P112" s="1">
        <f t="shared" si="1"/>
        <v>1848.0519480519481</v>
      </c>
      <c r="Q112" s="1">
        <f t="shared" si="2"/>
        <v>2653.0120481927711</v>
      </c>
      <c r="R112" s="1">
        <f t="shared" si="3"/>
        <v>263.46153846153845</v>
      </c>
    </row>
    <row r="113" spans="1:18" x14ac:dyDescent="0.25">
      <c r="A113">
        <f>Data!A113</f>
        <v>2006</v>
      </c>
      <c r="G113" s="56">
        <v>100</v>
      </c>
      <c r="H113" s="56">
        <v>330</v>
      </c>
      <c r="I113">
        <f t="shared" si="4"/>
        <v>80</v>
      </c>
      <c r="J113" s="56">
        <v>25</v>
      </c>
      <c r="K113" s="56">
        <v>45</v>
      </c>
      <c r="L113" s="56">
        <v>35</v>
      </c>
      <c r="O113" s="1">
        <f t="shared" si="0"/>
        <v>1946.1538461538462</v>
      </c>
      <c r="P113" s="1">
        <f t="shared" si="1"/>
        <v>1848.0519480519481</v>
      </c>
      <c r="Q113" s="1">
        <f t="shared" si="2"/>
        <v>2653.0120481927711</v>
      </c>
      <c r="R113" s="1">
        <f t="shared" si="3"/>
        <v>263.46153846153845</v>
      </c>
    </row>
    <row r="114" spans="1:18" x14ac:dyDescent="0.25">
      <c r="A114">
        <f>Data!A114</f>
        <v>2007</v>
      </c>
      <c r="G114" s="56">
        <v>175</v>
      </c>
      <c r="H114" s="56">
        <v>402</v>
      </c>
      <c r="I114">
        <f t="shared" si="4"/>
        <v>110</v>
      </c>
      <c r="J114" s="56">
        <v>35</v>
      </c>
      <c r="K114" s="56">
        <v>60</v>
      </c>
      <c r="L114" s="56">
        <v>50</v>
      </c>
      <c r="O114" s="1">
        <f t="shared" si="0"/>
        <v>1946.1538461538462</v>
      </c>
      <c r="P114" s="1">
        <f t="shared" si="1"/>
        <v>1848.0519480519481</v>
      </c>
      <c r="Q114" s="1">
        <f t="shared" si="2"/>
        <v>2653.0120481927711</v>
      </c>
      <c r="R114" s="1">
        <f t="shared" si="3"/>
        <v>263.46153846153845</v>
      </c>
    </row>
    <row r="115" spans="1:18" x14ac:dyDescent="0.25">
      <c r="A115">
        <f>Data!A115</f>
        <v>2008</v>
      </c>
      <c r="G115" s="56">
        <v>250</v>
      </c>
      <c r="H115" s="56">
        <v>686</v>
      </c>
      <c r="I115">
        <f t="shared" si="4"/>
        <v>253</v>
      </c>
      <c r="J115" s="56">
        <v>50</v>
      </c>
      <c r="K115" s="56">
        <v>178</v>
      </c>
      <c r="L115" s="56">
        <v>75</v>
      </c>
      <c r="O115" s="1">
        <f t="shared" si="0"/>
        <v>1946.1538461538462</v>
      </c>
      <c r="P115" s="1">
        <f t="shared" si="1"/>
        <v>1848.0519480519481</v>
      </c>
      <c r="Q115" s="1">
        <f t="shared" si="2"/>
        <v>2653.0120481927711</v>
      </c>
      <c r="R115" s="1">
        <f t="shared" si="3"/>
        <v>263.46153846153845</v>
      </c>
    </row>
    <row r="116" spans="1:18" x14ac:dyDescent="0.25">
      <c r="A116">
        <f>Data!A116</f>
        <v>2009</v>
      </c>
      <c r="G116" s="56">
        <v>341</v>
      </c>
      <c r="H116" s="56">
        <v>657</v>
      </c>
      <c r="I116">
        <f t="shared" si="4"/>
        <v>507</v>
      </c>
      <c r="J116" s="56">
        <v>70</v>
      </c>
      <c r="K116" s="56">
        <v>260</v>
      </c>
      <c r="L116" s="56">
        <v>247</v>
      </c>
      <c r="O116" s="1">
        <f t="shared" si="0"/>
        <v>1946.1538461538462</v>
      </c>
      <c r="P116" s="1">
        <f t="shared" si="1"/>
        <v>1848.0519480519481</v>
      </c>
      <c r="Q116" s="1">
        <f t="shared" si="2"/>
        <v>2653.0120481927711</v>
      </c>
      <c r="R116" s="1">
        <f t="shared" si="3"/>
        <v>263.46153846153845</v>
      </c>
    </row>
    <row r="117" spans="1:18" x14ac:dyDescent="0.25">
      <c r="A117">
        <f>Data!A117</f>
        <v>2010</v>
      </c>
      <c r="G117" s="56">
        <v>424</v>
      </c>
      <c r="H117" s="56">
        <v>834</v>
      </c>
      <c r="I117">
        <f t="shared" si="4"/>
        <v>698</v>
      </c>
      <c r="J117" s="56">
        <v>80</v>
      </c>
      <c r="K117" s="56">
        <v>342</v>
      </c>
      <c r="L117" s="56">
        <v>356</v>
      </c>
      <c r="O117" s="1">
        <f t="shared" si="0"/>
        <v>1946.1538461538462</v>
      </c>
      <c r="P117" s="1">
        <f t="shared" si="1"/>
        <v>1848.0519480519481</v>
      </c>
      <c r="Q117" s="1">
        <f t="shared" si="2"/>
        <v>2653.0120481927711</v>
      </c>
      <c r="R117" s="1">
        <f t="shared" si="3"/>
        <v>263.46153846153845</v>
      </c>
    </row>
    <row r="118" spans="1:18" x14ac:dyDescent="0.25">
      <c r="A118">
        <f>Data!A118</f>
        <v>2011</v>
      </c>
      <c r="G118" s="56">
        <v>588</v>
      </c>
      <c r="H118" s="56">
        <v>1026</v>
      </c>
      <c r="I118">
        <f t="shared" si="4"/>
        <v>766</v>
      </c>
      <c r="J118" s="56">
        <v>151</v>
      </c>
      <c r="K118" s="56">
        <v>397</v>
      </c>
      <c r="L118" s="56">
        <v>369</v>
      </c>
      <c r="O118" s="1">
        <f t="shared" si="0"/>
        <v>1946.1538461538462</v>
      </c>
      <c r="P118" s="1">
        <f t="shared" si="1"/>
        <v>1848.0519480519481</v>
      </c>
      <c r="Q118" s="1">
        <f t="shared" si="2"/>
        <v>2653.0120481927711</v>
      </c>
      <c r="R118" s="1">
        <f t="shared" si="3"/>
        <v>263.46153846153845</v>
      </c>
    </row>
    <row r="119" spans="1:18" x14ac:dyDescent="0.25">
      <c r="A119">
        <f>Data!A119</f>
        <v>2012</v>
      </c>
      <c r="G119" s="56">
        <v>629</v>
      </c>
      <c r="H119" s="56">
        <v>1176</v>
      </c>
      <c r="I119">
        <f t="shared" si="4"/>
        <v>834</v>
      </c>
      <c r="J119" s="56">
        <v>192</v>
      </c>
      <c r="K119" s="56">
        <v>424</v>
      </c>
      <c r="L119" s="56">
        <v>410</v>
      </c>
      <c r="O119" s="1">
        <f t="shared" si="0"/>
        <v>1946.1538461538462</v>
      </c>
      <c r="P119" s="1">
        <f t="shared" si="1"/>
        <v>1848.0519480519481</v>
      </c>
      <c r="Q119" s="1">
        <f t="shared" si="2"/>
        <v>2653.0120481927711</v>
      </c>
      <c r="R119" s="1">
        <f t="shared" si="3"/>
        <v>263.46153846153845</v>
      </c>
    </row>
    <row r="120" spans="1:18" x14ac:dyDescent="0.25">
      <c r="A120">
        <f>Data!A120</f>
        <v>2013</v>
      </c>
      <c r="G120" s="56">
        <v>930</v>
      </c>
      <c r="H120" s="56">
        <v>1245</v>
      </c>
      <c r="I120">
        <f t="shared" si="4"/>
        <v>972</v>
      </c>
      <c r="J120" s="56">
        <v>164</v>
      </c>
      <c r="K120" s="56">
        <v>411</v>
      </c>
      <c r="L120" s="56">
        <v>561</v>
      </c>
      <c r="O120" s="1">
        <f t="shared" si="0"/>
        <v>1946.1538461538462</v>
      </c>
      <c r="P120" s="1">
        <f t="shared" si="1"/>
        <v>1848.0519480519481</v>
      </c>
      <c r="Q120" s="1">
        <f t="shared" si="2"/>
        <v>2653.0120481927711</v>
      </c>
      <c r="R120" s="1">
        <f t="shared" si="3"/>
        <v>263.46153846153845</v>
      </c>
    </row>
    <row r="121" spans="1:18" x14ac:dyDescent="0.25">
      <c r="A121">
        <f>Data!A121</f>
        <v>2014</v>
      </c>
      <c r="G121" s="56">
        <v>957</v>
      </c>
      <c r="H121" s="56">
        <v>1272</v>
      </c>
      <c r="I121">
        <f t="shared" si="4"/>
        <v>998</v>
      </c>
      <c r="J121" s="56">
        <v>164</v>
      </c>
      <c r="K121" s="56">
        <v>451</v>
      </c>
      <c r="L121" s="56">
        <v>547</v>
      </c>
      <c r="O121" s="1">
        <f t="shared" si="0"/>
        <v>1946.1538461538462</v>
      </c>
      <c r="P121" s="1">
        <f t="shared" si="1"/>
        <v>1848.0519480519481</v>
      </c>
      <c r="Q121" s="1">
        <f t="shared" si="2"/>
        <v>2653.0120481927711</v>
      </c>
      <c r="R121" s="1">
        <f t="shared" si="3"/>
        <v>263.46153846153845</v>
      </c>
    </row>
    <row r="122" spans="1:18" x14ac:dyDescent="0.25">
      <c r="A122">
        <f>Data!A122</f>
        <v>2015</v>
      </c>
      <c r="G122" s="56">
        <v>1423</v>
      </c>
      <c r="H122" s="56">
        <v>1477</v>
      </c>
      <c r="I122">
        <f t="shared" si="4"/>
        <v>1189</v>
      </c>
      <c r="J122" s="56">
        <v>151</v>
      </c>
      <c r="K122" s="56">
        <v>437</v>
      </c>
      <c r="L122" s="56">
        <v>752</v>
      </c>
      <c r="O122" s="1">
        <f>O123</f>
        <v>1946.1538461538462</v>
      </c>
      <c r="P122" s="1">
        <f>P123</f>
        <v>1848.0519480519481</v>
      </c>
      <c r="Q122" s="1">
        <f>Q123</f>
        <v>2653.0120481927711</v>
      </c>
      <c r="R122" s="1">
        <f>R123</f>
        <v>263.46153846153845</v>
      </c>
    </row>
    <row r="123" spans="1:18" x14ac:dyDescent="0.25">
      <c r="A123">
        <f>Data!A123</f>
        <v>2016</v>
      </c>
      <c r="B123" s="18">
        <f>B124</f>
        <v>0.78</v>
      </c>
      <c r="C123" s="18">
        <f>C124</f>
        <v>0.77</v>
      </c>
      <c r="D123" s="18">
        <f>D124</f>
        <v>0.83</v>
      </c>
      <c r="E123" s="18">
        <f>E124</f>
        <v>0.52</v>
      </c>
      <c r="G123" s="56">
        <v>1518</v>
      </c>
      <c r="H123" s="56">
        <v>1423</v>
      </c>
      <c r="I123">
        <f t="shared" si="4"/>
        <v>2202</v>
      </c>
      <c r="J123" s="56">
        <v>137</v>
      </c>
      <c r="K123" s="56">
        <v>1518</v>
      </c>
      <c r="L123" s="56">
        <v>684</v>
      </c>
      <c r="O123" s="1">
        <f>G123/B123</f>
        <v>1946.1538461538462</v>
      </c>
      <c r="P123" s="1">
        <f t="shared" ref="P123:R123" si="5">H123/C123</f>
        <v>1848.0519480519481</v>
      </c>
      <c r="Q123" s="1">
        <f t="shared" si="5"/>
        <v>2653.0120481927711</v>
      </c>
      <c r="R123" s="1">
        <f t="shared" si="5"/>
        <v>263.46153846153845</v>
      </c>
    </row>
    <row r="124" spans="1:18" x14ac:dyDescent="0.25">
      <c r="A124">
        <f>Data!A124</f>
        <v>2017</v>
      </c>
      <c r="B124" s="18">
        <v>0.78</v>
      </c>
      <c r="C124" s="18">
        <v>0.77</v>
      </c>
      <c r="D124" s="18">
        <v>0.83</v>
      </c>
      <c r="E124" s="18">
        <v>0.52</v>
      </c>
    </row>
    <row r="125" spans="1:18" x14ac:dyDescent="0.25">
      <c r="A125">
        <f>Data!A125</f>
        <v>2018</v>
      </c>
    </row>
    <row r="126" spans="1:18" x14ac:dyDescent="0.25">
      <c r="A126">
        <f>Data!A126</f>
        <v>2019</v>
      </c>
    </row>
    <row r="127" spans="1:18" x14ac:dyDescent="0.25">
      <c r="A127">
        <f>Data!A127</f>
        <v>2020</v>
      </c>
    </row>
    <row r="128" spans="1:18" x14ac:dyDescent="0.25">
      <c r="A128">
        <f>Data!A128</f>
        <v>2021</v>
      </c>
    </row>
    <row r="129" spans="1:1" x14ac:dyDescent="0.25">
      <c r="A129">
        <f>Data!A129</f>
        <v>2022</v>
      </c>
    </row>
    <row r="130" spans="1:1" x14ac:dyDescent="0.25">
      <c r="A130">
        <f>Data!A130</f>
        <v>2023</v>
      </c>
    </row>
    <row r="131" spans="1:1" x14ac:dyDescent="0.25">
      <c r="A131">
        <f>Data!A131</f>
        <v>2024</v>
      </c>
    </row>
    <row r="132" spans="1:1" x14ac:dyDescent="0.25">
      <c r="A132">
        <f>Data!A132</f>
        <v>2025</v>
      </c>
    </row>
  </sheetData>
  <hyperlinks>
    <hyperlink ref="B5" r:id="rId1" xr:uid="{42BA34BE-AF41-0249-AD8D-CC73AB69C2F7}"/>
    <hyperlink ref="C5" r:id="rId2" xr:uid="{6B028088-DFBD-4F48-89F8-A2ECFA120CBF}"/>
    <hyperlink ref="D5" r:id="rId3" xr:uid="{ECF08E4E-3FD8-D44F-9457-FB0C0C7A7FA3}"/>
    <hyperlink ref="E5" r:id="rId4" xr:uid="{6D217B2A-B997-C243-AAD5-77809A920B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8" ma:contentTypeDescription="Create a new document." ma:contentTypeScope="" ma:versionID="6cae15d3ffc98a9dfdc52b803e2f08e7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504d050193e9ce141537fe7ebe684406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6CD704-4D1B-4C59-A26F-75A86B680DD2}">
  <ds:schemaRefs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038a7a37-6bdc-40eb-a876-7e5ad11546ed"/>
    <ds:schemaRef ds:uri="c1090911-16f1-4708-addb-5db4084efae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C5DFF82-BD28-0440-A3EE-3AE326F97A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8FD8CD4-5D15-46CF-9CC5-63B04285CD0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ADCE86-CC06-4C0B-BB64-E1BB0E7C78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90911-16f1-4708-addb-5db4084efaec"/>
    <ds:schemaRef ds:uri="038a7a37-6bdc-40eb-a876-7e5ad1154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</vt:lpstr>
      <vt:lpstr>active mobility</vt:lpstr>
      <vt:lpstr>passive building (ireland)</vt:lpstr>
      <vt:lpstr>passive building (belgium)</vt:lpstr>
      <vt:lpstr>passive building (germany)</vt:lpstr>
      <vt:lpstr>passive building (austria)</vt:lpstr>
      <vt:lpstr>energy communities population</vt:lpstr>
      <vt:lpstr>e-bikes</vt:lpstr>
      <vt:lpstr>annual-reported-passenger-kilom</vt:lpstr>
      <vt:lpstr>long distance travel</vt:lpstr>
      <vt:lpstr>passive building</vt:lpstr>
      <vt:lpstr>climate protest</vt:lpstr>
      <vt:lpstr>elm- us</vt:lpstr>
      <vt:lpstr>elm- uk</vt:lpstr>
      <vt:lpstr>elm-i</vt:lpstr>
      <vt:lpstr>elm- j</vt:lpstr>
      <vt:lpstr>elm- g</vt:lpstr>
      <vt:lpstr>cohousing population</vt:lpstr>
      <vt:lpstr>microfinance population</vt:lpstr>
      <vt:lpstr>ESG firms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Nemet</dc:creator>
  <cp:keywords/>
  <dc:description/>
  <cp:lastModifiedBy>De Stercke Simon</cp:lastModifiedBy>
  <cp:revision/>
  <dcterms:created xsi:type="dcterms:W3CDTF">2025-01-14T16:47:20Z</dcterms:created>
  <dcterms:modified xsi:type="dcterms:W3CDTF">2025-02-15T16:30:01Z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  <property fmtid="{D5CDD505-2E9C-101B-9397-08002B2CF9AE}" pid="3" name="MediaServiceImageTags">
    <vt:lpwstr/>
  </property>
</Properties>
</file>