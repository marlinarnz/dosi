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simon\iiasa\DoSI\streamlit\data\"/>
    </mc:Choice>
  </mc:AlternateContent>
  <xr:revisionPtr revIDLastSave="0" documentId="13_ncr:1_{7C255814-0E16-422E-BB02-A103C48F51E3}" xr6:coauthVersionLast="47" xr6:coauthVersionMax="47" xr10:uidLastSave="{00000000-0000-0000-0000-000000000000}"/>
  <bookViews>
    <workbookView xWindow="-120" yWindow="-120" windowWidth="29040" windowHeight="1752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" l="1"/>
  <c r="H57" i="1"/>
  <c r="H56" i="1"/>
  <c r="H55" i="1"/>
  <c r="H54" i="1"/>
  <c r="H53" i="1"/>
  <c r="C3" i="1"/>
  <c r="H40" i="1" l="1"/>
  <c r="H38" i="1"/>
  <c r="H52" i="1"/>
  <c r="I52" i="1" s="1"/>
  <c r="H51" i="1"/>
  <c r="I51" i="1" s="1"/>
  <c r="H50" i="1"/>
  <c r="H49" i="1"/>
  <c r="H48" i="1"/>
  <c r="H47" i="1"/>
  <c r="H46" i="1"/>
  <c r="H45" i="1"/>
  <c r="I45" i="1" s="1"/>
  <c r="H44" i="1"/>
  <c r="I44" i="1" s="1"/>
  <c r="H43" i="1"/>
  <c r="I43" i="1" s="1"/>
  <c r="H42" i="1"/>
  <c r="I42" i="1" s="1"/>
  <c r="H41" i="1"/>
  <c r="I41" i="1" s="1"/>
  <c r="H39" i="1"/>
  <c r="I39" i="1" s="1"/>
  <c r="H37" i="1"/>
  <c r="H36" i="1"/>
  <c r="I36" i="1" s="1"/>
  <c r="H35" i="1"/>
  <c r="I35" i="1" s="1"/>
  <c r="H34" i="1"/>
  <c r="I34" i="1" s="1"/>
  <c r="H33" i="1"/>
  <c r="I33" i="1" s="1"/>
  <c r="H32" i="1"/>
  <c r="I32" i="1" s="1"/>
  <c r="H31" i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C19" i="1"/>
  <c r="D19" i="1" s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N10" i="1"/>
  <c r="O10" i="1" s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N6" i="1"/>
  <c r="H6" i="1"/>
  <c r="I6" i="1" s="1"/>
  <c r="C6" i="1"/>
  <c r="N5" i="1"/>
  <c r="O5" i="1" s="1"/>
  <c r="H5" i="1"/>
  <c r="I5" i="1" s="1"/>
  <c r="C5" i="1"/>
  <c r="D5" i="1" s="1"/>
  <c r="N4" i="1"/>
  <c r="O4" i="1" s="1"/>
  <c r="H4" i="1"/>
  <c r="I4" i="1" s="1"/>
  <c r="C4" i="1"/>
  <c r="N3" i="1"/>
  <c r="O3" i="1" s="1"/>
  <c r="H3" i="1"/>
  <c r="I3" i="1" s="1"/>
  <c r="D3" i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<sst xmlns="http://schemas.openxmlformats.org/spreadsheetml/2006/main" count="1442" uniqueCount="1361">
  <si>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</si>
  <si>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</si>
  <si>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</si>
  <si>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</si>
  <si>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</si>
  <si>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</si>
  <si>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</si>
  <si>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</si>
  <si>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</si>
  <si>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</si>
  <si>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</si>
  <si>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</si>
  <si>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</si>
  <si>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</si>
  <si>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</si>
  <si>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</si>
  <si>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</si>
  <si>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</si>
  <si>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</si>
  <si>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</si>
  <si>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</si>
  <si>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</si>
  <si>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</si>
  <si>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</si>
  <si>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</si>
  <si>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</si>
  <si>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</si>
  <si>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</si>
  <si>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</si>
  <si>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</si>
  <si>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</si>
  <si>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</si>
  <si>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</si>
  <si>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</si>
  <si>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</si>
  <si>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</si>
  <si>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</si>
  <si>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</si>
  <si>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</si>
  <si>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</si>
  <si>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</si>
  <si>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</si>
  <si>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</si>
  <si>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</si>
  <si>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</si>
  <si>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</si>
  <si>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</si>
  <si>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</si>
  <si>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</si>
  <si>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</si>
  <si>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</si>
  <si>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</si>
  <si>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</si>
  <si>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</si>
  <si>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</si>
  <si>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</si>
  <si>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</si>
  <si>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</si>
  <si>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</si>
  <si>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</si>
  <si>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</si>
  <si>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Inter-dependence (with hardware) - unit size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</si>
  <si>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</si>
  <si>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</si>
  <si>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</si>
  <si>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</si>
  <si>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</si>
  <si>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</si>
  <si>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</si>
  <si>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</si>
  <si>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</si>
  <si>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m5</t>
  </si>
  <si>
    <t>Copenhagen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</si>
  <si>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</si>
  <si>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</si>
  <si>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</si>
  <si>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</si>
  <si>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</si>
  <si>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</si>
  <si>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</si>
  <si>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</si>
  <si>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</si>
  <si>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</si>
  <si>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</si>
  <si>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</si>
  <si>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</si>
  <si>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</si>
  <si>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</si>
  <si>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</si>
  <si>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</si>
  <si>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</si>
  <si>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</si>
  <si>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</si>
  <si>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</si>
  <si>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</si>
  <si>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</si>
  <si>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</si>
  <si>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</si>
  <si>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</si>
  <si>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</si>
  <si>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</si>
  <si>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</si>
  <si>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</si>
  <si>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</si>
  <si>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</si>
  <si>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</si>
  <si>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</si>
  <si>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</si>
  <si>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</si>
  <si>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</si>
  <si>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</si>
  <si>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</si>
  <si>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</si>
  <si>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</si>
  <si>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</si>
  <si>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</si>
  <si>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</si>
  <si>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</si>
  <si>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</si>
  <si>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</si>
  <si>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</si>
  <si>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</si>
  <si>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</si>
  <si>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</si>
  <si>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</si>
  <si>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</si>
  <si>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</si>
  <si>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</si>
  <si>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</si>
  <si>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</si>
  <si>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</si>
  <si>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</si>
  <si>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</si>
  <si>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</si>
  <si>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</si>
  <si>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</si>
  <si>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</si>
  <si>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</si>
  <si>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</si>
  <si>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</si>
  <si>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</si>
  <si>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</si>
  <si>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</si>
  <si>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</si>
  <si>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</si>
  <si>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</si>
  <si>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</si>
  <si>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</si>
  <si>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</si>
  <si>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</si>
  <si>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</si>
  <si>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</si>
  <si>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</si>
  <si>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</si>
  <si>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</si>
  <si>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</si>
  <si>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</si>
  <si>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</si>
  <si>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</si>
  <si>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</si>
  <si>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</si>
  <si>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</si>
  <si>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</si>
  <si>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</si>
  <si>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</si>
  <si>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</si>
  <si>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</si>
  <si>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</si>
  <si>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</si>
  <si>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</si>
  <si>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</si>
  <si>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</si>
  <si>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</si>
  <si>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</si>
  <si>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</si>
  <si>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</si>
  <si>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</si>
  <si>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</si>
  <si>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</si>
  <si>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</si>
  <si>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</si>
  <si>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</si>
  <si>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</si>
  <si>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</si>
  <si>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</si>
  <si>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</si>
  <si>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</si>
  <si>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</si>
  <si>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</si>
  <si>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</si>
  <si>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</si>
  <si>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</si>
  <si>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</si>
  <si>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</si>
  <si>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</si>
  <si>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</si>
  <si>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</si>
  <si>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</si>
  <si>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</si>
  <si>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</si>
  <si>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</si>
  <si>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</si>
  <si>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</si>
  <si>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</si>
  <si>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</si>
  <si>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</si>
  <si>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</si>
  <si>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</si>
  <si>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</si>
  <si>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</si>
  <si>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</si>
  <si>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</si>
  <si>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</si>
  <si>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</si>
  <si>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</si>
  <si>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</si>
  <si>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</si>
  <si>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</si>
  <si>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</si>
  <si>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</si>
  <si>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</si>
  <si>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</si>
  <si>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</si>
  <si>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</si>
  <si>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</si>
  <si>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</si>
  <si>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</si>
  <si>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</si>
  <si>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</si>
  <si>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</si>
  <si>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</si>
  <si>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</si>
  <si>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</si>
  <si>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</si>
  <si>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</si>
  <si>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</si>
  <si>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</si>
  <si>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</si>
  <si>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</si>
  <si>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</si>
  <si>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</si>
  <si>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</si>
  <si>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</si>
  <si>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</si>
  <si>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</si>
  <si>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</si>
  <si>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</si>
  <si>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</si>
  <si>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</si>
  <si>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</si>
  <si>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</si>
  <si>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</si>
  <si>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</si>
  <si>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</si>
  <si>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</si>
  <si>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</si>
  <si>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</si>
  <si>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</si>
  <si>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</si>
  <si>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</si>
  <si>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</si>
  <si>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</si>
  <si>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</si>
  <si>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</si>
  <si>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</si>
  <si>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</si>
  <si>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</si>
  <si>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</si>
  <si>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</si>
  <si>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</si>
  <si>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</si>
  <si>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</si>
  <si>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</si>
  <si>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</si>
  <si>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</si>
  <si>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</si>
  <si>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</si>
  <si>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</si>
  <si>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</si>
  <si>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</si>
  <si>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</si>
  <si>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</si>
  <si>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</si>
  <si>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</si>
  <si>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</si>
  <si>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</si>
  <si>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</si>
  <si>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</si>
  <si>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</si>
  <si>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</si>
  <si>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</si>
  <si>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</si>
  <si>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</si>
  <si>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</si>
  <si>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</si>
  <si>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</si>
  <si>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</si>
  <si>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</si>
  <si>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</si>
  <si>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</si>
  <si>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</si>
  <si>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</si>
  <si>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</si>
  <si>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</si>
  <si>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</si>
  <si>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</si>
  <si>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</si>
  <si>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</si>
  <si>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</si>
  <si>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</si>
  <si>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</si>
  <si>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</si>
  <si>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</si>
  <si>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</si>
  <si>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</si>
  <si>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</si>
  <si>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</si>
  <si>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</si>
  <si>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</si>
  <si>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</si>
  <si>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</si>
  <si>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</si>
  <si>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</si>
  <si>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</si>
  <si>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</si>
  <si>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</si>
  <si>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</si>
  <si>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</si>
  <si>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</si>
  <si>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</si>
  <si>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</si>
  <si>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</si>
  <si>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</si>
  <si>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</si>
  <si>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</si>
  <si>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</si>
  <si>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</si>
  <si>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</si>
  <si>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</si>
  <si>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</si>
  <si>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</si>
  <si>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</si>
  <si>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</si>
  <si>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</si>
  <si>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</si>
  <si>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</si>
  <si>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</si>
  <si>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</si>
  <si>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</si>
  <si>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</si>
  <si>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</si>
  <si>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</si>
  <si>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</si>
  <si>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</si>
  <si>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</si>
  <si>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</si>
  <si>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</si>
  <si>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</si>
  <si>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</si>
  <si>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</si>
  <si>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</si>
  <si>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</si>
  <si>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</si>
  <si>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</si>
  <si>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</si>
  <si>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</si>
  <si>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</si>
  <si>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</si>
  <si>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</si>
  <si>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</si>
  <si>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</si>
  <si>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</si>
  <si>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</si>
  <si>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</si>
  <si>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</si>
  <si>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</si>
  <si>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</si>
  <si>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</si>
  <si>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</si>
  <si>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</si>
  <si>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</si>
  <si>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</si>
  <si>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</si>
  <si>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</si>
  <si>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</si>
  <si>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</si>
  <si>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</si>
  <si>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</si>
  <si>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</si>
  <si>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</si>
  <si>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</si>
  <si>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</si>
  <si>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</si>
  <si>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</si>
  <si>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</si>
  <si>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</si>
  <si>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</si>
  <si>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</si>
  <si>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</si>
  <si>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</si>
  <si>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</si>
  <si>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</si>
  <si>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</si>
  <si>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</si>
  <si>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</si>
  <si>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</si>
  <si>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</si>
  <si>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</si>
  <si>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</si>
  <si>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</si>
  <si>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</si>
  <si>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</si>
  <si>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</si>
  <si>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</si>
  <si>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</si>
  <si>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</si>
  <si>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</si>
  <si>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</si>
  <si>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</si>
  <si>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</si>
  <si>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</si>
  <si>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</si>
  <si>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</si>
  <si>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</si>
  <si>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</si>
  <si>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</si>
  <si>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</si>
  <si>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</si>
  <si>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</si>
  <si>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</si>
  <si>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</si>
  <si>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</si>
  <si>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</si>
  <si>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</si>
  <si>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</si>
  <si>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</si>
  <si>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</si>
  <si>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</si>
  <si>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</si>
  <si>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</si>
  <si>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</si>
  <si>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</si>
  <si>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</si>
  <si>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</si>
  <si>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</si>
  <si>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</si>
  <si>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</si>
  <si>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</si>
  <si>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</si>
  <si>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</si>
  <si>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</si>
  <si>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</si>
  <si>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</si>
  <si>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</si>
  <si>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</si>
  <si>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</si>
  <si>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</si>
  <si>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</si>
  <si>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</si>
  <si>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</si>
  <si>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</si>
  <si>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</si>
  <si>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</si>
  <si>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</si>
  <si>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</si>
  <si>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</si>
  <si>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</si>
  <si>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</si>
  <si>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</si>
  <si>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</si>
  <si>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</si>
  <si>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</si>
  <si>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</si>
  <si>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</si>
  <si>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</si>
  <si>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</si>
  <si>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</si>
  <si>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</si>
  <si>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</si>
  <si>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</si>
  <si>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</si>
  <si>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</si>
  <si>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</si>
  <si>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</si>
  <si>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</si>
  <si>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</si>
  <si>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</si>
  <si>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</si>
  <si>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</si>
  <si>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</si>
  <si>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</si>
  <si>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</si>
  <si>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</si>
  <si>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</si>
  <si>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</si>
  <si>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</si>
  <si>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</si>
  <si>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</si>
  <si>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</si>
  <si>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</si>
  <si>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</si>
  <si>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</si>
  <si>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</si>
  <si>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</si>
  <si>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</si>
  <si>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</si>
  <si>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</si>
  <si>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</si>
  <si>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</si>
  <si>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</si>
  <si>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</si>
  <si>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</si>
  <si>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</si>
  <si>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</si>
  <si>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</si>
  <si>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</si>
  <si>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</si>
  <si>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</si>
  <si>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</si>
  <si>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</si>
  <si>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</si>
  <si>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</si>
  <si>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</si>
  <si>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</si>
  <si>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</si>
  <si>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</si>
  <si>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</si>
  <si>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</si>
  <si>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</si>
  <si>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</si>
  <si>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</si>
  <si>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</si>
  <si>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</si>
  <si>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</si>
  <si>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</si>
  <si>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</si>
  <si>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</si>
  <si>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</si>
  <si>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</si>
  <si>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</si>
  <si>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</si>
  <si>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</si>
  <si>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</si>
  <si>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</si>
  <si>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</si>
  <si>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</si>
  <si>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</si>
  <si>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</si>
  <si>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</si>
  <si>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</si>
  <si>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</si>
  <si>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</si>
  <si>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</si>
  <si>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</si>
  <si>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</si>
  <si>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</si>
  <si>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</si>
  <si>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</si>
  <si>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</si>
  <si>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</si>
  <si>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</si>
  <si>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</si>
  <si>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</si>
  <si>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</si>
  <si>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</si>
  <si>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</si>
  <si>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</si>
  <si>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</si>
  <si>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</si>
  <si>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</si>
  <si>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</si>
  <si>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</si>
  <si>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</si>
  <si>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</si>
  <si>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</si>
  <si>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</si>
  <si>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</si>
  <si>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</si>
  <si>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</si>
  <si>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</si>
  <si>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</si>
  <si>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</si>
  <si>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</si>
  <si>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</si>
  <si>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</si>
  <si>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</si>
  <si>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</si>
  <si>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</si>
  <si>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</si>
  <si>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</si>
  <si>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</si>
  <si>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</si>
  <si>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</si>
  <si>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</si>
  <si>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</si>
  <si>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</si>
  <si>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</si>
  <si>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</si>
  <si>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</si>
  <si>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</si>
  <si>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</si>
  <si>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</si>
  <si>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</si>
  <si>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</si>
  <si>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</si>
  <si>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</si>
  <si>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</si>
  <si>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</si>
  <si>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</si>
  <si>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</si>
  <si>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</si>
  <si>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</si>
  <si>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</si>
  <si>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</si>
  <si>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</si>
  <si>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</si>
  <si>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</si>
  <si>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</si>
  <si>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</si>
  <si>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</si>
  <si>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</si>
  <si>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</si>
  <si>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</si>
  <si>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</si>
  <si>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</si>
  <si>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</si>
  <si>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</si>
  <si>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</si>
  <si>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</si>
  <si>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</si>
  <si>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</si>
  <si>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</si>
  <si>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</si>
  <si>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</si>
  <si>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</si>
  <si>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</si>
  <si>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</si>
  <si>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</si>
  <si>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</si>
  <si>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</si>
  <si>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</si>
  <si>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</si>
  <si>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</si>
  <si>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</si>
  <si>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</si>
  <si>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</si>
  <si>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</si>
  <si>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</si>
  <si>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</si>
  <si>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</si>
  <si>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</si>
  <si>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</si>
  <si>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</si>
  <si>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</si>
  <si>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</si>
  <si>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</si>
  <si>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</si>
  <si>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</si>
  <si>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</si>
  <si>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</si>
  <si>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</si>
  <si>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</si>
  <si>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</si>
  <si>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</si>
  <si>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</si>
  <si>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</si>
  <si>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</si>
  <si>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</si>
  <si>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</si>
  <si>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</si>
  <si>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</si>
  <si>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</si>
  <si>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</si>
  <si>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</si>
  <si>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</si>
  <si>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</si>
  <si>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</si>
  <si>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</si>
  <si>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</si>
  <si>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</si>
  <si>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</si>
  <si>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</si>
  <si>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</si>
  <si>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</si>
  <si>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</si>
  <si>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</si>
  <si>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</si>
  <si>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</si>
  <si>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</si>
  <si>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</si>
  <si>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</si>
  <si>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</si>
  <si>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</si>
  <si>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</si>
  <si>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</si>
  <si>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</si>
  <si>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</si>
  <si>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</si>
  <si>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</si>
  <si>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</si>
  <si>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</si>
  <si>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</si>
  <si>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</si>
  <si>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</si>
  <si>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</si>
  <si>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</si>
  <si>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</si>
  <si>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</si>
  <si>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</si>
  <si>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</si>
  <si>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</si>
  <si>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</si>
  <si>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</si>
  <si>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</si>
  <si>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</si>
  <si>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</si>
  <si>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</si>
  <si>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</si>
  <si>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</si>
  <si>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</si>
  <si>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</si>
  <si>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</si>
  <si>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</si>
  <si>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</si>
  <si>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</si>
  <si>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</si>
  <si>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</si>
  <si>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</si>
  <si>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</si>
  <si>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</si>
  <si>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</si>
  <si>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</si>
  <si>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</si>
  <si>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</si>
  <si>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</si>
  <si>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</si>
  <si>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</si>
  <si>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</si>
  <si>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</si>
  <si>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</si>
  <si>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</si>
  <si>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</si>
  <si>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</si>
  <si>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</si>
  <si>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</si>
  <si>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</si>
  <si>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</si>
  <si>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</si>
  <si>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</si>
  <si>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</si>
  <si>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</si>
  <si>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</si>
  <si>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</si>
  <si>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</si>
  <si>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</si>
  <si>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</si>
  <si>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</si>
  <si>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</si>
  <si>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</si>
  <si>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</si>
  <si>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</si>
  <si>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</si>
  <si>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</si>
  <si>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</si>
  <si>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</si>
  <si>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</si>
  <si>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</si>
  <si>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</si>
  <si>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</si>
  <si>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</si>
  <si>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</si>
  <si>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</si>
  <si>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</si>
  <si>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</si>
  <si>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</si>
  <si>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</si>
  <si>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</si>
  <si>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</si>
  <si>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</si>
  <si>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</si>
  <si>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</si>
  <si>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</si>
  <si>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</si>
  <si>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</si>
  <si>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</si>
  <si>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</si>
  <si>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</si>
  <si>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</si>
  <si>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</si>
  <si>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</si>
  <si>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</si>
  <si>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</si>
  <si>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</si>
  <si>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</si>
  <si>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</si>
  <si>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</si>
  <si>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</si>
  <si>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</si>
  <si>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</si>
  <si>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</si>
  <si>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</si>
  <si>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</si>
  <si>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</si>
  <si>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</si>
  <si>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</si>
  <si>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</si>
  <si>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</si>
  <si>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</si>
  <si>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</si>
  <si>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</si>
  <si>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</si>
  <si>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</si>
  <si>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</si>
  <si>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</si>
  <si>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</si>
  <si>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</si>
  <si>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</si>
  <si>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</si>
  <si>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</si>
  <si>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</si>
  <si>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</si>
  <si>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</si>
  <si>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</si>
  <si>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</si>
  <si>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</si>
  <si>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</si>
  <si>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</si>
  <si>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</si>
  <si>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</si>
  <si>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</si>
  <si>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</si>
  <si>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</si>
  <si>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</si>
  <si>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</si>
  <si>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</si>
  <si>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</si>
  <si>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</si>
  <si>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</si>
  <si>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</si>
  <si>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</si>
  <si>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</si>
  <si>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</si>
  <si>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</si>
  <si>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</si>
  <si>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</si>
  <si>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</si>
  <si>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</si>
  <si>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</si>
  <si>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</si>
  <si>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</si>
  <si>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</si>
  <si>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</si>
  <si>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</si>
  <si>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</si>
  <si>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</si>
  <si>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</si>
  <si>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</si>
  <si>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</si>
  <si>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</si>
  <si>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</si>
  <si>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</si>
  <si>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</si>
  <si>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</si>
  <si>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</si>
  <si>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</si>
  <si>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</si>
  <si>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</si>
  <si>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</si>
  <si>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</si>
  <si>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</si>
  <si>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</si>
  <si>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</si>
  <si>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</si>
  <si>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</si>
  <si>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</si>
  <si>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</si>
  <si>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</si>
  <si>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</si>
  <si>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</si>
  <si>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</si>
  <si>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</si>
  <si>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</si>
  <si>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</si>
  <si>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</si>
  <si>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</si>
  <si>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</si>
  <si>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</si>
  <si>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</si>
  <si>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</si>
  <si>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</si>
  <si>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</si>
  <si>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</si>
  <si>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</si>
  <si>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</si>
  <si>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</si>
  <si>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</si>
  <si>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</si>
  <si>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</si>
  <si>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</si>
  <si>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</si>
  <si>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</si>
  <si>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</si>
  <si>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</si>
  <si>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</si>
  <si>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</si>
  <si>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</si>
  <si>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</si>
  <si>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</si>
  <si>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</si>
  <si>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</si>
  <si>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</si>
  <si>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</si>
  <si>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</si>
  <si>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</si>
  <si>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</si>
  <si>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</si>
  <si>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</si>
  <si>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</si>
  <si>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</si>
  <si>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</si>
  <si>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</si>
  <si>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</si>
  <si>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</si>
  <si>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</si>
  <si>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</si>
  <si>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d256</t>
  </si>
  <si>
    <t>Partial up to max % red in total meat consumption</t>
  </si>
  <si>
    <t>d257</t>
  </si>
  <si>
    <t>d258</t>
  </si>
  <si>
    <t>d259</t>
  </si>
  <si>
    <t>d260</t>
  </si>
  <si>
    <t>d261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</si>
  <si>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</si>
  <si>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</si>
  <si>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</si>
  <si>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</si>
  <si>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</si>
  <si>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</si>
  <si>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</si>
  <si>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</si>
  <si>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</si>
  <si>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</si>
  <si>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</si>
  <si>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</si>
  <si>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</si>
  <si>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</si>
  <si>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</si>
  <si>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</si>
  <si>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</si>
  <si>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</si>
  <si>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</si>
  <si>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</si>
  <si>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</si>
  <si>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</si>
  <si>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</si>
  <si>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</si>
  <si>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</si>
  <si>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</si>
  <si>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</si>
  <si>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</si>
  <si>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</si>
  <si>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</si>
  <si>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</si>
  <si>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</si>
  <si>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</si>
  <si>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</si>
  <si>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</si>
  <si>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</si>
  <si>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</si>
  <si>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</si>
  <si>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</si>
  <si>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</si>
  <si>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</si>
  <si>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</si>
  <si>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</si>
  <si>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d284</t>
  </si>
  <si>
    <t>Partial up to max Frequency of the word "postage stamp" in ngram corpus</t>
  </si>
  <si>
    <t>d285</t>
  </si>
  <si>
    <t>d286</t>
  </si>
  <si>
    <t>d287</t>
  </si>
  <si>
    <t>d288</t>
  </si>
  <si>
    <t>d289</t>
  </si>
  <si>
    <t>d290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</si>
  <si>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</si>
  <si>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</si>
  <si>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</si>
  <si>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</si>
  <si>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</si>
  <si>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</si>
  <si>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</si>
  <si>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</si>
  <si>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</si>
  <si>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</si>
  <si>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</si>
  <si>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</si>
  <si>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</si>
  <si>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</si>
  <si>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</si>
  <si>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</si>
  <si>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</si>
  <si>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</si>
  <si>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</si>
  <si>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</si>
  <si>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</si>
  <si>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</si>
  <si>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</si>
  <si>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</si>
  <si>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</si>
  <si>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</si>
  <si>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</si>
  <si>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</si>
  <si>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</si>
  <si>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</si>
  <si>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</si>
  <si>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</si>
  <si>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</si>
  <si>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</si>
  <si>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</si>
  <si>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</si>
  <si>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</si>
  <si>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</si>
  <si>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</si>
  <si>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</si>
  <si>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</si>
  <si>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</si>
  <si>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</si>
  <si>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</si>
  <si>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</si>
  <si>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</si>
  <si>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</si>
  <si>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</si>
  <si>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</si>
  <si>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</si>
  <si>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</si>
  <si>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</si>
  <si>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</si>
  <si>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</si>
  <si>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</si>
  <si>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</si>
  <si>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</si>
  <si>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</si>
  <si>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</si>
  <si>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</si>
  <si>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</si>
  <si>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</si>
  <si>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</si>
  <si>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</si>
  <si>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</si>
  <si>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</si>
  <si>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</si>
  <si>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</si>
  <si>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</si>
  <si>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</si>
  <si>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</si>
  <si>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</si>
  <si>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</si>
  <si>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</si>
  <si>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</si>
  <si>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</si>
  <si>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</si>
  <si>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</si>
  <si>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</si>
  <si>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</si>
  <si>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</si>
  <si>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</si>
  <si>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</si>
  <si>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</si>
  <si>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</si>
  <si>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</si>
  <si>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</si>
  <si>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</si>
  <si>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</si>
  <si>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</si>
  <si>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</si>
  <si>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</si>
  <si>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</si>
  <si>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</si>
  <si>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</si>
  <si>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</si>
  <si>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</si>
  <si>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</si>
  <si>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</si>
  <si>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</si>
  <si>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</si>
  <si>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</si>
  <si>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</si>
  <si>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</si>
  <si>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</si>
  <si>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</si>
  <si>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</si>
  <si>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</si>
  <si>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</si>
  <si>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</si>
  <si>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</si>
  <si>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</si>
  <si>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</si>
  <si>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</si>
  <si>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</si>
  <si>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</si>
  <si>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m167</t>
  </si>
  <si>
    <t>Partial up to max kg/yr</t>
  </si>
  <si>
    <t>Partial up to max Frequency index to max=1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</si>
  <si>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</si>
  <si>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</si>
  <si>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</si>
  <si>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</si>
  <si>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</si>
  <si>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</si>
  <si>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</si>
  <si>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</si>
  <si>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</si>
  <si>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</si>
  <si>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</si>
  <si>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</si>
  <si>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</si>
  <si>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</si>
  <si>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</si>
  <si>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</si>
  <si>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</si>
  <si>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</si>
  <si>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</si>
  <si>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</si>
  <si>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</si>
  <si>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</si>
  <si>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</si>
  <si>
    <t>m182</t>
  </si>
  <si>
    <t>d318</t>
  </si>
  <si>
    <t>organic as a share of retail sales</t>
  </si>
  <si>
    <t>d319</t>
  </si>
  <si>
    <t>Weight of all new car sales as a share of heaviest vehicle available in 2025.</t>
  </si>
  <si>
    <t>d320</t>
  </si>
  <si>
    <t>share of pkm by rail</t>
  </si>
  <si>
    <t>d321</t>
  </si>
  <si>
    <t>cars per person</t>
  </si>
  <si>
    <t>d322</t>
  </si>
  <si>
    <t>teleworkers as a share of all employed persons</t>
  </si>
  <si>
    <t>d323</t>
  </si>
  <si>
    <t>% trips by walking and biking</t>
  </si>
  <si>
    <t>d324</t>
  </si>
  <si>
    <t>e-bikes as a share of bikes sold</t>
  </si>
  <si>
    <t>d325</t>
  </si>
  <si>
    <t>share of teenagers with drivers licenses</t>
  </si>
  <si>
    <t>d326</t>
  </si>
  <si>
    <t>share of population living in co-housing projects</t>
  </si>
  <si>
    <t>d327</t>
  </si>
  <si>
    <t>sustainable apparel as a share of apparel</t>
  </si>
  <si>
    <t>d328</t>
  </si>
  <si>
    <t>Internet sales as a share of total retail sales</t>
  </si>
  <si>
    <t>d329</t>
  </si>
  <si>
    <t>share of food that is wasted</t>
  </si>
  <si>
    <t>d330</t>
  </si>
  <si>
    <t>share of building stock getting passive-bldg retrofits</t>
  </si>
  <si>
    <t>d331</t>
  </si>
  <si>
    <t>share of drivers who car share</t>
  </si>
  <si>
    <t>d332</t>
  </si>
  <si>
    <t>active borrowers as a share of population</t>
  </si>
  <si>
    <t>d333</t>
  </si>
  <si>
    <t>share of new solar owned by 3rd parties (HH&lt;$100k)</t>
  </si>
  <si>
    <t>d334</t>
  </si>
  <si>
    <t>share of firms voluntarily adopting gri reporting</t>
  </si>
  <si>
    <t>d335</t>
  </si>
  <si>
    <t>share of people engaged in 6 online activities</t>
  </si>
  <si>
    <t>d336</t>
  </si>
  <si>
    <t>share of people who interacted with public authorities (in the past year)</t>
  </si>
  <si>
    <t>d337</t>
  </si>
  <si>
    <t>cumulative share of population participating in protest events related to climate</t>
  </si>
  <si>
    <t>d338</t>
  </si>
  <si>
    <t>share of population in energy communities</t>
  </si>
  <si>
    <t>d339</t>
  </si>
  <si>
    <t>share of payments that are non-cash</t>
  </si>
  <si>
    <t>d340</t>
  </si>
  <si>
    <t>red meat as a share of meat consumption</t>
  </si>
  <si>
    <t>Partial max and after % red in total meat consumption</t>
  </si>
  <si>
    <t>Partial max and after per capita total meat consumption</t>
  </si>
  <si>
    <t>d341</t>
  </si>
  <si>
    <t>d342</t>
  </si>
  <si>
    <t>d343</t>
  </si>
  <si>
    <t>d344</t>
  </si>
  <si>
    <t>d345</t>
  </si>
  <si>
    <t>d346</t>
  </si>
  <si>
    <t>d347</t>
  </si>
  <si>
    <t>d348</t>
  </si>
  <si>
    <t>Partial max and after % kg/yr</t>
  </si>
  <si>
    <t>Partial max and after kg/yr</t>
  </si>
  <si>
    <t>m183</t>
  </si>
  <si>
    <t>m184</t>
  </si>
  <si>
    <t>m185</t>
  </si>
  <si>
    <t>Relative advantage: Co-benefits</t>
  </si>
  <si>
    <t>2.3Cob</t>
  </si>
  <si>
    <t>2.95</t>
  </si>
  <si>
    <t>2.95Uni</t>
  </si>
  <si>
    <t>(Perceived) uncertainty &amp; risk: knowledge generation</t>
  </si>
  <si>
    <t>Knowledge flows: salience</t>
  </si>
  <si>
    <t>4.1Sal</t>
  </si>
  <si>
    <t>3.3Sci</t>
  </si>
  <si>
    <t>2.3Cob (was 2.3Rel)</t>
  </si>
  <si>
    <t>2.95Uni (was 2.95Uni)</t>
  </si>
  <si>
    <t>passive buildings</t>
  </si>
  <si>
    <t>% of population holding a drivers licence, by age group&lt;=19yrs</t>
  </si>
  <si>
    <t>d349</t>
  </si>
  <si>
    <t>% of population holding a drivers licence, by gender=female</t>
  </si>
  <si>
    <t>d350</t>
  </si>
  <si>
    <t>% of population holding a drivers licence, by gender=male</t>
  </si>
  <si>
    <t>d351</t>
  </si>
  <si>
    <t>% of population holding a drivers licence, by age group 20-24</t>
  </si>
  <si>
    <t>d352</t>
  </si>
  <si>
    <t>new passive buildings</t>
  </si>
  <si>
    <t>d353</t>
  </si>
  <si>
    <t># of new units</t>
  </si>
  <si>
    <t>m186</t>
  </si>
  <si>
    <t>passive retrofits</t>
  </si>
  <si>
    <t>d354</t>
  </si>
  <si>
    <t># of retrofitted units</t>
  </si>
  <si>
    <t>m187</t>
  </si>
  <si>
    <t># of new passive buildings</t>
  </si>
  <si>
    <t>m188</t>
  </si>
  <si>
    <t># of retrofitted buildings</t>
  </si>
  <si>
    <t>m189</t>
  </si>
  <si>
    <t>new floorspace (m2?)</t>
  </si>
  <si>
    <t>m190</t>
  </si>
  <si>
    <t>retrofitted floorspace (m2 ?)</t>
  </si>
  <si>
    <t>m191</t>
  </si>
  <si>
    <t>countries with passive buildings</t>
  </si>
  <si>
    <t>d355</t>
  </si>
  <si>
    <t>% third party owned systems (income&lt;$50k)</t>
  </si>
  <si>
    <t>d356</t>
  </si>
  <si>
    <t>% third party owned systems (income=$100k-$150k)</t>
  </si>
  <si>
    <t>% third party owned systems (income=$150k-$200k)</t>
  </si>
  <si>
    <t>% third party owned systems (income=$200k-$250k)</t>
  </si>
  <si>
    <t>% third party owned systems (income=$50k-$100k)</t>
  </si>
  <si>
    <t>% third party owned systems (income&gt;$250k)</t>
  </si>
  <si>
    <t>d357</t>
  </si>
  <si>
    <t>Partial up to max % third party owned systems (income=$50k-$100k)</t>
  </si>
  <si>
    <t>Partial up to max % third party owned systems (income&lt;$50k)</t>
  </si>
  <si>
    <t>m192</t>
  </si>
  <si>
    <t>m193</t>
  </si>
  <si>
    <t>Partial up to max % poultry+pig in total meat consumption</t>
  </si>
  <si>
    <t>Partial max and after % poultry+pig in total meat consumption</t>
  </si>
  <si>
    <t>Partial up to max per capita beef consumption</t>
  </si>
  <si>
    <t>Partial max and after per capita beef consumption</t>
  </si>
  <si>
    <t>Partial up to max per capita other meat consumption</t>
  </si>
  <si>
    <t>Partial max and after per capita other meat consumption</t>
  </si>
  <si>
    <t>Partial up to max per capita pig consumption</t>
  </si>
  <si>
    <t>Partial max and after per capita pig consumption</t>
  </si>
  <si>
    <t>Partial up to max per capita poultry consumption</t>
  </si>
  <si>
    <t>Partial max and after per capita poultry consumption</t>
  </si>
  <si>
    <t>Partial up to max per capita sheep &amp; goat consumption</t>
  </si>
  <si>
    <t>Partial max and after per capita sheep &amp; goat consumption</t>
  </si>
  <si>
    <t>cumulative Building Energy Rating issuances</t>
  </si>
  <si>
    <t>Partial up to max % third party owned systems (income=$100k-$150k)</t>
  </si>
  <si>
    <t>Partial up to max % third party owned systems (income=$150k-$200k)</t>
  </si>
  <si>
    <t>Partial up to max % third party owned systems (income=$200k-$250k)</t>
  </si>
  <si>
    <t>Partial up to max % third party owned systems (income&gt;$250k)</t>
  </si>
  <si>
    <t>cumulative new passive buildings</t>
  </si>
  <si>
    <t>cumulative passive retrofits</t>
  </si>
  <si>
    <t>Partial up to max Kg/yr</t>
  </si>
  <si>
    <t>m168</t>
  </si>
  <si>
    <t>Partial max and after Kg/yr</t>
  </si>
  <si>
    <t>m169</t>
  </si>
  <si>
    <t>cumulative number of A1 rated buildings certificates</t>
  </si>
  <si>
    <t>cumulative # of new units</t>
  </si>
  <si>
    <t>cumulative # of retrofitted units</t>
  </si>
  <si>
    <t>cars per person PARTIAL FROM MAX ONWARDS</t>
  </si>
  <si>
    <t>d358</t>
  </si>
  <si>
    <t>Modal share of all trips by residents (walk) EXCLUDING 1930</t>
  </si>
  <si>
    <t>d359</t>
  </si>
  <si>
    <t>% trips by walking and biking EXCLUDING 1930</t>
  </si>
  <si>
    <t>d360</t>
  </si>
  <si>
    <t>Asia-Pacific</t>
  </si>
  <si>
    <t>asp</t>
  </si>
  <si>
    <t>Middle East &amp; Africa</t>
  </si>
  <si>
    <t>mea</t>
  </si>
  <si>
    <t>Americas</t>
  </si>
  <si>
    <t>ame</t>
  </si>
  <si>
    <t>fin</t>
  </si>
  <si>
    <t>twn</t>
  </si>
  <si>
    <t>lka</t>
  </si>
  <si>
    <t>Finland</t>
  </si>
  <si>
    <t>Taiwan</t>
  </si>
  <si>
    <t>Sri Lanka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</si>
  <si>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</si>
  <si>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</si>
  <si>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</si>
  <si>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</si>
  <si>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</si>
  <si>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</si>
  <si>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</si>
  <si>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</si>
  <si>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</si>
  <si>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</si>
  <si>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</si>
  <si>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</si>
  <si>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</si>
  <si>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</si>
  <si>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</si>
  <si>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</si>
  <si>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</si>
  <si>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</si>
  <si>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</si>
  <si>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</si>
  <si>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washing machines</t>
  </si>
  <si>
    <t>laundry dryers</t>
  </si>
  <si>
    <t>dishwashers</t>
  </si>
  <si>
    <t>television</t>
  </si>
  <si>
    <t>home air conditioning</t>
  </si>
  <si>
    <t>cable tv</t>
  </si>
  <si>
    <t>real-time gross settlement adoption</t>
  </si>
  <si>
    <t>wet flue gas desulfurization systems</t>
  </si>
  <si>
    <t>cellphones</t>
  </si>
  <si>
    <t>microwaves</t>
  </si>
  <si>
    <t>microcomputers</t>
  </si>
  <si>
    <t>household internet access</t>
  </si>
  <si>
    <t>nox pollution controls (boilers)</t>
  </si>
  <si>
    <t>home computers</t>
  </si>
  <si>
    <t>electric bicycles</t>
  </si>
  <si>
    <t>onshore wind energy</t>
  </si>
  <si>
    <t>solar photovoltaic</t>
  </si>
  <si>
    <t>offshore wind energy</t>
  </si>
  <si>
    <t>social media usage</t>
  </si>
  <si>
    <t>podcasting</t>
  </si>
  <si>
    <t>Cumulative Total Capacity</t>
  </si>
  <si>
    <t>Share of Households</t>
  </si>
  <si>
    <t>Cumulative Calculation</t>
  </si>
  <si>
    <t>Share of Market</t>
  </si>
  <si>
    <t>Share of Boilers</t>
  </si>
  <si>
    <t>Installed electricity capacity</t>
  </si>
  <si>
    <t>Share of Population</t>
  </si>
  <si>
    <t>d361</t>
  </si>
  <si>
    <t>d362</t>
  </si>
  <si>
    <t>d363</t>
  </si>
  <si>
    <t>d364</t>
  </si>
  <si>
    <t>d365</t>
  </si>
  <si>
    <t>d366</t>
  </si>
  <si>
    <t>d367</t>
  </si>
  <si>
    <t>MW</t>
  </si>
  <si>
    <t>-</t>
  </si>
  <si>
    <t>GWe</t>
  </si>
  <si>
    <t>m194</t>
  </si>
  <si>
    <t>m195</t>
  </si>
  <si>
    <t>m196</t>
  </si>
  <si>
    <t>m197</t>
  </si>
  <si>
    <t>wam</t>
  </si>
  <si>
    <t>lay</t>
  </si>
  <si>
    <t>dsh</t>
  </si>
  <si>
    <t>vis</t>
  </si>
  <si>
    <t>hac</t>
  </si>
  <si>
    <t>ctv</t>
  </si>
  <si>
    <t>rgs</t>
  </si>
  <si>
    <t>wfg</t>
  </si>
  <si>
    <t>cph</t>
  </si>
  <si>
    <t>mwa</t>
  </si>
  <si>
    <t>mcp</t>
  </si>
  <si>
    <t>hia</t>
  </si>
  <si>
    <t>npc</t>
  </si>
  <si>
    <t>hoc</t>
  </si>
  <si>
    <t>elb</t>
  </si>
  <si>
    <t>owe</t>
  </si>
  <si>
    <t>spv</t>
  </si>
  <si>
    <t>ofe</t>
  </si>
  <si>
    <t>smu</t>
  </si>
  <si>
    <t>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</si>
</sst>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  <font>
      <sz val="1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6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2" fillId="4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49" fontId="0" fillId="5" borderId="0" xfId="0" applyNumberFormat="1" applyFill="1" applyAlignment="1">
      <alignment horizontal="right"/>
    </xf>
    <xf numFmtId="0" fontId="7" fillId="5" borderId="0" xfId="0" applyFont="1" applyFill="1"/>
    <xf numFmtId="0" fontId="8" fillId="6" borderId="0" xfId="2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6" borderId="0" xfId="2" applyAlignment="1">
      <alignment vertical="center" wrapText="1"/>
    </xf>
  </cellXfs>
  <cellStyles count="3">
    <cellStyle name="Good" xfId="2" builtinId="26"/>
    <cellStyle name="Normal" xfId="0" builtinId="0"/>
    <cellStyle name="Normal 2" xfId="1" xr:uid="{EF943526-684B-074B-86BC-A6E18DDAD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67"/>
  <sheetViews>
    <sheetView tabSelected="1" topLeftCell="G1" workbookViewId="0">
      <selection activeCell="L2" sqref="L2"/>
    </sheetView>
  </sheetViews>
  <sheetFormatPr defaultColWidth="11.42578125" defaultRowHeight="15"/>
  <cols>
    <col min="1" max="1" width="25.28515625" bestFit="1" customWidth="1"/>
    <col min="2" max="2" width="9.42578125" customWidth="1"/>
    <col min="3" max="3" width="12.28515625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customWidth="1"/>
    <col min="18" max="18" width="66.28515625" customWidth="1"/>
    <col min="22" max="22" width="36" customWidth="1"/>
    <col min="23" max="23" width="10.85546875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J1" s="1" t="s">
        <v>4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469</v>
      </c>
      <c r="V1" s="1" t="s">
        <v>12</v>
      </c>
      <c r="W1" s="1" t="s">
        <v>470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J2" t="s">
        <v>15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152</v>
      </c>
      <c r="S2" t="s">
        <v>485</v>
      </c>
      <c r="V2" t="s">
        <v>203</v>
      </c>
      <c r="W2" t="s">
        <v>612</v>
      </c>
    </row>
    <row r="3" spans="1:24">
      <c r="A3" t="s">
        <v>18</v>
      </c>
      <c r="B3" s="8" t="s">
        <v>19</v>
      </c>
      <c r="C3" s="8" t="str">
        <f>LEFT(A3,3)</f>
        <v>org</v>
      </c>
      <c r="D3" t="str">
        <f t="shared" ref="D3:D22" si="1">C3</f>
        <v>org</v>
      </c>
      <c r="G3" t="s">
        <v>20</v>
      </c>
      <c r="H3" s="8" t="str">
        <f t="shared" ref="H3:H38" si="2">LOWER(LEFT(G3,3))</f>
        <v>ams</v>
      </c>
      <c r="I3" t="str">
        <f t="shared" ref="I3:I36" si="3">H3</f>
        <v>ams</v>
      </c>
      <c r="J3" t="s">
        <v>20</v>
      </c>
      <c r="L3" s="3">
        <v>1.2</v>
      </c>
      <c r="M3" t="s">
        <v>21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176</v>
      </c>
      <c r="S3" t="s">
        <v>486</v>
      </c>
      <c r="V3" t="s">
        <v>204</v>
      </c>
      <c r="W3" t="s">
        <v>613</v>
      </c>
      <c r="X3" s="6"/>
    </row>
    <row r="4" spans="1:24">
      <c r="A4" t="s">
        <v>472</v>
      </c>
      <c r="B4" s="8" t="s">
        <v>22</v>
      </c>
      <c r="C4" s="8" t="str">
        <f t="shared" si="0"/>
        <v>mob</v>
      </c>
      <c r="D4" s="4" t="s">
        <v>23</v>
      </c>
      <c r="G4" t="s">
        <v>24</v>
      </c>
      <c r="H4" s="8" t="str">
        <f t="shared" si="2"/>
        <v>asi</v>
      </c>
      <c r="I4" t="str">
        <f t="shared" si="3"/>
        <v>asi</v>
      </c>
      <c r="J4" t="s">
        <v>24</v>
      </c>
      <c r="L4" s="3">
        <v>2.1</v>
      </c>
      <c r="M4" t="s">
        <v>25</v>
      </c>
      <c r="N4" s="8" t="str">
        <f t="shared" si="4"/>
        <v>2.1Lea</v>
      </c>
      <c r="O4" t="str">
        <f t="shared" si="5"/>
        <v>2.1Lea</v>
      </c>
      <c r="R4" t="s">
        <v>172</v>
      </c>
      <c r="S4" t="s">
        <v>487</v>
      </c>
      <c r="V4" t="s">
        <v>205</v>
      </c>
      <c r="W4" t="s">
        <v>614</v>
      </c>
    </row>
    <row r="5" spans="1:24">
      <c r="A5" t="s">
        <v>477</v>
      </c>
      <c r="B5" s="8" t="s">
        <v>26</v>
      </c>
      <c r="C5" s="8" t="str">
        <f t="shared" si="0"/>
        <v>low</v>
      </c>
      <c r="D5" t="str">
        <f t="shared" si="1"/>
        <v>low</v>
      </c>
      <c r="G5" t="s">
        <v>27</v>
      </c>
      <c r="H5" s="8" t="str">
        <f t="shared" si="2"/>
        <v>aus</v>
      </c>
      <c r="I5" t="str">
        <f t="shared" si="3"/>
        <v>aus</v>
      </c>
      <c r="J5" t="s">
        <v>27</v>
      </c>
      <c r="L5" s="3">
        <v>2.2000000000000002</v>
      </c>
      <c r="M5" t="s">
        <v>28</v>
      </c>
      <c r="N5" s="8" t="str">
        <f t="shared" si="4"/>
        <v>2.2Rel</v>
      </c>
      <c r="O5" t="str">
        <f t="shared" si="5"/>
        <v>2.2Rel</v>
      </c>
      <c r="R5" t="s">
        <v>170</v>
      </c>
      <c r="S5" t="s">
        <v>488</v>
      </c>
      <c r="V5" t="s">
        <v>206</v>
      </c>
      <c r="W5" t="s">
        <v>615</v>
      </c>
    </row>
    <row r="6" spans="1:24">
      <c r="A6" t="s">
        <v>30</v>
      </c>
      <c r="B6" s="8" t="s">
        <v>31</v>
      </c>
      <c r="C6" s="8" t="str">
        <f t="shared" si="0"/>
        <v>car</v>
      </c>
      <c r="D6" s="4" t="s">
        <v>32</v>
      </c>
      <c r="G6" t="s">
        <v>33</v>
      </c>
      <c r="H6" s="8" t="str">
        <f t="shared" si="2"/>
        <v>ban</v>
      </c>
      <c r="I6" t="str">
        <f t="shared" si="3"/>
        <v>ban</v>
      </c>
      <c r="J6" t="s">
        <v>33</v>
      </c>
      <c r="L6" s="3">
        <v>2.2999999999999998</v>
      </c>
      <c r="M6" s="9" t="s">
        <v>1187</v>
      </c>
      <c r="N6" s="8" t="str">
        <f t="shared" si="4"/>
        <v>2.3Rel</v>
      </c>
      <c r="O6" s="9" t="s">
        <v>1188</v>
      </c>
      <c r="R6" t="s">
        <v>171</v>
      </c>
      <c r="S6" t="s">
        <v>489</v>
      </c>
      <c r="V6" t="s">
        <v>207</v>
      </c>
      <c r="W6" t="s">
        <v>616</v>
      </c>
    </row>
    <row r="7" spans="1:24">
      <c r="A7" t="s">
        <v>478</v>
      </c>
      <c r="B7" s="8" t="s">
        <v>34</v>
      </c>
      <c r="C7" s="8" t="str">
        <f t="shared" si="0"/>
        <v>tel</v>
      </c>
      <c r="D7" t="str">
        <f t="shared" si="1"/>
        <v>tel</v>
      </c>
      <c r="G7" t="s">
        <v>35</v>
      </c>
      <c r="H7" s="8" t="str">
        <f t="shared" si="2"/>
        <v>bei</v>
      </c>
      <c r="I7" t="str">
        <f t="shared" si="3"/>
        <v>bei</v>
      </c>
      <c r="J7" t="s">
        <v>35</v>
      </c>
      <c r="L7" s="3">
        <v>2.4</v>
      </c>
      <c r="M7" t="s">
        <v>36</v>
      </c>
      <c r="N7" s="8" t="str">
        <f t="shared" si="4"/>
        <v>2.4Eas</v>
      </c>
      <c r="O7" t="str">
        <f t="shared" si="5"/>
        <v>2.4Eas</v>
      </c>
      <c r="R7" t="s">
        <v>185</v>
      </c>
      <c r="S7" t="s">
        <v>490</v>
      </c>
      <c r="V7" t="s">
        <v>208</v>
      </c>
      <c r="W7" t="s">
        <v>617</v>
      </c>
    </row>
    <row r="8" spans="1:24">
      <c r="A8" t="s">
        <v>471</v>
      </c>
      <c r="B8" s="8" t="s">
        <v>37</v>
      </c>
      <c r="C8" s="8" t="str">
        <f t="shared" si="0"/>
        <v>act</v>
      </c>
      <c r="D8" t="str">
        <f t="shared" si="1"/>
        <v>act</v>
      </c>
      <c r="G8" t="s">
        <v>38</v>
      </c>
      <c r="H8" s="8" t="str">
        <f t="shared" si="2"/>
        <v>bel</v>
      </c>
      <c r="I8" t="str">
        <f t="shared" si="3"/>
        <v>bel</v>
      </c>
      <c r="J8" t="s">
        <v>38</v>
      </c>
      <c r="L8" s="3">
        <v>2.5</v>
      </c>
      <c r="M8" t="s">
        <v>39</v>
      </c>
      <c r="N8" s="8" t="str">
        <f t="shared" si="4"/>
        <v>2.5Var</v>
      </c>
      <c r="O8" t="str">
        <f t="shared" si="5"/>
        <v>2.5Var</v>
      </c>
      <c r="R8" t="s">
        <v>186</v>
      </c>
      <c r="S8" t="s">
        <v>491</v>
      </c>
      <c r="V8" t="s">
        <v>209</v>
      </c>
      <c r="W8" t="s">
        <v>618</v>
      </c>
    </row>
    <row r="9" spans="1:24">
      <c r="A9" t="s">
        <v>40</v>
      </c>
      <c r="B9" s="8" t="s">
        <v>41</v>
      </c>
      <c r="C9" s="8" t="str">
        <f t="shared" si="0"/>
        <v>e-b</v>
      </c>
      <c r="D9" s="4" t="s">
        <v>42</v>
      </c>
      <c r="G9" t="s">
        <v>43</v>
      </c>
      <c r="H9" s="8" t="str">
        <f t="shared" si="2"/>
        <v>ber</v>
      </c>
      <c r="I9" t="str">
        <f t="shared" si="3"/>
        <v>ber</v>
      </c>
      <c r="J9" t="s">
        <v>43</v>
      </c>
      <c r="L9" s="3">
        <v>2.6</v>
      </c>
      <c r="M9" t="s">
        <v>44</v>
      </c>
      <c r="N9" s="8" t="str">
        <f t="shared" si="4"/>
        <v>2.6Vis</v>
      </c>
      <c r="O9" t="str">
        <f t="shared" si="5"/>
        <v>2.6Vis</v>
      </c>
      <c r="R9" t="s">
        <v>187</v>
      </c>
      <c r="S9" t="s">
        <v>492</v>
      </c>
      <c r="V9" t="s">
        <v>619</v>
      </c>
      <c r="W9" t="s">
        <v>620</v>
      </c>
    </row>
    <row r="10" spans="1:24">
      <c r="A10" t="s">
        <v>479</v>
      </c>
      <c r="B10" s="8" t="s">
        <v>45</v>
      </c>
      <c r="C10" s="8" t="str">
        <f t="shared" si="0"/>
        <v>dri</v>
      </c>
      <c r="D10" t="str">
        <f t="shared" si="1"/>
        <v>dri</v>
      </c>
      <c r="G10" t="s">
        <v>46</v>
      </c>
      <c r="H10" s="8" t="str">
        <f t="shared" si="2"/>
        <v>bra</v>
      </c>
      <c r="I10" t="str">
        <f t="shared" si="3"/>
        <v>bra</v>
      </c>
      <c r="J10" t="s">
        <v>46</v>
      </c>
      <c r="L10" s="3">
        <v>2.7</v>
      </c>
      <c r="M10" t="s">
        <v>47</v>
      </c>
      <c r="N10" s="8" t="str">
        <f t="shared" si="4"/>
        <v>2.7Gra</v>
      </c>
      <c r="O10" t="str">
        <f t="shared" si="5"/>
        <v>2.7Gra</v>
      </c>
      <c r="R10" t="s">
        <v>719</v>
      </c>
      <c r="S10" t="s">
        <v>493</v>
      </c>
      <c r="V10" t="s">
        <v>210</v>
      </c>
      <c r="W10" t="s">
        <v>621</v>
      </c>
    </row>
    <row r="11" spans="1:24">
      <c r="A11" t="s">
        <v>48</v>
      </c>
      <c r="B11" s="8" t="s">
        <v>49</v>
      </c>
      <c r="C11" s="8" t="str">
        <f t="shared" si="0"/>
        <v>dow</v>
      </c>
      <c r="D11" t="str">
        <f t="shared" si="1"/>
        <v>dow</v>
      </c>
      <c r="G11" t="s">
        <v>50</v>
      </c>
      <c r="H11" s="8" t="str">
        <f t="shared" si="2"/>
        <v>cal</v>
      </c>
      <c r="I11" t="str">
        <f t="shared" si="3"/>
        <v>cal</v>
      </c>
      <c r="J11" t="s">
        <v>50</v>
      </c>
      <c r="L11" s="3">
        <v>2.8</v>
      </c>
      <c r="M11" t="s">
        <v>51</v>
      </c>
      <c r="N11" s="8" t="str">
        <f t="shared" si="4"/>
        <v>2.8(Pe</v>
      </c>
      <c r="O11" s="4" t="s">
        <v>52</v>
      </c>
      <c r="R11" t="s">
        <v>720</v>
      </c>
      <c r="S11" t="s">
        <v>494</v>
      </c>
      <c r="V11" t="s">
        <v>211</v>
      </c>
      <c r="W11" t="s">
        <v>622</v>
      </c>
    </row>
    <row r="12" spans="1:24">
      <c r="A12" t="s">
        <v>53</v>
      </c>
      <c r="B12" s="8" t="s">
        <v>54</v>
      </c>
      <c r="C12" s="8" t="str">
        <f t="shared" si="0"/>
        <v>co-</v>
      </c>
      <c r="D12" s="4" t="s">
        <v>55</v>
      </c>
      <c r="G12" t="s">
        <v>56</v>
      </c>
      <c r="H12" s="8" t="str">
        <f t="shared" si="2"/>
        <v>can</v>
      </c>
      <c r="I12" t="str">
        <f t="shared" si="3"/>
        <v>can</v>
      </c>
      <c r="J12" t="s">
        <v>56</v>
      </c>
      <c r="L12" s="3">
        <v>2.9</v>
      </c>
      <c r="M12" t="s">
        <v>57</v>
      </c>
      <c r="N12" s="8" t="str">
        <f t="shared" si="4"/>
        <v>2.9Int</v>
      </c>
      <c r="O12" t="str">
        <f t="shared" si="5"/>
        <v>2.9Int</v>
      </c>
      <c r="R12" t="s">
        <v>180</v>
      </c>
      <c r="S12" t="s">
        <v>495</v>
      </c>
      <c r="V12" t="s">
        <v>623</v>
      </c>
      <c r="W12" t="s">
        <v>624</v>
      </c>
    </row>
    <row r="13" spans="1:24">
      <c r="A13" t="s">
        <v>473</v>
      </c>
      <c r="B13" s="8" t="s">
        <v>58</v>
      </c>
      <c r="C13" s="8" t="str">
        <f t="shared" si="0"/>
        <v>sus</v>
      </c>
      <c r="D13" t="str">
        <f t="shared" si="1"/>
        <v>sus</v>
      </c>
      <c r="G13" t="s">
        <v>59</v>
      </c>
      <c r="H13" s="8" t="str">
        <f t="shared" si="2"/>
        <v>can</v>
      </c>
      <c r="I13" s="4" t="s">
        <v>60</v>
      </c>
      <c r="J13" t="s">
        <v>59</v>
      </c>
      <c r="L13" s="10" t="s">
        <v>1189</v>
      </c>
      <c r="M13" t="s">
        <v>61</v>
      </c>
      <c r="N13" s="8" t="str">
        <f t="shared" si="4"/>
        <v>2.95Int</v>
      </c>
      <c r="O13" s="9" t="s">
        <v>1190</v>
      </c>
      <c r="R13" t="s">
        <v>181</v>
      </c>
      <c r="S13" t="s">
        <v>496</v>
      </c>
      <c r="V13" t="s">
        <v>212</v>
      </c>
      <c r="W13" t="s">
        <v>625</v>
      </c>
    </row>
    <row r="14" spans="1:24">
      <c r="A14" t="s">
        <v>476</v>
      </c>
      <c r="B14" s="8" t="s">
        <v>62</v>
      </c>
      <c r="C14" s="8" t="str">
        <f t="shared" si="0"/>
        <v>foo</v>
      </c>
      <c r="D14" t="str">
        <f t="shared" si="1"/>
        <v>foo</v>
      </c>
      <c r="G14" t="s">
        <v>63</v>
      </c>
      <c r="H14" s="8" t="str">
        <f t="shared" si="2"/>
        <v>chi</v>
      </c>
      <c r="I14" t="str">
        <f t="shared" si="3"/>
        <v>chi</v>
      </c>
      <c r="J14" t="s">
        <v>63</v>
      </c>
      <c r="L14" s="3">
        <v>3.1</v>
      </c>
      <c r="M14" t="s">
        <v>64</v>
      </c>
      <c r="N14" s="8" t="str">
        <f t="shared" si="4"/>
        <v>3.1Ado</v>
      </c>
      <c r="O14" t="str">
        <f t="shared" si="5"/>
        <v>3.1Ado</v>
      </c>
      <c r="R14" t="s">
        <v>182</v>
      </c>
      <c r="S14" t="s">
        <v>497</v>
      </c>
      <c r="V14" t="s">
        <v>213</v>
      </c>
      <c r="W14" t="s">
        <v>626</v>
      </c>
    </row>
    <row r="15" spans="1:24">
      <c r="A15" t="s">
        <v>65</v>
      </c>
      <c r="B15" s="8" t="s">
        <v>66</v>
      </c>
      <c r="C15" s="8" t="str">
        <f t="shared" si="0"/>
        <v>e-c</v>
      </c>
      <c r="D15" s="4" t="s">
        <v>67</v>
      </c>
      <c r="G15" t="s">
        <v>68</v>
      </c>
      <c r="H15" s="8" t="str">
        <f t="shared" si="2"/>
        <v>con</v>
      </c>
      <c r="I15" t="str">
        <f t="shared" si="3"/>
        <v>con</v>
      </c>
      <c r="J15" t="s">
        <v>68</v>
      </c>
      <c r="L15" s="3">
        <v>3.2</v>
      </c>
      <c r="M15" t="s">
        <v>69</v>
      </c>
      <c r="N15" s="8" t="str">
        <f t="shared" si="4"/>
        <v>3.2Ado</v>
      </c>
      <c r="O15" s="4" t="s">
        <v>70</v>
      </c>
      <c r="R15" t="s">
        <v>183</v>
      </c>
      <c r="S15" t="s">
        <v>498</v>
      </c>
      <c r="V15" t="s">
        <v>214</v>
      </c>
      <c r="W15" t="s">
        <v>627</v>
      </c>
    </row>
    <row r="16" spans="1:24">
      <c r="A16" s="11" t="s">
        <v>1197</v>
      </c>
      <c r="B16" s="8" t="s">
        <v>71</v>
      </c>
      <c r="C16" s="8" t="str">
        <f t="shared" si="0"/>
        <v>pas</v>
      </c>
      <c r="D16" t="str">
        <f t="shared" si="1"/>
        <v>pas</v>
      </c>
      <c r="G16" t="s">
        <v>72</v>
      </c>
      <c r="H16" s="8" t="str">
        <f t="shared" si="2"/>
        <v>cop</v>
      </c>
      <c r="I16" t="str">
        <f t="shared" si="3"/>
        <v>cop</v>
      </c>
      <c r="J16" t="s">
        <v>72</v>
      </c>
      <c r="L16" s="3">
        <v>3.3</v>
      </c>
      <c r="M16" t="s">
        <v>1191</v>
      </c>
      <c r="N16" s="8" t="str">
        <f t="shared" si="4"/>
        <v>3.3(Pe</v>
      </c>
      <c r="O16" s="9" t="s">
        <v>1194</v>
      </c>
      <c r="R16" t="s">
        <v>158</v>
      </c>
      <c r="S16" t="s">
        <v>499</v>
      </c>
      <c r="V16" t="s">
        <v>215</v>
      </c>
      <c r="W16" t="s">
        <v>628</v>
      </c>
    </row>
    <row r="17" spans="1:23">
      <c r="A17" t="s">
        <v>73</v>
      </c>
      <c r="B17" s="8" t="s">
        <v>74</v>
      </c>
      <c r="C17" s="8" t="str">
        <f t="shared" si="0"/>
        <v>car</v>
      </c>
      <c r="D17" s="4" t="s">
        <v>75</v>
      </c>
      <c r="G17" t="s">
        <v>76</v>
      </c>
      <c r="H17" s="8" t="str">
        <f t="shared" si="2"/>
        <v>den</v>
      </c>
      <c r="I17" t="str">
        <f t="shared" si="3"/>
        <v>den</v>
      </c>
      <c r="J17" t="s">
        <v>76</v>
      </c>
      <c r="L17" s="3">
        <v>3.4</v>
      </c>
      <c r="M17" t="s">
        <v>77</v>
      </c>
      <c r="N17" s="8" t="str">
        <f t="shared" si="4"/>
        <v>3.4(Pe</v>
      </c>
      <c r="O17" s="4" t="s">
        <v>78</v>
      </c>
      <c r="R17" t="s">
        <v>159</v>
      </c>
      <c r="S17" t="s">
        <v>500</v>
      </c>
      <c r="V17" t="s">
        <v>216</v>
      </c>
      <c r="W17" t="s">
        <v>629</v>
      </c>
    </row>
    <row r="18" spans="1:23">
      <c r="A18" t="s">
        <v>79</v>
      </c>
      <c r="B18" s="8" t="s">
        <v>80</v>
      </c>
      <c r="C18" s="8" t="str">
        <f t="shared" si="0"/>
        <v>mic</v>
      </c>
      <c r="D18" t="str">
        <f t="shared" si="1"/>
        <v>mic</v>
      </c>
      <c r="G18" t="s">
        <v>81</v>
      </c>
      <c r="H18" s="8" t="str">
        <f t="shared" si="2"/>
        <v>est</v>
      </c>
      <c r="I18" t="str">
        <f t="shared" si="3"/>
        <v>est</v>
      </c>
      <c r="J18" t="s">
        <v>81</v>
      </c>
      <c r="L18" s="3">
        <v>3.5</v>
      </c>
      <c r="M18" t="s">
        <v>82</v>
      </c>
      <c r="N18" s="8" t="str">
        <f t="shared" si="4"/>
        <v>3.5Mar</v>
      </c>
      <c r="O18" t="str">
        <f t="shared" si="5"/>
        <v>3.5Mar</v>
      </c>
      <c r="R18" t="s">
        <v>160</v>
      </c>
      <c r="S18" t="s">
        <v>501</v>
      </c>
      <c r="V18" t="s">
        <v>217</v>
      </c>
      <c r="W18" t="s">
        <v>630</v>
      </c>
    </row>
    <row r="19" spans="1:23">
      <c r="A19" t="s">
        <v>83</v>
      </c>
      <c r="B19" s="8" t="s">
        <v>84</v>
      </c>
      <c r="C19" s="8" t="str">
        <f t="shared" si="0"/>
        <v>sol</v>
      </c>
      <c r="D19" t="str">
        <f t="shared" si="1"/>
        <v>sol</v>
      </c>
      <c r="G19" t="s">
        <v>85</v>
      </c>
      <c r="H19" s="8" t="str">
        <f t="shared" si="2"/>
        <v>eu</v>
      </c>
      <c r="I19" s="4" t="s">
        <v>86</v>
      </c>
      <c r="J19" t="s">
        <v>85</v>
      </c>
      <c r="L19" s="3">
        <v>4.0999999999999996</v>
      </c>
      <c r="M19" t="s">
        <v>1192</v>
      </c>
      <c r="N19" s="8" t="str">
        <f t="shared" si="4"/>
        <v>4.1Kno</v>
      </c>
      <c r="O19" t="s">
        <v>1193</v>
      </c>
      <c r="R19" t="s">
        <v>161</v>
      </c>
      <c r="S19" t="s">
        <v>502</v>
      </c>
      <c r="V19" t="s">
        <v>218</v>
      </c>
      <c r="W19" t="s">
        <v>631</v>
      </c>
    </row>
    <row r="20" spans="1:23">
      <c r="A20" t="s">
        <v>87</v>
      </c>
      <c r="B20" s="8" t="s">
        <v>88</v>
      </c>
      <c r="C20" s="8" t="str">
        <f t="shared" si="0"/>
        <v>fir</v>
      </c>
      <c r="D20" t="str">
        <f t="shared" si="1"/>
        <v>fir</v>
      </c>
      <c r="G20" t="s">
        <v>89</v>
      </c>
      <c r="H20" s="8" t="str">
        <f t="shared" si="2"/>
        <v>eur</v>
      </c>
      <c r="I20" t="str">
        <f t="shared" si="3"/>
        <v>eur</v>
      </c>
      <c r="J20" t="s">
        <v>89</v>
      </c>
      <c r="L20" s="3">
        <v>4.2</v>
      </c>
      <c r="M20" t="s">
        <v>90</v>
      </c>
      <c r="N20" s="8" t="str">
        <f t="shared" si="4"/>
        <v>4.2Kno</v>
      </c>
      <c r="O20" t="s">
        <v>91</v>
      </c>
      <c r="R20" t="s">
        <v>162</v>
      </c>
      <c r="S20" t="s">
        <v>503</v>
      </c>
      <c r="V20" t="s">
        <v>219</v>
      </c>
      <c r="W20" t="s">
        <v>632</v>
      </c>
    </row>
    <row r="21" spans="1:23">
      <c r="A21" t="s">
        <v>92</v>
      </c>
      <c r="B21" s="8" t="s">
        <v>93</v>
      </c>
      <c r="C21" s="8" t="str">
        <f t="shared" si="0"/>
        <v>tex</v>
      </c>
      <c r="D21" t="str">
        <f t="shared" si="1"/>
        <v>tex</v>
      </c>
      <c r="G21" t="s">
        <v>94</v>
      </c>
      <c r="H21" s="8" t="str">
        <f t="shared" si="2"/>
        <v>fra</v>
      </c>
      <c r="I21" t="str">
        <f t="shared" si="3"/>
        <v>fra</v>
      </c>
      <c r="J21" t="s">
        <v>94</v>
      </c>
      <c r="L21" s="3">
        <v>4.3</v>
      </c>
      <c r="M21" t="s">
        <v>95</v>
      </c>
      <c r="N21" s="8" t="str">
        <f t="shared" si="4"/>
        <v>4.3Com</v>
      </c>
      <c r="O21" t="str">
        <f t="shared" si="5"/>
        <v>4.3Com</v>
      </c>
      <c r="R21" t="s">
        <v>166</v>
      </c>
      <c r="S21" t="s">
        <v>504</v>
      </c>
      <c r="V21" t="s">
        <v>220</v>
      </c>
      <c r="W21" t="s">
        <v>633</v>
      </c>
    </row>
    <row r="22" spans="1:23">
      <c r="A22" t="s">
        <v>96</v>
      </c>
      <c r="B22" s="8" t="s">
        <v>97</v>
      </c>
      <c r="C22" s="8" t="str">
        <f t="shared" si="0"/>
        <v>dig</v>
      </c>
      <c r="D22" t="str">
        <f t="shared" si="1"/>
        <v>dig</v>
      </c>
      <c r="G22" t="s">
        <v>98</v>
      </c>
      <c r="H22" s="8" t="str">
        <f t="shared" si="2"/>
        <v>ger</v>
      </c>
      <c r="I22" t="str">
        <f t="shared" si="3"/>
        <v>ger</v>
      </c>
      <c r="J22" t="s">
        <v>98</v>
      </c>
      <c r="L22" s="3">
        <v>4.4000000000000004</v>
      </c>
      <c r="M22" t="s">
        <v>99</v>
      </c>
      <c r="N22" s="8" t="str">
        <f t="shared" si="4"/>
        <v>4.4Pro</v>
      </c>
      <c r="O22" t="str">
        <f t="shared" si="5"/>
        <v>4.4Pro</v>
      </c>
      <c r="R22" t="s">
        <v>165</v>
      </c>
      <c r="S22" t="s">
        <v>505</v>
      </c>
      <c r="V22" t="s">
        <v>221</v>
      </c>
      <c r="W22" t="s">
        <v>634</v>
      </c>
    </row>
    <row r="23" spans="1:23">
      <c r="A23" t="s">
        <v>100</v>
      </c>
      <c r="B23" s="8" t="s">
        <v>101</v>
      </c>
      <c r="C23" s="8" t="str">
        <f t="shared" ref="C23:C28" si="6">LEFT(A23,3)</f>
        <v>e-g</v>
      </c>
      <c r="D23" s="4" t="s">
        <v>102</v>
      </c>
      <c r="G23" t="s">
        <v>103</v>
      </c>
      <c r="H23" s="8" t="str">
        <f t="shared" si="2"/>
        <v>glo</v>
      </c>
      <c r="I23" t="str">
        <f t="shared" si="3"/>
        <v>glo</v>
      </c>
      <c r="J23" t="s">
        <v>103</v>
      </c>
      <c r="L23" s="3">
        <v>4.5</v>
      </c>
      <c r="M23" t="s">
        <v>104</v>
      </c>
      <c r="N23" s="8" t="str">
        <f t="shared" si="4"/>
        <v>4.5Inf</v>
      </c>
      <c r="O23" t="str">
        <f t="shared" si="5"/>
        <v>4.5Inf</v>
      </c>
      <c r="R23" t="s">
        <v>164</v>
      </c>
      <c r="S23" t="s">
        <v>506</v>
      </c>
      <c r="V23" t="s">
        <v>222</v>
      </c>
      <c r="W23" t="s">
        <v>635</v>
      </c>
    </row>
    <row r="24" spans="1:23">
      <c r="A24" t="s">
        <v>105</v>
      </c>
      <c r="B24" s="8" t="s">
        <v>106</v>
      </c>
      <c r="C24" s="8" t="str">
        <f t="shared" si="6"/>
        <v>cli</v>
      </c>
      <c r="D24" t="str">
        <f>C24</f>
        <v>cli</v>
      </c>
      <c r="G24" t="s">
        <v>107</v>
      </c>
      <c r="H24" s="8" t="str">
        <f t="shared" si="2"/>
        <v>glo</v>
      </c>
      <c r="I24" s="5" t="str">
        <f t="shared" si="3"/>
        <v>glo</v>
      </c>
      <c r="J24" t="s">
        <v>103</v>
      </c>
      <c r="L24" s="3">
        <v>4.5999999999999996</v>
      </c>
      <c r="M24" t="s">
        <v>108</v>
      </c>
      <c r="N24" s="8" t="str">
        <f t="shared" si="4"/>
        <v>4.6Sta</v>
      </c>
      <c r="O24" t="str">
        <f t="shared" si="5"/>
        <v>4.6Sta</v>
      </c>
      <c r="R24" t="s">
        <v>153</v>
      </c>
      <c r="S24" t="s">
        <v>507</v>
      </c>
      <c r="V24" t="s">
        <v>223</v>
      </c>
      <c r="W24" t="s">
        <v>636</v>
      </c>
    </row>
    <row r="25" spans="1:23">
      <c r="A25" t="s">
        <v>474</v>
      </c>
      <c r="B25" s="8" t="s">
        <v>109</v>
      </c>
      <c r="C25" s="8" t="str">
        <f t="shared" si="6"/>
        <v>ene</v>
      </c>
      <c r="D25" t="str">
        <f>C25</f>
        <v>ene</v>
      </c>
      <c r="G25" t="s">
        <v>110</v>
      </c>
      <c r="H25" s="8" t="str">
        <f t="shared" si="2"/>
        <v>ham</v>
      </c>
      <c r="I25" t="str">
        <f t="shared" si="3"/>
        <v>ham</v>
      </c>
      <c r="J25" t="s">
        <v>110</v>
      </c>
      <c r="R25" t="s">
        <v>154</v>
      </c>
      <c r="S25" t="s">
        <v>508</v>
      </c>
      <c r="V25" t="s">
        <v>224</v>
      </c>
      <c r="W25" t="s">
        <v>637</v>
      </c>
    </row>
    <row r="26" spans="1:23">
      <c r="A26" t="s">
        <v>111</v>
      </c>
      <c r="B26" s="8" t="s">
        <v>112</v>
      </c>
      <c r="C26" s="8" t="str">
        <f t="shared" si="6"/>
        <v>qui</v>
      </c>
      <c r="D26" t="str">
        <f>C26</f>
        <v>qui</v>
      </c>
      <c r="G26" t="s">
        <v>113</v>
      </c>
      <c r="H26" s="8" t="str">
        <f t="shared" si="2"/>
        <v>hei</v>
      </c>
      <c r="I26" t="str">
        <f t="shared" si="3"/>
        <v>hei</v>
      </c>
      <c r="J26" t="s">
        <v>113</v>
      </c>
      <c r="R26" t="s">
        <v>155</v>
      </c>
      <c r="S26" t="s">
        <v>509</v>
      </c>
      <c r="V26" t="s">
        <v>225</v>
      </c>
      <c r="W26" t="s">
        <v>638</v>
      </c>
    </row>
    <row r="27" spans="1:23">
      <c r="A27" t="s">
        <v>114</v>
      </c>
      <c r="B27" s="8" t="s">
        <v>115</v>
      </c>
      <c r="C27" s="8" t="str">
        <f t="shared" si="6"/>
        <v>pos</v>
      </c>
      <c r="D27" t="str">
        <f>C27</f>
        <v>pos</v>
      </c>
      <c r="G27" t="s">
        <v>116</v>
      </c>
      <c r="H27" s="8" t="str">
        <f t="shared" si="2"/>
        <v>hun</v>
      </c>
      <c r="I27" t="str">
        <f t="shared" si="3"/>
        <v>hun</v>
      </c>
      <c r="J27" t="s">
        <v>116</v>
      </c>
      <c r="M27" t="s">
        <v>1195</v>
      </c>
      <c r="R27" t="s">
        <v>156</v>
      </c>
      <c r="S27" t="s">
        <v>510</v>
      </c>
      <c r="V27" t="s">
        <v>283</v>
      </c>
      <c r="W27" t="s">
        <v>639</v>
      </c>
    </row>
    <row r="28" spans="1:23">
      <c r="A28" t="s">
        <v>475</v>
      </c>
      <c r="B28" s="8" t="s">
        <v>117</v>
      </c>
      <c r="C28" s="8" t="str">
        <f t="shared" si="6"/>
        <v>non</v>
      </c>
      <c r="D28" t="str">
        <f>C28</f>
        <v>non</v>
      </c>
      <c r="G28" t="s">
        <v>118</v>
      </c>
      <c r="H28" s="8" t="str">
        <f t="shared" si="2"/>
        <v>ind</v>
      </c>
      <c r="I28" t="str">
        <f t="shared" si="3"/>
        <v>ind</v>
      </c>
      <c r="J28" t="s">
        <v>118</v>
      </c>
      <c r="L28" s="6"/>
      <c r="M28" t="s">
        <v>1196</v>
      </c>
      <c r="R28" t="s">
        <v>157</v>
      </c>
      <c r="S28" t="s">
        <v>511</v>
      </c>
      <c r="V28" t="s">
        <v>640</v>
      </c>
      <c r="W28" t="s">
        <v>641</v>
      </c>
    </row>
    <row r="29" spans="1:23">
      <c r="A29" s="15" t="s">
        <v>1300</v>
      </c>
      <c r="B29" s="15" t="s">
        <v>1280</v>
      </c>
      <c r="C29" s="15" t="s">
        <v>1341</v>
      </c>
      <c r="D29" s="15" t="s">
        <v>1341</v>
      </c>
      <c r="G29" t="s">
        <v>119</v>
      </c>
      <c r="H29" s="8" t="str">
        <f t="shared" si="2"/>
        <v>ita</v>
      </c>
      <c r="I29" t="str">
        <f t="shared" si="3"/>
        <v>ita</v>
      </c>
      <c r="J29" t="s">
        <v>119</v>
      </c>
      <c r="R29" t="s">
        <v>163</v>
      </c>
      <c r="S29" t="s">
        <v>512</v>
      </c>
      <c r="V29" t="s">
        <v>1036</v>
      </c>
      <c r="W29" t="s">
        <v>642</v>
      </c>
    </row>
    <row r="30" spans="1:23">
      <c r="A30" s="15" t="s">
        <v>1301</v>
      </c>
      <c r="B30" s="15" t="s">
        <v>1281</v>
      </c>
      <c r="C30" s="15" t="s">
        <v>1342</v>
      </c>
      <c r="D30" s="15" t="s">
        <v>1342</v>
      </c>
      <c r="G30" t="s">
        <v>120</v>
      </c>
      <c r="H30" s="8" t="str">
        <f t="shared" si="2"/>
        <v>jap</v>
      </c>
      <c r="I30" t="str">
        <f t="shared" si="3"/>
        <v>jap</v>
      </c>
      <c r="J30" t="s">
        <v>120</v>
      </c>
      <c r="R30" t="s">
        <v>177</v>
      </c>
      <c r="S30" t="s">
        <v>513</v>
      </c>
      <c r="V30" t="s">
        <v>643</v>
      </c>
      <c r="W30" t="s">
        <v>644</v>
      </c>
    </row>
    <row r="31" spans="1:23">
      <c r="A31" s="15" t="s">
        <v>1302</v>
      </c>
      <c r="B31" s="15" t="s">
        <v>1282</v>
      </c>
      <c r="C31" s="15" t="s">
        <v>1343</v>
      </c>
      <c r="D31" s="15" t="s">
        <v>1343</v>
      </c>
      <c r="G31" t="s">
        <v>121</v>
      </c>
      <c r="H31" s="8" t="str">
        <f t="shared" si="2"/>
        <v>lat</v>
      </c>
      <c r="I31" s="4" t="s">
        <v>122</v>
      </c>
      <c r="J31" t="s">
        <v>121</v>
      </c>
      <c r="R31" t="s">
        <v>184</v>
      </c>
      <c r="S31" t="s">
        <v>514</v>
      </c>
      <c r="V31" t="s">
        <v>227</v>
      </c>
      <c r="W31" t="s">
        <v>645</v>
      </c>
    </row>
    <row r="32" spans="1:23">
      <c r="A32" s="15" t="s">
        <v>1303</v>
      </c>
      <c r="B32" s="15" t="s">
        <v>1283</v>
      </c>
      <c r="C32" s="15" t="s">
        <v>1344</v>
      </c>
      <c r="D32" s="15" t="s">
        <v>1344</v>
      </c>
      <c r="G32" t="s">
        <v>123</v>
      </c>
      <c r="H32" s="8" t="str">
        <f t="shared" si="2"/>
        <v>lat</v>
      </c>
      <c r="I32" t="str">
        <f t="shared" si="3"/>
        <v>lat</v>
      </c>
      <c r="J32" t="s">
        <v>123</v>
      </c>
      <c r="R32" t="s">
        <v>179</v>
      </c>
      <c r="S32" t="s">
        <v>515</v>
      </c>
      <c r="V32" t="s">
        <v>1037</v>
      </c>
      <c r="W32" t="s">
        <v>646</v>
      </c>
    </row>
    <row r="33" spans="1:23">
      <c r="A33" s="15" t="s">
        <v>1304</v>
      </c>
      <c r="B33" s="15" t="s">
        <v>1284</v>
      </c>
      <c r="C33" s="15" t="s">
        <v>1345</v>
      </c>
      <c r="D33" s="15" t="s">
        <v>1345</v>
      </c>
      <c r="G33" t="s">
        <v>124</v>
      </c>
      <c r="H33" s="8" t="str">
        <f t="shared" si="2"/>
        <v>mas</v>
      </c>
      <c r="I33" t="str">
        <f t="shared" si="3"/>
        <v>mas</v>
      </c>
      <c r="J33" t="s">
        <v>124</v>
      </c>
      <c r="R33" t="s">
        <v>178</v>
      </c>
      <c r="S33" t="s">
        <v>516</v>
      </c>
      <c r="V33" t="s">
        <v>1038</v>
      </c>
      <c r="W33" t="s">
        <v>647</v>
      </c>
    </row>
    <row r="34" spans="1:23">
      <c r="A34" s="15" t="s">
        <v>1305</v>
      </c>
      <c r="B34" s="15" t="s">
        <v>1285</v>
      </c>
      <c r="C34" s="15" t="s">
        <v>1346</v>
      </c>
      <c r="D34" s="15" t="s">
        <v>1346</v>
      </c>
      <c r="G34" t="s">
        <v>125</v>
      </c>
      <c r="H34" s="8" t="str">
        <f t="shared" si="2"/>
        <v>net</v>
      </c>
      <c r="I34" t="str">
        <f t="shared" si="3"/>
        <v>net</v>
      </c>
      <c r="J34" t="s">
        <v>135</v>
      </c>
      <c r="R34" t="s">
        <v>167</v>
      </c>
      <c r="S34" t="s">
        <v>517</v>
      </c>
      <c r="V34" t="s">
        <v>228</v>
      </c>
      <c r="W34" t="s">
        <v>648</v>
      </c>
    </row>
    <row r="35" spans="1:23" ht="30">
      <c r="A35" s="15" t="s">
        <v>1306</v>
      </c>
      <c r="B35" s="15" t="s">
        <v>1286</v>
      </c>
      <c r="C35" s="15" t="s">
        <v>1347</v>
      </c>
      <c r="D35" s="15" t="s">
        <v>1347</v>
      </c>
      <c r="G35" t="s">
        <v>126</v>
      </c>
      <c r="H35" s="8" t="str">
        <f t="shared" si="2"/>
        <v>new</v>
      </c>
      <c r="I35" t="str">
        <f t="shared" si="3"/>
        <v>new</v>
      </c>
      <c r="J35" t="s">
        <v>126</v>
      </c>
      <c r="R35" t="s">
        <v>168</v>
      </c>
      <c r="S35" t="s">
        <v>518</v>
      </c>
      <c r="V35" t="s">
        <v>229</v>
      </c>
      <c r="W35" t="s">
        <v>649</v>
      </c>
    </row>
    <row r="36" spans="1:23" ht="30">
      <c r="A36" s="15" t="s">
        <v>1307</v>
      </c>
      <c r="B36" s="15" t="s">
        <v>1287</v>
      </c>
      <c r="C36" s="15" t="s">
        <v>1348</v>
      </c>
      <c r="D36" s="15" t="s">
        <v>1348</v>
      </c>
      <c r="G36" t="s">
        <v>127</v>
      </c>
      <c r="H36" s="8" t="str">
        <f t="shared" si="2"/>
        <v>nig</v>
      </c>
      <c r="I36" t="str">
        <f t="shared" si="3"/>
        <v>nig</v>
      </c>
      <c r="J36" t="s">
        <v>127</v>
      </c>
      <c r="R36" t="s">
        <v>169</v>
      </c>
      <c r="S36" t="s">
        <v>519</v>
      </c>
      <c r="V36" t="s">
        <v>230</v>
      </c>
      <c r="W36" t="s">
        <v>650</v>
      </c>
    </row>
    <row r="37" spans="1:23">
      <c r="A37" s="15" t="s">
        <v>1308</v>
      </c>
      <c r="B37" s="15" t="s">
        <v>1288</v>
      </c>
      <c r="C37" s="15" t="s">
        <v>1349</v>
      </c>
      <c r="D37" s="15" t="s">
        <v>1349</v>
      </c>
      <c r="G37" t="s">
        <v>128</v>
      </c>
      <c r="H37" s="8" t="str">
        <f t="shared" si="2"/>
        <v>nor</v>
      </c>
      <c r="I37" t="s">
        <v>480</v>
      </c>
      <c r="J37" t="s">
        <v>128</v>
      </c>
      <c r="R37" t="s">
        <v>197</v>
      </c>
      <c r="S37" t="s">
        <v>520</v>
      </c>
      <c r="V37" t="s">
        <v>651</v>
      </c>
      <c r="W37" t="s">
        <v>652</v>
      </c>
    </row>
    <row r="38" spans="1:23">
      <c r="A38" s="15" t="s">
        <v>1309</v>
      </c>
      <c r="B38" s="15" t="s">
        <v>1289</v>
      </c>
      <c r="C38" s="15" t="s">
        <v>1350</v>
      </c>
      <c r="D38" s="15" t="s">
        <v>1350</v>
      </c>
      <c r="G38" t="s">
        <v>481</v>
      </c>
      <c r="H38" s="8" t="str">
        <f t="shared" si="2"/>
        <v>nor</v>
      </c>
      <c r="I38" t="s">
        <v>482</v>
      </c>
      <c r="J38" t="s">
        <v>481</v>
      </c>
      <c r="R38" t="s">
        <v>198</v>
      </c>
      <c r="S38" t="s">
        <v>521</v>
      </c>
      <c r="V38" t="s">
        <v>231</v>
      </c>
      <c r="W38" t="s">
        <v>653</v>
      </c>
    </row>
    <row r="39" spans="1:23">
      <c r="A39" s="15" t="s">
        <v>1310</v>
      </c>
      <c r="B39" s="15" t="s">
        <v>1290</v>
      </c>
      <c r="C39" s="15" t="s">
        <v>1351</v>
      </c>
      <c r="D39" s="15" t="s">
        <v>1351</v>
      </c>
      <c r="G39" t="s">
        <v>129</v>
      </c>
      <c r="H39" s="8" t="str">
        <f t="shared" ref="H39:H58" si="7">LOWER(LEFT(G39,3))</f>
        <v>oce</v>
      </c>
      <c r="I39" t="str">
        <f>H39</f>
        <v>oce</v>
      </c>
      <c r="J39" t="s">
        <v>129</v>
      </c>
      <c r="R39" t="s">
        <v>1226</v>
      </c>
      <c r="S39" t="s">
        <v>522</v>
      </c>
      <c r="V39" t="s">
        <v>232</v>
      </c>
      <c r="W39" t="s">
        <v>654</v>
      </c>
    </row>
    <row r="40" spans="1:23">
      <c r="A40" s="15" t="s">
        <v>1311</v>
      </c>
      <c r="B40" s="15" t="s">
        <v>1291</v>
      </c>
      <c r="C40" s="15" t="s">
        <v>1352</v>
      </c>
      <c r="D40" s="15" t="s">
        <v>1352</v>
      </c>
      <c r="G40" t="s">
        <v>483</v>
      </c>
      <c r="H40" s="8" t="str">
        <f t="shared" si="7"/>
        <v>pol</v>
      </c>
      <c r="I40" t="s">
        <v>484</v>
      </c>
      <c r="J40" t="s">
        <v>483</v>
      </c>
      <c r="R40" t="s">
        <v>1227</v>
      </c>
      <c r="S40" t="s">
        <v>523</v>
      </c>
      <c r="V40" t="s">
        <v>233</v>
      </c>
      <c r="W40" t="s">
        <v>655</v>
      </c>
    </row>
    <row r="41" spans="1:23" ht="30">
      <c r="A41" s="15" t="s">
        <v>1312</v>
      </c>
      <c r="B41" s="15" t="s">
        <v>1292</v>
      </c>
      <c r="C41" s="15" t="s">
        <v>1353</v>
      </c>
      <c r="D41" s="15" t="s">
        <v>1353</v>
      </c>
      <c r="G41" t="s">
        <v>130</v>
      </c>
      <c r="H41" s="8" t="str">
        <f t="shared" si="7"/>
        <v>por</v>
      </c>
      <c r="I41" t="str">
        <f>H41</f>
        <v>por</v>
      </c>
      <c r="J41" t="s">
        <v>130</v>
      </c>
      <c r="R41" t="s">
        <v>1228</v>
      </c>
      <c r="S41" t="s">
        <v>524</v>
      </c>
      <c r="V41" t="s">
        <v>234</v>
      </c>
      <c r="W41" t="s">
        <v>656</v>
      </c>
    </row>
    <row r="42" spans="1:23">
      <c r="A42" s="15" t="s">
        <v>1313</v>
      </c>
      <c r="B42" s="15" t="s">
        <v>1293</v>
      </c>
      <c r="C42" s="15" t="s">
        <v>1354</v>
      </c>
      <c r="D42" s="15" t="s">
        <v>1354</v>
      </c>
      <c r="G42" t="s">
        <v>131</v>
      </c>
      <c r="H42" s="8" t="str">
        <f t="shared" si="7"/>
        <v>sou</v>
      </c>
      <c r="I42" t="str">
        <f>H42</f>
        <v>sou</v>
      </c>
      <c r="J42" t="s">
        <v>131</v>
      </c>
      <c r="R42" t="s">
        <v>1229</v>
      </c>
      <c r="S42" t="s">
        <v>525</v>
      </c>
      <c r="V42" t="s">
        <v>236</v>
      </c>
      <c r="W42" t="s">
        <v>657</v>
      </c>
    </row>
    <row r="43" spans="1:23">
      <c r="A43" s="15" t="s">
        <v>1314</v>
      </c>
      <c r="B43" s="15" t="s">
        <v>1294</v>
      </c>
      <c r="C43" s="15" t="s">
        <v>1355</v>
      </c>
      <c r="D43" s="15" t="s">
        <v>1355</v>
      </c>
      <c r="G43" t="s">
        <v>132</v>
      </c>
      <c r="H43" s="8" t="str">
        <f t="shared" si="7"/>
        <v>sto</v>
      </c>
      <c r="I43" t="str">
        <f>H43</f>
        <v>sto</v>
      </c>
      <c r="J43" t="s">
        <v>132</v>
      </c>
      <c r="R43" t="s">
        <v>1224</v>
      </c>
      <c r="S43" t="s">
        <v>526</v>
      </c>
      <c r="V43" t="s">
        <v>237</v>
      </c>
      <c r="W43" t="s">
        <v>658</v>
      </c>
    </row>
    <row r="44" spans="1:23">
      <c r="A44" s="15" t="s">
        <v>1315</v>
      </c>
      <c r="B44" s="15" t="s">
        <v>1295</v>
      </c>
      <c r="C44" s="15" t="s">
        <v>1356</v>
      </c>
      <c r="D44" s="15" t="s">
        <v>1356</v>
      </c>
      <c r="G44" t="s">
        <v>133</v>
      </c>
      <c r="H44" s="8" t="str">
        <f t="shared" si="7"/>
        <v>swe</v>
      </c>
      <c r="I44" t="str">
        <f>H44</f>
        <v>swe</v>
      </c>
      <c r="J44" t="s">
        <v>133</v>
      </c>
      <c r="R44" t="s">
        <v>1230</v>
      </c>
      <c r="S44" t="s">
        <v>527</v>
      </c>
      <c r="V44" t="s">
        <v>238</v>
      </c>
      <c r="W44" t="s">
        <v>659</v>
      </c>
    </row>
    <row r="45" spans="1:23">
      <c r="A45" s="15" t="s">
        <v>1316</v>
      </c>
      <c r="B45" s="15" t="s">
        <v>1296</v>
      </c>
      <c r="C45" s="15" t="s">
        <v>1357</v>
      </c>
      <c r="D45" s="15" t="s">
        <v>1357</v>
      </c>
      <c r="G45" t="s">
        <v>134</v>
      </c>
      <c r="H45" s="8" t="str">
        <f t="shared" si="7"/>
        <v>swi</v>
      </c>
      <c r="I45" t="str">
        <f>H45</f>
        <v>swi</v>
      </c>
      <c r="J45" t="s">
        <v>134</v>
      </c>
      <c r="R45" t="s">
        <v>721</v>
      </c>
      <c r="S45" t="s">
        <v>528</v>
      </c>
      <c r="V45" t="s">
        <v>239</v>
      </c>
      <c r="W45" t="s">
        <v>660</v>
      </c>
    </row>
    <row r="46" spans="1:23">
      <c r="A46" s="15" t="s">
        <v>1317</v>
      </c>
      <c r="B46" s="15" t="s">
        <v>1297</v>
      </c>
      <c r="C46" s="15" t="s">
        <v>1358</v>
      </c>
      <c r="D46" s="15" t="s">
        <v>1358</v>
      </c>
      <c r="G46" t="s">
        <v>135</v>
      </c>
      <c r="H46" s="8" t="str">
        <f t="shared" si="7"/>
        <v>the</v>
      </c>
      <c r="I46" s="4" t="s">
        <v>136</v>
      </c>
      <c r="J46" t="s">
        <v>135</v>
      </c>
      <c r="R46" t="s">
        <v>722</v>
      </c>
      <c r="S46" t="s">
        <v>529</v>
      </c>
      <c r="V46" t="s">
        <v>240</v>
      </c>
      <c r="W46" t="s">
        <v>661</v>
      </c>
    </row>
    <row r="47" spans="1:23">
      <c r="A47" s="15" t="s">
        <v>1318</v>
      </c>
      <c r="B47" s="15" t="s">
        <v>1298</v>
      </c>
      <c r="C47" s="15" t="s">
        <v>1359</v>
      </c>
      <c r="D47" s="15" t="s">
        <v>1359</v>
      </c>
      <c r="G47" t="s">
        <v>137</v>
      </c>
      <c r="H47" s="8" t="str">
        <f t="shared" si="7"/>
        <v>uk</v>
      </c>
      <c r="I47" s="4" t="s">
        <v>138</v>
      </c>
      <c r="J47" t="s">
        <v>137</v>
      </c>
      <c r="R47" t="s">
        <v>723</v>
      </c>
      <c r="S47" t="s">
        <v>530</v>
      </c>
      <c r="V47" t="s">
        <v>241</v>
      </c>
      <c r="W47" t="s">
        <v>662</v>
      </c>
    </row>
    <row r="48" spans="1:23">
      <c r="A48" s="15" t="s">
        <v>1319</v>
      </c>
      <c r="B48" s="15" t="s">
        <v>1299</v>
      </c>
      <c r="C48" s="15" t="s">
        <v>1360</v>
      </c>
      <c r="D48" s="15" t="s">
        <v>1360</v>
      </c>
      <c r="G48" t="s">
        <v>139</v>
      </c>
      <c r="H48" s="8" t="str">
        <f t="shared" si="7"/>
        <v>uni</v>
      </c>
      <c r="I48" s="5" t="s">
        <v>138</v>
      </c>
      <c r="J48" t="s">
        <v>139</v>
      </c>
      <c r="R48" t="s">
        <v>724</v>
      </c>
      <c r="S48" t="s">
        <v>531</v>
      </c>
      <c r="V48" t="s">
        <v>242</v>
      </c>
      <c r="W48" t="s">
        <v>663</v>
      </c>
    </row>
    <row r="49" spans="1:23">
      <c r="G49" t="s">
        <v>140</v>
      </c>
      <c r="H49" s="8" t="str">
        <f t="shared" si="7"/>
        <v>uni</v>
      </c>
      <c r="I49" s="5" t="s">
        <v>141</v>
      </c>
      <c r="J49" t="s">
        <v>140</v>
      </c>
      <c r="R49" t="s">
        <v>725</v>
      </c>
      <c r="S49" t="s">
        <v>532</v>
      </c>
      <c r="V49" t="s">
        <v>243</v>
      </c>
      <c r="W49" t="s">
        <v>664</v>
      </c>
    </row>
    <row r="50" spans="1:23">
      <c r="G50" t="s">
        <v>142</v>
      </c>
      <c r="H50" s="8" t="str">
        <f t="shared" si="7"/>
        <v>us</v>
      </c>
      <c r="I50" s="5" t="s">
        <v>141</v>
      </c>
      <c r="J50" t="s">
        <v>142</v>
      </c>
      <c r="R50" t="s">
        <v>726</v>
      </c>
      <c r="S50" t="s">
        <v>533</v>
      </c>
      <c r="V50" t="s">
        <v>244</v>
      </c>
      <c r="W50" t="s">
        <v>665</v>
      </c>
    </row>
    <row r="51" spans="1:23">
      <c r="G51" t="s">
        <v>143</v>
      </c>
      <c r="H51" s="8" t="str">
        <f t="shared" si="7"/>
        <v>usa</v>
      </c>
      <c r="I51" t="str">
        <f>H51</f>
        <v>usa</v>
      </c>
      <c r="J51" t="s">
        <v>143</v>
      </c>
      <c r="R51" t="s">
        <v>727</v>
      </c>
      <c r="S51" t="s">
        <v>534</v>
      </c>
      <c r="V51" t="s">
        <v>245</v>
      </c>
      <c r="W51" t="s">
        <v>666</v>
      </c>
    </row>
    <row r="52" spans="1:23">
      <c r="G52" t="s">
        <v>144</v>
      </c>
      <c r="H52" s="8" t="str">
        <f t="shared" si="7"/>
        <v>was</v>
      </c>
      <c r="I52" t="str">
        <f>H52</f>
        <v>was</v>
      </c>
      <c r="J52" t="s">
        <v>144</v>
      </c>
      <c r="R52" t="s">
        <v>728</v>
      </c>
      <c r="S52" t="s">
        <v>535</v>
      </c>
      <c r="V52" t="s">
        <v>246</v>
      </c>
      <c r="W52" t="s">
        <v>667</v>
      </c>
    </row>
    <row r="53" spans="1:23">
      <c r="A53" s="13"/>
      <c r="B53" s="13"/>
      <c r="G53" t="s">
        <v>1268</v>
      </c>
      <c r="H53" s="8" t="str">
        <f t="shared" si="7"/>
        <v>asi</v>
      </c>
      <c r="I53" s="9" t="s">
        <v>1269</v>
      </c>
      <c r="J53" t="s">
        <v>1268</v>
      </c>
      <c r="R53" t="s">
        <v>729</v>
      </c>
      <c r="S53" t="s">
        <v>536</v>
      </c>
      <c r="V53" t="s">
        <v>247</v>
      </c>
      <c r="W53" t="s">
        <v>668</v>
      </c>
    </row>
    <row r="54" spans="1:23">
      <c r="A54" s="14"/>
      <c r="B54" s="14"/>
      <c r="G54" t="s">
        <v>1270</v>
      </c>
      <c r="H54" s="8" t="str">
        <f t="shared" si="7"/>
        <v>mid</v>
      </c>
      <c r="I54" s="9" t="s">
        <v>1271</v>
      </c>
      <c r="J54" t="s">
        <v>1270</v>
      </c>
      <c r="R54" t="s">
        <v>730</v>
      </c>
      <c r="S54" t="s">
        <v>537</v>
      </c>
      <c r="V54" t="s">
        <v>248</v>
      </c>
      <c r="W54" t="s">
        <v>669</v>
      </c>
    </row>
    <row r="55" spans="1:23">
      <c r="A55" s="14"/>
      <c r="B55" s="14"/>
      <c r="G55" t="s">
        <v>1272</v>
      </c>
      <c r="H55" s="8" t="str">
        <f t="shared" si="7"/>
        <v>ame</v>
      </c>
      <c r="I55" s="9" t="s">
        <v>1273</v>
      </c>
      <c r="J55" t="s">
        <v>1272</v>
      </c>
      <c r="R55" t="s">
        <v>731</v>
      </c>
      <c r="S55" t="s">
        <v>538</v>
      </c>
      <c r="V55" t="s">
        <v>249</v>
      </c>
      <c r="W55" t="s">
        <v>670</v>
      </c>
    </row>
    <row r="56" spans="1:23">
      <c r="A56" s="14"/>
      <c r="B56" s="14"/>
      <c r="G56" s="12" t="s">
        <v>1277</v>
      </c>
      <c r="H56" s="12" t="str">
        <f t="shared" si="7"/>
        <v>fin</v>
      </c>
      <c r="I56" s="12" t="s">
        <v>1274</v>
      </c>
      <c r="J56" s="12" t="s">
        <v>1277</v>
      </c>
      <c r="R56" t="s">
        <v>732</v>
      </c>
      <c r="S56" t="s">
        <v>539</v>
      </c>
      <c r="V56" t="s">
        <v>250</v>
      </c>
      <c r="W56" t="s">
        <v>671</v>
      </c>
    </row>
    <row r="57" spans="1:23">
      <c r="A57" s="14"/>
      <c r="B57" s="14"/>
      <c r="G57" s="12" t="s">
        <v>1278</v>
      </c>
      <c r="H57" s="12" t="str">
        <f t="shared" si="7"/>
        <v>tai</v>
      </c>
      <c r="I57" s="12" t="s">
        <v>1275</v>
      </c>
      <c r="J57" s="12" t="s">
        <v>1278</v>
      </c>
      <c r="R57" t="s">
        <v>733</v>
      </c>
      <c r="S57" t="s">
        <v>540</v>
      </c>
      <c r="V57" t="s">
        <v>235</v>
      </c>
      <c r="W57" t="s">
        <v>672</v>
      </c>
    </row>
    <row r="58" spans="1:23">
      <c r="A58" s="14"/>
      <c r="B58" s="14"/>
      <c r="G58" s="12" t="s">
        <v>1279</v>
      </c>
      <c r="H58" s="12" t="str">
        <f t="shared" si="7"/>
        <v>sri</v>
      </c>
      <c r="I58" s="12" t="s">
        <v>1276</v>
      </c>
      <c r="J58" s="12" t="s">
        <v>1279</v>
      </c>
      <c r="R58" t="s">
        <v>734</v>
      </c>
      <c r="S58" t="s">
        <v>541</v>
      </c>
      <c r="V58" t="s">
        <v>260</v>
      </c>
      <c r="W58" t="s">
        <v>682</v>
      </c>
    </row>
    <row r="59" spans="1:23">
      <c r="A59" s="14"/>
      <c r="B59" s="14"/>
      <c r="R59" t="s">
        <v>735</v>
      </c>
      <c r="S59" t="s">
        <v>542</v>
      </c>
      <c r="V59" t="s">
        <v>251</v>
      </c>
      <c r="W59" t="s">
        <v>673</v>
      </c>
    </row>
    <row r="60" spans="1:23">
      <c r="A60" s="14"/>
      <c r="B60" s="14"/>
      <c r="R60" t="s">
        <v>736</v>
      </c>
      <c r="S60" t="s">
        <v>543</v>
      </c>
      <c r="V60" t="s">
        <v>252</v>
      </c>
      <c r="W60" t="s">
        <v>674</v>
      </c>
    </row>
    <row r="61" spans="1:23">
      <c r="A61" s="14"/>
      <c r="B61" s="14"/>
      <c r="R61" t="s">
        <v>737</v>
      </c>
      <c r="S61" t="s">
        <v>544</v>
      </c>
      <c r="V61" t="s">
        <v>253</v>
      </c>
      <c r="W61" t="s">
        <v>675</v>
      </c>
    </row>
    <row r="62" spans="1:23">
      <c r="A62" s="14"/>
      <c r="B62" s="14"/>
      <c r="R62" t="s">
        <v>738</v>
      </c>
      <c r="S62" t="s">
        <v>545</v>
      </c>
      <c r="V62" t="s">
        <v>254</v>
      </c>
      <c r="W62" t="s">
        <v>676</v>
      </c>
    </row>
    <row r="63" spans="1:23">
      <c r="A63" s="14"/>
      <c r="B63" s="14"/>
      <c r="R63" t="s">
        <v>739</v>
      </c>
      <c r="S63" t="s">
        <v>546</v>
      </c>
      <c r="V63" t="s">
        <v>255</v>
      </c>
      <c r="W63" t="s">
        <v>677</v>
      </c>
    </row>
    <row r="64" spans="1:23">
      <c r="A64" s="14"/>
      <c r="B64" s="14"/>
      <c r="R64" t="s">
        <v>740</v>
      </c>
      <c r="S64" t="s">
        <v>547</v>
      </c>
      <c r="V64" t="s">
        <v>256</v>
      </c>
      <c r="W64" t="s">
        <v>678</v>
      </c>
    </row>
    <row r="65" spans="1:23">
      <c r="A65" s="14"/>
      <c r="B65" s="14"/>
      <c r="R65" t="s">
        <v>741</v>
      </c>
      <c r="S65" t="s">
        <v>548</v>
      </c>
      <c r="V65" t="s">
        <v>257</v>
      </c>
      <c r="W65" t="s">
        <v>679</v>
      </c>
    </row>
    <row r="66" spans="1:23">
      <c r="A66" s="14"/>
      <c r="B66" s="14"/>
      <c r="R66" t="s">
        <v>742</v>
      </c>
      <c r="S66" t="s">
        <v>549</v>
      </c>
      <c r="V66" t="s">
        <v>258</v>
      </c>
      <c r="W66" t="s">
        <v>680</v>
      </c>
    </row>
    <row r="67" spans="1:23">
      <c r="A67" s="14"/>
      <c r="B67" s="14"/>
      <c r="R67" t="s">
        <v>743</v>
      </c>
      <c r="S67" t="s">
        <v>550</v>
      </c>
      <c r="V67" t="s">
        <v>259</v>
      </c>
      <c r="W67" t="s">
        <v>681</v>
      </c>
    </row>
    <row r="68" spans="1:23">
      <c r="A68" s="14"/>
      <c r="B68" s="14"/>
      <c r="R68" t="s">
        <v>744</v>
      </c>
      <c r="S68" t="s">
        <v>551</v>
      </c>
      <c r="V68" t="s">
        <v>261</v>
      </c>
      <c r="W68" t="s">
        <v>683</v>
      </c>
    </row>
    <row r="69" spans="1:23">
      <c r="A69" s="14"/>
      <c r="B69" s="14"/>
      <c r="R69" t="s">
        <v>745</v>
      </c>
      <c r="S69" t="s">
        <v>552</v>
      </c>
      <c r="V69" t="s">
        <v>262</v>
      </c>
      <c r="W69" t="s">
        <v>684</v>
      </c>
    </row>
    <row r="70" spans="1:23">
      <c r="A70" s="14"/>
      <c r="B70" s="14"/>
      <c r="R70" t="s">
        <v>746</v>
      </c>
      <c r="S70" t="s">
        <v>553</v>
      </c>
      <c r="V70" t="s">
        <v>263</v>
      </c>
      <c r="W70" t="s">
        <v>685</v>
      </c>
    </row>
    <row r="71" spans="1:23">
      <c r="A71" s="14"/>
      <c r="B71" s="14"/>
      <c r="R71" t="s">
        <v>747</v>
      </c>
      <c r="S71" t="s">
        <v>554</v>
      </c>
      <c r="V71" t="s">
        <v>264</v>
      </c>
      <c r="W71" t="s">
        <v>686</v>
      </c>
    </row>
    <row r="72" spans="1:23">
      <c r="A72" s="14"/>
      <c r="B72" s="14"/>
      <c r="R72" t="s">
        <v>748</v>
      </c>
      <c r="S72" t="s">
        <v>555</v>
      </c>
      <c r="V72" t="s">
        <v>265</v>
      </c>
      <c r="W72" t="s">
        <v>687</v>
      </c>
    </row>
    <row r="73" spans="1:23">
      <c r="A73" s="14"/>
      <c r="B73" s="14"/>
      <c r="R73" t="s">
        <v>749</v>
      </c>
      <c r="S73" t="s">
        <v>556</v>
      </c>
      <c r="V73" t="s">
        <v>17</v>
      </c>
      <c r="W73" t="s">
        <v>688</v>
      </c>
    </row>
    <row r="74" spans="1:23">
      <c r="R74" t="s">
        <v>750</v>
      </c>
      <c r="S74" t="s">
        <v>557</v>
      </c>
      <c r="V74" t="s">
        <v>29</v>
      </c>
      <c r="W74" t="s">
        <v>689</v>
      </c>
    </row>
    <row r="75" spans="1:23">
      <c r="R75" t="s">
        <v>751</v>
      </c>
      <c r="S75" t="s">
        <v>558</v>
      </c>
      <c r="V75" t="s">
        <v>266</v>
      </c>
      <c r="W75" t="s">
        <v>690</v>
      </c>
    </row>
    <row r="76" spans="1:23">
      <c r="R76" t="s">
        <v>752</v>
      </c>
      <c r="S76" t="s">
        <v>559</v>
      </c>
      <c r="V76" t="s">
        <v>267</v>
      </c>
      <c r="W76" t="s">
        <v>691</v>
      </c>
    </row>
    <row r="77" spans="1:23">
      <c r="R77" t="s">
        <v>753</v>
      </c>
      <c r="S77" t="s">
        <v>560</v>
      </c>
      <c r="V77" t="s">
        <v>268</v>
      </c>
      <c r="W77" t="s">
        <v>692</v>
      </c>
    </row>
    <row r="78" spans="1:23">
      <c r="R78" t="s">
        <v>754</v>
      </c>
      <c r="S78" t="s">
        <v>561</v>
      </c>
      <c r="V78" t="s">
        <v>269</v>
      </c>
      <c r="W78" t="s">
        <v>693</v>
      </c>
    </row>
    <row r="79" spans="1:23">
      <c r="R79" t="s">
        <v>755</v>
      </c>
      <c r="S79" t="s">
        <v>562</v>
      </c>
      <c r="V79" t="s">
        <v>270</v>
      </c>
      <c r="W79" t="s">
        <v>694</v>
      </c>
    </row>
    <row r="80" spans="1:23">
      <c r="R80" t="s">
        <v>756</v>
      </c>
      <c r="S80" t="s">
        <v>563</v>
      </c>
      <c r="V80" t="s">
        <v>271</v>
      </c>
      <c r="W80" t="s">
        <v>695</v>
      </c>
    </row>
    <row r="81" spans="18:23">
      <c r="R81" t="s">
        <v>757</v>
      </c>
      <c r="S81" t="s">
        <v>564</v>
      </c>
      <c r="V81" t="s">
        <v>272</v>
      </c>
      <c r="W81" t="s">
        <v>696</v>
      </c>
    </row>
    <row r="82" spans="18:23">
      <c r="R82" t="s">
        <v>758</v>
      </c>
      <c r="S82" t="s">
        <v>565</v>
      </c>
      <c r="V82" t="s">
        <v>273</v>
      </c>
      <c r="W82" t="s">
        <v>697</v>
      </c>
    </row>
    <row r="83" spans="18:23">
      <c r="R83" t="s">
        <v>759</v>
      </c>
      <c r="S83" t="s">
        <v>566</v>
      </c>
      <c r="V83" t="s">
        <v>274</v>
      </c>
      <c r="W83" t="s">
        <v>698</v>
      </c>
    </row>
    <row r="84" spans="18:23">
      <c r="R84" t="s">
        <v>760</v>
      </c>
      <c r="S84" t="s">
        <v>567</v>
      </c>
      <c r="V84" t="s">
        <v>275</v>
      </c>
      <c r="W84" t="s">
        <v>699</v>
      </c>
    </row>
    <row r="85" spans="18:23">
      <c r="R85" t="s">
        <v>761</v>
      </c>
      <c r="S85" t="s">
        <v>568</v>
      </c>
      <c r="V85" t="s">
        <v>276</v>
      </c>
      <c r="W85" t="s">
        <v>700</v>
      </c>
    </row>
    <row r="86" spans="18:23">
      <c r="R86" t="s">
        <v>762</v>
      </c>
      <c r="S86" t="s">
        <v>569</v>
      </c>
      <c r="V86" t="s">
        <v>277</v>
      </c>
      <c r="W86" t="s">
        <v>701</v>
      </c>
    </row>
    <row r="87" spans="18:23">
      <c r="R87" t="s">
        <v>763</v>
      </c>
      <c r="S87" t="s">
        <v>570</v>
      </c>
      <c r="V87" t="s">
        <v>278</v>
      </c>
      <c r="W87" t="s">
        <v>702</v>
      </c>
    </row>
    <row r="88" spans="18:23">
      <c r="R88" t="s">
        <v>764</v>
      </c>
      <c r="S88" t="s">
        <v>571</v>
      </c>
      <c r="V88" t="s">
        <v>703</v>
      </c>
      <c r="W88" t="s">
        <v>704</v>
      </c>
    </row>
    <row r="89" spans="18:23">
      <c r="R89" t="s">
        <v>765</v>
      </c>
      <c r="S89" t="s">
        <v>572</v>
      </c>
      <c r="V89" t="s">
        <v>279</v>
      </c>
      <c r="W89" t="s">
        <v>705</v>
      </c>
    </row>
    <row r="90" spans="18:23">
      <c r="R90" t="s">
        <v>766</v>
      </c>
      <c r="S90" t="s">
        <v>573</v>
      </c>
      <c r="V90" t="s">
        <v>280</v>
      </c>
      <c r="W90" t="s">
        <v>706</v>
      </c>
    </row>
    <row r="91" spans="18:23">
      <c r="R91" t="s">
        <v>767</v>
      </c>
      <c r="S91" t="s">
        <v>574</v>
      </c>
      <c r="V91" t="s">
        <v>281</v>
      </c>
      <c r="W91" t="s">
        <v>707</v>
      </c>
    </row>
    <row r="92" spans="18:23">
      <c r="R92" t="s">
        <v>768</v>
      </c>
      <c r="S92" t="s">
        <v>575</v>
      </c>
      <c r="V92" t="s">
        <v>282</v>
      </c>
      <c r="W92" t="s">
        <v>708</v>
      </c>
    </row>
    <row r="93" spans="18:23">
      <c r="R93" t="s">
        <v>769</v>
      </c>
      <c r="S93" t="s">
        <v>576</v>
      </c>
      <c r="V93" t="s">
        <v>1039</v>
      </c>
      <c r="W93" t="s">
        <v>709</v>
      </c>
    </row>
    <row r="94" spans="18:23">
      <c r="R94" t="s">
        <v>770</v>
      </c>
      <c r="S94" t="s">
        <v>577</v>
      </c>
      <c r="V94" t="s">
        <v>1040</v>
      </c>
      <c r="W94" t="s">
        <v>710</v>
      </c>
    </row>
    <row r="95" spans="18:23">
      <c r="R95" t="s">
        <v>771</v>
      </c>
      <c r="S95" t="s">
        <v>578</v>
      </c>
      <c r="V95" t="s">
        <v>1041</v>
      </c>
      <c r="W95" t="s">
        <v>711</v>
      </c>
    </row>
    <row r="96" spans="18:23">
      <c r="R96" t="s">
        <v>772</v>
      </c>
      <c r="S96" t="s">
        <v>579</v>
      </c>
      <c r="V96" t="s">
        <v>1042</v>
      </c>
      <c r="W96" t="s">
        <v>712</v>
      </c>
    </row>
    <row r="97" spans="18:23">
      <c r="R97" t="s">
        <v>773</v>
      </c>
      <c r="S97" t="s">
        <v>580</v>
      </c>
      <c r="V97" t="s">
        <v>1043</v>
      </c>
      <c r="W97" t="s">
        <v>713</v>
      </c>
    </row>
    <row r="98" spans="18:23">
      <c r="R98" t="s">
        <v>774</v>
      </c>
      <c r="S98" t="s">
        <v>581</v>
      </c>
      <c r="V98" t="s">
        <v>1044</v>
      </c>
      <c r="W98" t="s">
        <v>714</v>
      </c>
    </row>
    <row r="99" spans="18:23">
      <c r="R99" t="s">
        <v>775</v>
      </c>
      <c r="S99" t="s">
        <v>582</v>
      </c>
      <c r="V99" t="s">
        <v>1045</v>
      </c>
      <c r="W99" t="s">
        <v>420</v>
      </c>
    </row>
    <row r="100" spans="18:23">
      <c r="R100" t="s">
        <v>776</v>
      </c>
      <c r="S100" t="s">
        <v>309</v>
      </c>
      <c r="V100" t="s">
        <v>1046</v>
      </c>
      <c r="W100" t="s">
        <v>421</v>
      </c>
    </row>
    <row r="101" spans="18:23">
      <c r="R101" t="s">
        <v>777</v>
      </c>
      <c r="S101" t="s">
        <v>310</v>
      </c>
      <c r="V101" t="s">
        <v>1047</v>
      </c>
      <c r="W101" t="s">
        <v>422</v>
      </c>
    </row>
    <row r="102" spans="18:23">
      <c r="R102" t="s">
        <v>778</v>
      </c>
      <c r="S102" t="s">
        <v>311</v>
      </c>
      <c r="V102" t="s">
        <v>1048</v>
      </c>
      <c r="W102" t="s">
        <v>423</v>
      </c>
    </row>
    <row r="103" spans="18:23">
      <c r="R103" t="s">
        <v>779</v>
      </c>
      <c r="S103" t="s">
        <v>312</v>
      </c>
      <c r="V103" t="s">
        <v>297</v>
      </c>
      <c r="W103" t="s">
        <v>456</v>
      </c>
    </row>
    <row r="104" spans="18:23">
      <c r="R104" t="s">
        <v>780</v>
      </c>
      <c r="S104" t="s">
        <v>313</v>
      </c>
      <c r="V104" t="s">
        <v>1049</v>
      </c>
      <c r="W104" t="s">
        <v>424</v>
      </c>
    </row>
    <row r="105" spans="18:23">
      <c r="R105" t="s">
        <v>781</v>
      </c>
      <c r="S105" t="s">
        <v>314</v>
      </c>
      <c r="V105" t="s">
        <v>1050</v>
      </c>
      <c r="W105" t="s">
        <v>425</v>
      </c>
    </row>
    <row r="106" spans="18:23">
      <c r="R106" t="s">
        <v>782</v>
      </c>
      <c r="S106" t="s">
        <v>315</v>
      </c>
      <c r="V106" t="s">
        <v>1051</v>
      </c>
      <c r="W106" t="s">
        <v>426</v>
      </c>
    </row>
    <row r="107" spans="18:23">
      <c r="R107" t="s">
        <v>783</v>
      </c>
      <c r="S107" t="s">
        <v>316</v>
      </c>
      <c r="V107" t="s">
        <v>1052</v>
      </c>
      <c r="W107" t="s">
        <v>427</v>
      </c>
    </row>
    <row r="108" spans="18:23">
      <c r="R108" t="s">
        <v>784</v>
      </c>
      <c r="S108" t="s">
        <v>317</v>
      </c>
      <c r="V108" t="s">
        <v>1053</v>
      </c>
      <c r="W108" t="s">
        <v>428</v>
      </c>
    </row>
    <row r="109" spans="18:23">
      <c r="R109" t="s">
        <v>785</v>
      </c>
      <c r="S109" t="s">
        <v>318</v>
      </c>
      <c r="V109" t="s">
        <v>1054</v>
      </c>
      <c r="W109" t="s">
        <v>429</v>
      </c>
    </row>
    <row r="110" spans="18:23">
      <c r="R110" t="s">
        <v>786</v>
      </c>
      <c r="S110" t="s">
        <v>319</v>
      </c>
      <c r="V110" t="s">
        <v>1055</v>
      </c>
      <c r="W110" t="s">
        <v>430</v>
      </c>
    </row>
    <row r="111" spans="18:23">
      <c r="R111" t="s">
        <v>787</v>
      </c>
      <c r="S111" t="s">
        <v>320</v>
      </c>
      <c r="V111" t="s">
        <v>1056</v>
      </c>
      <c r="W111" t="s">
        <v>431</v>
      </c>
    </row>
    <row r="112" spans="18:23">
      <c r="R112" t="s">
        <v>788</v>
      </c>
      <c r="S112" t="s">
        <v>321</v>
      </c>
      <c r="V112" t="s">
        <v>1057</v>
      </c>
      <c r="W112" t="s">
        <v>432</v>
      </c>
    </row>
    <row r="113" spans="18:23">
      <c r="R113" t="s">
        <v>789</v>
      </c>
      <c r="S113" t="s">
        <v>322</v>
      </c>
      <c r="V113" t="s">
        <v>1058</v>
      </c>
      <c r="W113" t="s">
        <v>433</v>
      </c>
    </row>
    <row r="114" spans="18:23">
      <c r="R114" t="s">
        <v>790</v>
      </c>
      <c r="S114" t="s">
        <v>323</v>
      </c>
      <c r="V114" t="s">
        <v>1059</v>
      </c>
      <c r="W114" t="s">
        <v>434</v>
      </c>
    </row>
    <row r="115" spans="18:23">
      <c r="R115" t="s">
        <v>791</v>
      </c>
      <c r="S115" t="s">
        <v>324</v>
      </c>
      <c r="V115" t="s">
        <v>1060</v>
      </c>
      <c r="W115" t="s">
        <v>435</v>
      </c>
    </row>
    <row r="116" spans="18:23">
      <c r="R116" t="s">
        <v>792</v>
      </c>
      <c r="S116" t="s">
        <v>325</v>
      </c>
      <c r="V116" t="s">
        <v>1061</v>
      </c>
      <c r="W116" t="s">
        <v>436</v>
      </c>
    </row>
    <row r="117" spans="18:23">
      <c r="R117" t="s">
        <v>793</v>
      </c>
      <c r="S117" t="s">
        <v>326</v>
      </c>
      <c r="V117" t="s">
        <v>1062</v>
      </c>
      <c r="W117" t="s">
        <v>437</v>
      </c>
    </row>
    <row r="118" spans="18:23">
      <c r="R118" t="s">
        <v>794</v>
      </c>
      <c r="S118" t="s">
        <v>327</v>
      </c>
      <c r="V118" t="s">
        <v>1063</v>
      </c>
      <c r="W118" t="s">
        <v>438</v>
      </c>
    </row>
    <row r="119" spans="18:23">
      <c r="R119" t="s">
        <v>795</v>
      </c>
      <c r="S119" t="s">
        <v>328</v>
      </c>
      <c r="V119" t="s">
        <v>1064</v>
      </c>
      <c r="W119" t="s">
        <v>439</v>
      </c>
    </row>
    <row r="120" spans="18:23">
      <c r="R120" t="s">
        <v>796</v>
      </c>
      <c r="S120" t="s">
        <v>329</v>
      </c>
      <c r="V120" t="s">
        <v>1065</v>
      </c>
      <c r="W120" t="s">
        <v>440</v>
      </c>
    </row>
    <row r="121" spans="18:23">
      <c r="R121" t="s">
        <v>797</v>
      </c>
      <c r="S121" t="s">
        <v>330</v>
      </c>
      <c r="V121" t="s">
        <v>1066</v>
      </c>
      <c r="W121" t="s">
        <v>441</v>
      </c>
    </row>
    <row r="122" spans="18:23">
      <c r="R122" t="s">
        <v>798</v>
      </c>
      <c r="S122" t="s">
        <v>331</v>
      </c>
      <c r="V122" t="s">
        <v>1067</v>
      </c>
      <c r="W122" t="s">
        <v>442</v>
      </c>
    </row>
    <row r="123" spans="18:23">
      <c r="R123" t="s">
        <v>799</v>
      </c>
      <c r="S123" t="s">
        <v>332</v>
      </c>
      <c r="V123" t="s">
        <v>286</v>
      </c>
      <c r="W123" t="s">
        <v>443</v>
      </c>
    </row>
    <row r="124" spans="18:23">
      <c r="R124" t="s">
        <v>800</v>
      </c>
      <c r="S124" t="s">
        <v>333</v>
      </c>
      <c r="V124" t="s">
        <v>287</v>
      </c>
      <c r="W124" t="s">
        <v>444</v>
      </c>
    </row>
    <row r="125" spans="18:23">
      <c r="R125" t="s">
        <v>801</v>
      </c>
      <c r="S125" t="s">
        <v>334</v>
      </c>
      <c r="V125" t="s">
        <v>288</v>
      </c>
      <c r="W125" t="s">
        <v>445</v>
      </c>
    </row>
    <row r="126" spans="18:23">
      <c r="R126" t="s">
        <v>802</v>
      </c>
      <c r="S126" t="s">
        <v>335</v>
      </c>
      <c r="V126" t="s">
        <v>289</v>
      </c>
      <c r="W126" t="s">
        <v>446</v>
      </c>
    </row>
    <row r="127" spans="18:23">
      <c r="R127" t="s">
        <v>803</v>
      </c>
      <c r="S127" t="s">
        <v>336</v>
      </c>
      <c r="V127" t="s">
        <v>715</v>
      </c>
      <c r="W127" t="s">
        <v>447</v>
      </c>
    </row>
    <row r="128" spans="18:23">
      <c r="R128" t="s">
        <v>804</v>
      </c>
      <c r="S128" t="s">
        <v>337</v>
      </c>
      <c r="V128" t="s">
        <v>290</v>
      </c>
      <c r="W128" t="s">
        <v>448</v>
      </c>
    </row>
    <row r="129" spans="18:23">
      <c r="R129" t="s">
        <v>805</v>
      </c>
      <c r="S129" t="s">
        <v>338</v>
      </c>
      <c r="V129" t="s">
        <v>291</v>
      </c>
      <c r="W129" t="s">
        <v>449</v>
      </c>
    </row>
    <row r="130" spans="18:23">
      <c r="R130" t="s">
        <v>806</v>
      </c>
      <c r="S130" t="s">
        <v>339</v>
      </c>
      <c r="V130" t="s">
        <v>292</v>
      </c>
      <c r="W130" t="s">
        <v>450</v>
      </c>
    </row>
    <row r="131" spans="18:23">
      <c r="R131" t="s">
        <v>807</v>
      </c>
      <c r="S131" t="s">
        <v>340</v>
      </c>
      <c r="V131" t="s">
        <v>293</v>
      </c>
      <c r="W131" t="s">
        <v>451</v>
      </c>
    </row>
    <row r="132" spans="18:23">
      <c r="R132" t="s">
        <v>808</v>
      </c>
      <c r="S132" t="s">
        <v>341</v>
      </c>
      <c r="V132" t="s">
        <v>1068</v>
      </c>
      <c r="W132" t="s">
        <v>452</v>
      </c>
    </row>
    <row r="133" spans="18:23">
      <c r="R133" t="s">
        <v>809</v>
      </c>
      <c r="S133" t="s">
        <v>342</v>
      </c>
      <c r="V133" t="s">
        <v>294</v>
      </c>
      <c r="W133" t="s">
        <v>453</v>
      </c>
    </row>
    <row r="134" spans="18:23">
      <c r="R134" t="s">
        <v>810</v>
      </c>
      <c r="S134" t="s">
        <v>343</v>
      </c>
      <c r="V134" t="s">
        <v>295</v>
      </c>
      <c r="W134" t="s">
        <v>454</v>
      </c>
    </row>
    <row r="135" spans="18:23">
      <c r="R135" t="s">
        <v>811</v>
      </c>
      <c r="S135" t="s">
        <v>344</v>
      </c>
      <c r="V135" t="s">
        <v>296</v>
      </c>
      <c r="W135" t="s">
        <v>455</v>
      </c>
    </row>
    <row r="136" spans="18:23">
      <c r="R136" t="s">
        <v>812</v>
      </c>
      <c r="S136" t="s">
        <v>345</v>
      </c>
      <c r="V136" t="s">
        <v>298</v>
      </c>
      <c r="W136" t="s">
        <v>457</v>
      </c>
    </row>
    <row r="137" spans="18:23">
      <c r="R137" t="s">
        <v>813</v>
      </c>
      <c r="S137" t="s">
        <v>346</v>
      </c>
      <c r="V137" t="s">
        <v>299</v>
      </c>
      <c r="W137" t="s">
        <v>458</v>
      </c>
    </row>
    <row r="138" spans="18:23">
      <c r="R138" t="s">
        <v>814</v>
      </c>
      <c r="S138" t="s">
        <v>347</v>
      </c>
      <c r="V138" t="s">
        <v>1069</v>
      </c>
      <c r="W138" t="s">
        <v>459</v>
      </c>
    </row>
    <row r="139" spans="18:23">
      <c r="R139" t="s">
        <v>815</v>
      </c>
      <c r="S139" t="s">
        <v>348</v>
      </c>
      <c r="V139" t="s">
        <v>300</v>
      </c>
      <c r="W139" t="s">
        <v>460</v>
      </c>
    </row>
    <row r="140" spans="18:23">
      <c r="R140" t="s">
        <v>816</v>
      </c>
      <c r="S140" t="s">
        <v>349</v>
      </c>
      <c r="V140" t="s">
        <v>301</v>
      </c>
      <c r="W140" t="s">
        <v>461</v>
      </c>
    </row>
    <row r="141" spans="18:23">
      <c r="R141" t="s">
        <v>817</v>
      </c>
      <c r="S141" t="s">
        <v>350</v>
      </c>
      <c r="V141" t="s">
        <v>302</v>
      </c>
      <c r="W141" t="s">
        <v>462</v>
      </c>
    </row>
    <row r="142" spans="18:23">
      <c r="R142" t="s">
        <v>818</v>
      </c>
      <c r="S142" t="s">
        <v>351</v>
      </c>
      <c r="V142" t="s">
        <v>303</v>
      </c>
      <c r="W142" t="s">
        <v>463</v>
      </c>
    </row>
    <row r="143" spans="18:23">
      <c r="R143" t="s">
        <v>819</v>
      </c>
      <c r="S143" t="s">
        <v>352</v>
      </c>
      <c r="V143" t="s">
        <v>1070</v>
      </c>
      <c r="W143" t="s">
        <v>464</v>
      </c>
    </row>
    <row r="144" spans="18:23">
      <c r="R144" t="s">
        <v>820</v>
      </c>
      <c r="S144" t="s">
        <v>353</v>
      </c>
      <c r="V144" t="s">
        <v>304</v>
      </c>
      <c r="W144" t="s">
        <v>465</v>
      </c>
    </row>
    <row r="145" spans="18:23">
      <c r="R145" t="s">
        <v>821</v>
      </c>
      <c r="S145" t="s">
        <v>354</v>
      </c>
      <c r="V145" t="s">
        <v>305</v>
      </c>
      <c r="W145" t="s">
        <v>466</v>
      </c>
    </row>
    <row r="146" spans="18:23">
      <c r="R146" t="s">
        <v>822</v>
      </c>
      <c r="S146" t="s">
        <v>355</v>
      </c>
      <c r="V146" t="s">
        <v>306</v>
      </c>
      <c r="W146" t="s">
        <v>467</v>
      </c>
    </row>
    <row r="147" spans="18:23">
      <c r="R147" t="s">
        <v>823</v>
      </c>
      <c r="S147" t="s">
        <v>356</v>
      </c>
      <c r="V147" t="s">
        <v>307</v>
      </c>
      <c r="W147" t="s">
        <v>468</v>
      </c>
    </row>
    <row r="148" spans="18:23">
      <c r="R148" t="s">
        <v>824</v>
      </c>
      <c r="S148" t="s">
        <v>357</v>
      </c>
      <c r="V148" t="s">
        <v>308</v>
      </c>
      <c r="W148" t="s">
        <v>716</v>
      </c>
    </row>
    <row r="149" spans="18:23">
      <c r="R149" t="s">
        <v>825</v>
      </c>
      <c r="S149" t="s">
        <v>358</v>
      </c>
      <c r="V149" t="s">
        <v>284</v>
      </c>
      <c r="W149" t="s">
        <v>717</v>
      </c>
    </row>
    <row r="150" spans="18:23">
      <c r="R150" t="s">
        <v>826</v>
      </c>
      <c r="S150" t="s">
        <v>359</v>
      </c>
      <c r="V150" t="s">
        <v>285</v>
      </c>
      <c r="W150" t="s">
        <v>718</v>
      </c>
    </row>
    <row r="151" spans="18:23">
      <c r="R151" t="s">
        <v>827</v>
      </c>
      <c r="S151" t="s">
        <v>360</v>
      </c>
      <c r="V151" t="s">
        <v>1071</v>
      </c>
      <c r="W151" t="s">
        <v>1072</v>
      </c>
    </row>
    <row r="152" spans="18:23">
      <c r="R152" t="s">
        <v>828</v>
      </c>
      <c r="S152" t="s">
        <v>361</v>
      </c>
      <c r="V152" t="s">
        <v>1073</v>
      </c>
      <c r="W152" t="s">
        <v>1074</v>
      </c>
    </row>
    <row r="153" spans="18:23">
      <c r="R153" t="s">
        <v>829</v>
      </c>
      <c r="S153" t="s">
        <v>362</v>
      </c>
      <c r="V153" t="s">
        <v>1075</v>
      </c>
      <c r="W153" t="s">
        <v>1076</v>
      </c>
    </row>
    <row r="154" spans="18:23">
      <c r="R154" t="s">
        <v>830</v>
      </c>
      <c r="S154" t="s">
        <v>363</v>
      </c>
      <c r="V154" t="s">
        <v>1077</v>
      </c>
      <c r="W154" t="s">
        <v>1078</v>
      </c>
    </row>
    <row r="155" spans="18:23">
      <c r="R155" t="s">
        <v>831</v>
      </c>
      <c r="S155" t="s">
        <v>364</v>
      </c>
      <c r="V155" t="s">
        <v>1079</v>
      </c>
      <c r="W155" t="s">
        <v>1080</v>
      </c>
    </row>
    <row r="156" spans="18:23">
      <c r="R156" t="s">
        <v>832</v>
      </c>
      <c r="S156" t="s">
        <v>365</v>
      </c>
      <c r="V156" t="s">
        <v>1081</v>
      </c>
      <c r="W156" t="s">
        <v>1082</v>
      </c>
    </row>
    <row r="157" spans="18:23">
      <c r="R157" t="s">
        <v>833</v>
      </c>
      <c r="S157" t="s">
        <v>366</v>
      </c>
      <c r="V157" t="s">
        <v>1083</v>
      </c>
      <c r="W157" t="s">
        <v>1084</v>
      </c>
    </row>
    <row r="158" spans="18:23">
      <c r="R158" t="s">
        <v>834</v>
      </c>
      <c r="S158" t="s">
        <v>367</v>
      </c>
      <c r="V158" t="s">
        <v>1085</v>
      </c>
      <c r="W158" t="s">
        <v>1086</v>
      </c>
    </row>
    <row r="159" spans="18:23">
      <c r="R159" t="s">
        <v>835</v>
      </c>
      <c r="S159" t="s">
        <v>368</v>
      </c>
      <c r="V159" t="s">
        <v>1087</v>
      </c>
      <c r="W159" t="s">
        <v>1088</v>
      </c>
    </row>
    <row r="160" spans="18:23">
      <c r="R160" t="s">
        <v>836</v>
      </c>
      <c r="S160" t="s">
        <v>369</v>
      </c>
      <c r="V160" t="s">
        <v>1089</v>
      </c>
      <c r="W160" t="s">
        <v>1090</v>
      </c>
    </row>
    <row r="161" spans="18:23">
      <c r="R161" t="s">
        <v>837</v>
      </c>
      <c r="S161" t="s">
        <v>370</v>
      </c>
      <c r="V161" t="s">
        <v>1091</v>
      </c>
      <c r="W161" t="s">
        <v>1092</v>
      </c>
    </row>
    <row r="162" spans="18:23">
      <c r="R162" t="s">
        <v>838</v>
      </c>
      <c r="S162" t="s">
        <v>371</v>
      </c>
      <c r="V162" t="s">
        <v>1093</v>
      </c>
      <c r="W162" t="s">
        <v>1094</v>
      </c>
    </row>
    <row r="163" spans="18:23">
      <c r="R163" t="s">
        <v>839</v>
      </c>
      <c r="S163" t="s">
        <v>372</v>
      </c>
      <c r="V163" t="s">
        <v>1095</v>
      </c>
      <c r="W163" t="s">
        <v>1096</v>
      </c>
    </row>
    <row r="164" spans="18:23">
      <c r="R164" t="s">
        <v>840</v>
      </c>
      <c r="S164" t="s">
        <v>373</v>
      </c>
      <c r="V164" t="s">
        <v>1097</v>
      </c>
      <c r="W164" t="s">
        <v>1098</v>
      </c>
    </row>
    <row r="165" spans="18:23">
      <c r="R165" t="s">
        <v>841</v>
      </c>
      <c r="S165" t="s">
        <v>374</v>
      </c>
      <c r="V165" t="s">
        <v>1182</v>
      </c>
      <c r="W165" t="s">
        <v>1099</v>
      </c>
    </row>
    <row r="166" spans="18:23">
      <c r="R166" t="s">
        <v>842</v>
      </c>
      <c r="S166" t="s">
        <v>375</v>
      </c>
      <c r="V166" t="s">
        <v>1255</v>
      </c>
      <c r="W166" t="s">
        <v>1256</v>
      </c>
    </row>
    <row r="167" spans="18:23">
      <c r="R167" t="s">
        <v>843</v>
      </c>
      <c r="S167" t="s">
        <v>376</v>
      </c>
      <c r="V167" t="s">
        <v>1257</v>
      </c>
      <c r="W167" t="s">
        <v>1258</v>
      </c>
    </row>
    <row r="168" spans="18:23">
      <c r="R168" t="s">
        <v>844</v>
      </c>
      <c r="S168" t="s">
        <v>377</v>
      </c>
      <c r="V168" t="s">
        <v>1100</v>
      </c>
      <c r="W168" t="s">
        <v>1103</v>
      </c>
    </row>
    <row r="169" spans="18:23">
      <c r="R169" t="s">
        <v>845</v>
      </c>
      <c r="S169" t="s">
        <v>378</v>
      </c>
      <c r="V169" t="s">
        <v>1183</v>
      </c>
      <c r="W169" t="s">
        <v>1105</v>
      </c>
    </row>
    <row r="170" spans="18:23">
      <c r="R170" t="s">
        <v>846</v>
      </c>
      <c r="S170" t="s">
        <v>379</v>
      </c>
      <c r="V170" t="s">
        <v>1101</v>
      </c>
      <c r="W170" t="s">
        <v>1107</v>
      </c>
    </row>
    <row r="171" spans="18:23">
      <c r="R171" t="s">
        <v>847</v>
      </c>
      <c r="S171" t="s">
        <v>380</v>
      </c>
      <c r="V171" t="s">
        <v>1102</v>
      </c>
      <c r="W171" t="s">
        <v>1109</v>
      </c>
    </row>
    <row r="172" spans="18:23">
      <c r="R172" t="s">
        <v>848</v>
      </c>
      <c r="S172" t="s">
        <v>381</v>
      </c>
      <c r="V172" t="s">
        <v>1104</v>
      </c>
      <c r="W172" t="s">
        <v>1111</v>
      </c>
    </row>
    <row r="173" spans="18:23">
      <c r="R173" t="s">
        <v>849</v>
      </c>
      <c r="S173" t="s">
        <v>382</v>
      </c>
      <c r="V173" t="s">
        <v>1106</v>
      </c>
      <c r="W173" t="s">
        <v>1113</v>
      </c>
    </row>
    <row r="174" spans="18:23">
      <c r="R174" t="s">
        <v>850</v>
      </c>
      <c r="S174" t="s">
        <v>383</v>
      </c>
      <c r="V174" t="s">
        <v>1108</v>
      </c>
      <c r="W174" t="s">
        <v>1114</v>
      </c>
    </row>
    <row r="175" spans="18:23">
      <c r="R175" t="s">
        <v>851</v>
      </c>
      <c r="S175" t="s">
        <v>384</v>
      </c>
      <c r="V175" t="s">
        <v>1110</v>
      </c>
      <c r="W175" t="s">
        <v>1116</v>
      </c>
    </row>
    <row r="176" spans="18:23">
      <c r="R176" t="s">
        <v>852</v>
      </c>
      <c r="S176" t="s">
        <v>385</v>
      </c>
      <c r="V176" t="s">
        <v>1112</v>
      </c>
      <c r="W176" t="s">
        <v>1118</v>
      </c>
    </row>
    <row r="177" spans="18:23">
      <c r="R177" t="s">
        <v>853</v>
      </c>
      <c r="S177" t="s">
        <v>386</v>
      </c>
      <c r="V177" t="s">
        <v>1259</v>
      </c>
      <c r="W177" t="s">
        <v>1120</v>
      </c>
    </row>
    <row r="178" spans="18:23">
      <c r="R178" t="s">
        <v>854</v>
      </c>
      <c r="S178" t="s">
        <v>387</v>
      </c>
      <c r="V178" t="s">
        <v>1115</v>
      </c>
      <c r="W178" t="s">
        <v>1122</v>
      </c>
    </row>
    <row r="179" spans="18:23">
      <c r="R179" t="s">
        <v>855</v>
      </c>
      <c r="S179" t="s">
        <v>388</v>
      </c>
      <c r="V179" t="s">
        <v>1117</v>
      </c>
      <c r="W179" t="s">
        <v>1124</v>
      </c>
    </row>
    <row r="180" spans="18:23">
      <c r="R180" t="s">
        <v>856</v>
      </c>
      <c r="S180" t="s">
        <v>389</v>
      </c>
      <c r="V180" t="s">
        <v>1119</v>
      </c>
      <c r="W180" t="s">
        <v>1125</v>
      </c>
    </row>
    <row r="181" spans="18:23">
      <c r="R181" t="s">
        <v>857</v>
      </c>
      <c r="S181" t="s">
        <v>390</v>
      </c>
      <c r="V181" t="s">
        <v>1121</v>
      </c>
      <c r="W181" t="s">
        <v>1184</v>
      </c>
    </row>
    <row r="182" spans="18:23">
      <c r="R182" t="s">
        <v>858</v>
      </c>
      <c r="S182" t="s">
        <v>391</v>
      </c>
      <c r="V182" t="s">
        <v>1123</v>
      </c>
      <c r="W182" t="s">
        <v>1185</v>
      </c>
    </row>
    <row r="183" spans="18:23">
      <c r="R183" t="s">
        <v>859</v>
      </c>
      <c r="S183" t="s">
        <v>392</v>
      </c>
      <c r="V183" t="s">
        <v>794</v>
      </c>
      <c r="W183" t="s">
        <v>1186</v>
      </c>
    </row>
    <row r="184" spans="18:23">
      <c r="R184" t="s">
        <v>860</v>
      </c>
      <c r="S184" t="s">
        <v>393</v>
      </c>
      <c r="V184" t="s">
        <v>1208</v>
      </c>
      <c r="W184" t="s">
        <v>1209</v>
      </c>
    </row>
    <row r="185" spans="18:23">
      <c r="R185" t="s">
        <v>861</v>
      </c>
      <c r="S185" t="s">
        <v>394</v>
      </c>
      <c r="V185" t="s">
        <v>1212</v>
      </c>
      <c r="W185" t="s">
        <v>1213</v>
      </c>
    </row>
    <row r="186" spans="18:23">
      <c r="R186" t="s">
        <v>862</v>
      </c>
      <c r="S186" t="s">
        <v>395</v>
      </c>
      <c r="V186" t="s">
        <v>1214</v>
      </c>
      <c r="W186" t="s">
        <v>1215</v>
      </c>
    </row>
    <row r="187" spans="18:23">
      <c r="R187" t="s">
        <v>863</v>
      </c>
      <c r="S187" t="s">
        <v>396</v>
      </c>
      <c r="V187" t="s">
        <v>1216</v>
      </c>
      <c r="W187" t="s">
        <v>1217</v>
      </c>
    </row>
    <row r="188" spans="18:23">
      <c r="R188" t="s">
        <v>864</v>
      </c>
      <c r="S188" t="s">
        <v>397</v>
      </c>
      <c r="V188" t="s">
        <v>1218</v>
      </c>
      <c r="W188" t="s">
        <v>1219</v>
      </c>
    </row>
    <row r="189" spans="18:23">
      <c r="R189" t="s">
        <v>865</v>
      </c>
      <c r="S189" t="s">
        <v>398</v>
      </c>
      <c r="V189" t="s">
        <v>1220</v>
      </c>
      <c r="W189" t="s">
        <v>1221</v>
      </c>
    </row>
    <row r="190" spans="18:23">
      <c r="R190" t="s">
        <v>866</v>
      </c>
      <c r="S190" t="s">
        <v>399</v>
      </c>
      <c r="V190" t="s">
        <v>1260</v>
      </c>
      <c r="W190" t="s">
        <v>1234</v>
      </c>
    </row>
    <row r="191" spans="18:23">
      <c r="R191" t="s">
        <v>867</v>
      </c>
      <c r="S191" t="s">
        <v>400</v>
      </c>
      <c r="V191" t="s">
        <v>1261</v>
      </c>
      <c r="W191" t="s">
        <v>1235</v>
      </c>
    </row>
    <row r="192" spans="18:23">
      <c r="R192" t="s">
        <v>868</v>
      </c>
      <c r="S192" t="s">
        <v>401</v>
      </c>
      <c r="V192" t="s">
        <v>1334</v>
      </c>
      <c r="W192" t="s">
        <v>1337</v>
      </c>
    </row>
    <row r="193" spans="18:23">
      <c r="R193" t="s">
        <v>869</v>
      </c>
      <c r="S193" t="s">
        <v>402</v>
      </c>
      <c r="V193" t="s">
        <v>226</v>
      </c>
      <c r="W193" t="s">
        <v>1338</v>
      </c>
    </row>
    <row r="194" spans="18:23">
      <c r="R194" t="s">
        <v>870</v>
      </c>
      <c r="S194" t="s">
        <v>403</v>
      </c>
      <c r="V194" t="s">
        <v>1335</v>
      </c>
      <c r="W194" t="s">
        <v>1339</v>
      </c>
    </row>
    <row r="195" spans="18:23">
      <c r="R195" t="s">
        <v>871</v>
      </c>
      <c r="S195" t="s">
        <v>404</v>
      </c>
      <c r="V195" t="s">
        <v>1336</v>
      </c>
      <c r="W195" t="s">
        <v>1340</v>
      </c>
    </row>
    <row r="196" spans="18:23">
      <c r="R196" t="s">
        <v>872</v>
      </c>
      <c r="S196" t="s">
        <v>405</v>
      </c>
    </row>
    <row r="197" spans="18:23">
      <c r="R197" t="s">
        <v>873</v>
      </c>
      <c r="S197" t="s">
        <v>406</v>
      </c>
    </row>
    <row r="198" spans="18:23">
      <c r="R198" t="s">
        <v>874</v>
      </c>
      <c r="S198" t="s">
        <v>407</v>
      </c>
    </row>
    <row r="199" spans="18:23">
      <c r="R199" t="s">
        <v>875</v>
      </c>
      <c r="S199" t="s">
        <v>408</v>
      </c>
    </row>
    <row r="200" spans="18:23">
      <c r="R200" t="s">
        <v>876</v>
      </c>
      <c r="S200" t="s">
        <v>409</v>
      </c>
    </row>
    <row r="201" spans="18:23">
      <c r="R201" t="s">
        <v>877</v>
      </c>
      <c r="S201" t="s">
        <v>410</v>
      </c>
    </row>
    <row r="202" spans="18:23">
      <c r="R202" t="s">
        <v>878</v>
      </c>
      <c r="S202" t="s">
        <v>411</v>
      </c>
    </row>
    <row r="203" spans="18:23">
      <c r="R203" t="s">
        <v>879</v>
      </c>
      <c r="S203" t="s">
        <v>412</v>
      </c>
    </row>
    <row r="204" spans="18:23">
      <c r="R204" t="s">
        <v>880</v>
      </c>
      <c r="S204" t="s">
        <v>413</v>
      </c>
    </row>
    <row r="205" spans="18:23">
      <c r="R205" t="s">
        <v>881</v>
      </c>
      <c r="S205" t="s">
        <v>414</v>
      </c>
    </row>
    <row r="206" spans="18:23">
      <c r="R206" t="s">
        <v>882</v>
      </c>
      <c r="S206" t="s">
        <v>415</v>
      </c>
    </row>
    <row r="207" spans="18:23">
      <c r="R207" t="s">
        <v>883</v>
      </c>
      <c r="S207" t="s">
        <v>416</v>
      </c>
    </row>
    <row r="208" spans="18:23">
      <c r="R208" t="s">
        <v>884</v>
      </c>
      <c r="S208" t="s">
        <v>417</v>
      </c>
    </row>
    <row r="209" spans="18:19">
      <c r="R209" t="s">
        <v>885</v>
      </c>
      <c r="S209" t="s">
        <v>418</v>
      </c>
    </row>
    <row r="210" spans="18:19">
      <c r="R210" t="s">
        <v>886</v>
      </c>
      <c r="S210" t="s">
        <v>419</v>
      </c>
    </row>
    <row r="211" spans="18:19">
      <c r="R211" t="s">
        <v>887</v>
      </c>
      <c r="S211" t="s">
        <v>583</v>
      </c>
    </row>
    <row r="212" spans="18:19">
      <c r="R212" t="s">
        <v>888</v>
      </c>
      <c r="S212" t="s">
        <v>584</v>
      </c>
    </row>
    <row r="213" spans="18:19">
      <c r="R213" t="s">
        <v>889</v>
      </c>
      <c r="S213" t="s">
        <v>585</v>
      </c>
    </row>
    <row r="214" spans="18:19">
      <c r="R214" t="s">
        <v>190</v>
      </c>
      <c r="S214" t="s">
        <v>586</v>
      </c>
    </row>
    <row r="215" spans="18:19">
      <c r="R215" t="s">
        <v>175</v>
      </c>
      <c r="S215" t="s">
        <v>587</v>
      </c>
    </row>
    <row r="216" spans="18:19">
      <c r="R216" t="s">
        <v>149</v>
      </c>
      <c r="S216" t="s">
        <v>588</v>
      </c>
    </row>
    <row r="217" spans="18:19">
      <c r="R217" t="s">
        <v>150</v>
      </c>
      <c r="S217" t="s">
        <v>589</v>
      </c>
    </row>
    <row r="218" spans="18:19">
      <c r="R218" t="s">
        <v>151</v>
      </c>
      <c r="S218" t="s">
        <v>590</v>
      </c>
    </row>
    <row r="219" spans="18:19">
      <c r="R219" t="s">
        <v>189</v>
      </c>
      <c r="S219" t="s">
        <v>591</v>
      </c>
    </row>
    <row r="220" spans="18:19">
      <c r="R220" t="s">
        <v>188</v>
      </c>
      <c r="S220" t="s">
        <v>592</v>
      </c>
    </row>
    <row r="221" spans="18:19">
      <c r="R221" t="s">
        <v>202</v>
      </c>
      <c r="S221" t="s">
        <v>593</v>
      </c>
    </row>
    <row r="222" spans="18:19">
      <c r="R222" t="s">
        <v>173</v>
      </c>
      <c r="S222" t="s">
        <v>594</v>
      </c>
    </row>
    <row r="223" spans="18:19">
      <c r="R223" t="s">
        <v>194</v>
      </c>
      <c r="S223" t="s">
        <v>595</v>
      </c>
    </row>
    <row r="224" spans="18:19">
      <c r="R224" t="s">
        <v>196</v>
      </c>
      <c r="S224" t="s">
        <v>596</v>
      </c>
    </row>
    <row r="225" spans="18:19">
      <c r="R225" t="s">
        <v>193</v>
      </c>
      <c r="S225" t="s">
        <v>597</v>
      </c>
    </row>
    <row r="226" spans="18:19">
      <c r="R226" t="s">
        <v>192</v>
      </c>
      <c r="S226" t="s">
        <v>598</v>
      </c>
    </row>
    <row r="227" spans="18:19">
      <c r="R227" t="s">
        <v>195</v>
      </c>
      <c r="S227" t="s">
        <v>599</v>
      </c>
    </row>
    <row r="228" spans="18:19">
      <c r="R228" t="s">
        <v>191</v>
      </c>
      <c r="S228" t="s">
        <v>600</v>
      </c>
    </row>
    <row r="229" spans="18:19">
      <c r="R229" t="s">
        <v>201</v>
      </c>
      <c r="S229" t="s">
        <v>601</v>
      </c>
    </row>
    <row r="230" spans="18:19">
      <c r="R230" t="s">
        <v>890</v>
      </c>
      <c r="S230" t="s">
        <v>602</v>
      </c>
    </row>
    <row r="231" spans="18:19">
      <c r="R231" t="s">
        <v>200</v>
      </c>
      <c r="S231" t="s">
        <v>603</v>
      </c>
    </row>
    <row r="232" spans="18:19">
      <c r="R232" t="s">
        <v>199</v>
      </c>
      <c r="S232" t="s">
        <v>604</v>
      </c>
    </row>
    <row r="233" spans="18:19">
      <c r="R233" t="s">
        <v>145</v>
      </c>
      <c r="S233" t="s">
        <v>605</v>
      </c>
    </row>
    <row r="234" spans="18:19">
      <c r="R234" t="s">
        <v>174</v>
      </c>
      <c r="S234" t="s">
        <v>606</v>
      </c>
    </row>
    <row r="235" spans="18:19">
      <c r="R235" t="s">
        <v>607</v>
      </c>
      <c r="S235" t="s">
        <v>608</v>
      </c>
    </row>
    <row r="236" spans="18:19">
      <c r="R236" t="s">
        <v>146</v>
      </c>
      <c r="S236" t="s">
        <v>609</v>
      </c>
    </row>
    <row r="237" spans="18:19">
      <c r="R237" t="s">
        <v>147</v>
      </c>
      <c r="S237" t="s">
        <v>610</v>
      </c>
    </row>
    <row r="238" spans="18:19">
      <c r="R238" t="s">
        <v>148</v>
      </c>
      <c r="S238" t="s">
        <v>611</v>
      </c>
    </row>
    <row r="239" spans="18:19">
      <c r="R239" t="s">
        <v>891</v>
      </c>
      <c r="S239" t="s">
        <v>892</v>
      </c>
    </row>
    <row r="240" spans="18:19">
      <c r="R240" t="s">
        <v>893</v>
      </c>
      <c r="S240" t="s">
        <v>894</v>
      </c>
    </row>
    <row r="241" spans="18:19">
      <c r="R241" t="s">
        <v>895</v>
      </c>
      <c r="S241" t="s">
        <v>896</v>
      </c>
    </row>
    <row r="242" spans="18:19">
      <c r="R242" t="s">
        <v>897</v>
      </c>
      <c r="S242" t="s">
        <v>898</v>
      </c>
    </row>
    <row r="243" spans="18:19">
      <c r="R243" t="s">
        <v>899</v>
      </c>
      <c r="S243" t="s">
        <v>900</v>
      </c>
    </row>
    <row r="244" spans="18:19">
      <c r="R244" t="s">
        <v>901</v>
      </c>
      <c r="S244" t="s">
        <v>902</v>
      </c>
    </row>
    <row r="245" spans="18:19">
      <c r="R245" t="s">
        <v>903</v>
      </c>
      <c r="S245" t="s">
        <v>904</v>
      </c>
    </row>
    <row r="246" spans="18:19">
      <c r="R246" t="s">
        <v>905</v>
      </c>
      <c r="S246" t="s">
        <v>906</v>
      </c>
    </row>
    <row r="247" spans="18:19">
      <c r="R247" t="s">
        <v>907</v>
      </c>
      <c r="S247" t="s">
        <v>908</v>
      </c>
    </row>
    <row r="248" spans="18:19">
      <c r="R248" t="s">
        <v>909</v>
      </c>
      <c r="S248" t="s">
        <v>910</v>
      </c>
    </row>
    <row r="249" spans="18:19">
      <c r="R249" t="s">
        <v>911</v>
      </c>
      <c r="S249" t="s">
        <v>912</v>
      </c>
    </row>
    <row r="250" spans="18:19">
      <c r="R250" t="s">
        <v>913</v>
      </c>
      <c r="S250" t="s">
        <v>914</v>
      </c>
    </row>
    <row r="251" spans="18:19">
      <c r="R251" t="s">
        <v>915</v>
      </c>
      <c r="S251" t="s">
        <v>916</v>
      </c>
    </row>
    <row r="252" spans="18:19">
      <c r="R252" t="s">
        <v>917</v>
      </c>
      <c r="S252" t="s">
        <v>918</v>
      </c>
    </row>
    <row r="253" spans="18:19">
      <c r="R253" t="s">
        <v>919</v>
      </c>
      <c r="S253" t="s">
        <v>920</v>
      </c>
    </row>
    <row r="254" spans="18:19">
      <c r="R254" t="s">
        <v>921</v>
      </c>
      <c r="S254" t="s">
        <v>922</v>
      </c>
    </row>
    <row r="255" spans="18:19">
      <c r="R255" t="s">
        <v>923</v>
      </c>
      <c r="S255" t="s">
        <v>924</v>
      </c>
    </row>
    <row r="256" spans="18:19">
      <c r="R256" t="s">
        <v>1236</v>
      </c>
      <c r="S256" t="s">
        <v>925</v>
      </c>
    </row>
    <row r="257" spans="18:19">
      <c r="R257" t="s">
        <v>1237</v>
      </c>
      <c r="S257" t="s">
        <v>927</v>
      </c>
    </row>
    <row r="258" spans="18:19">
      <c r="R258" t="s">
        <v>926</v>
      </c>
      <c r="S258" t="s">
        <v>928</v>
      </c>
    </row>
    <row r="259" spans="18:19">
      <c r="R259" t="s">
        <v>1172</v>
      </c>
      <c r="S259" t="s">
        <v>929</v>
      </c>
    </row>
    <row r="260" spans="18:19">
      <c r="R260" t="s">
        <v>1238</v>
      </c>
      <c r="S260" t="s">
        <v>930</v>
      </c>
    </row>
    <row r="261" spans="18:19">
      <c r="R261" t="s">
        <v>1239</v>
      </c>
      <c r="S261" t="s">
        <v>931</v>
      </c>
    </row>
    <row r="262" spans="18:19">
      <c r="R262" t="s">
        <v>1240</v>
      </c>
      <c r="S262" t="s">
        <v>932</v>
      </c>
    </row>
    <row r="263" spans="18:19">
      <c r="R263" t="s">
        <v>1241</v>
      </c>
      <c r="S263" t="s">
        <v>934</v>
      </c>
    </row>
    <row r="264" spans="18:19">
      <c r="R264" t="s">
        <v>1242</v>
      </c>
      <c r="S264" t="s">
        <v>936</v>
      </c>
    </row>
    <row r="265" spans="18:19">
      <c r="R265" t="s">
        <v>1243</v>
      </c>
      <c r="S265" t="s">
        <v>938</v>
      </c>
    </row>
    <row r="266" spans="18:19">
      <c r="R266" t="s">
        <v>1244</v>
      </c>
      <c r="S266" t="s">
        <v>940</v>
      </c>
    </row>
    <row r="267" spans="18:19">
      <c r="R267" t="s">
        <v>1245</v>
      </c>
      <c r="S267" t="s">
        <v>942</v>
      </c>
    </row>
    <row r="268" spans="18:19">
      <c r="R268" t="s">
        <v>1246</v>
      </c>
      <c r="S268" t="s">
        <v>944</v>
      </c>
    </row>
    <row r="269" spans="18:19">
      <c r="R269" t="s">
        <v>1247</v>
      </c>
      <c r="S269" t="s">
        <v>946</v>
      </c>
    </row>
    <row r="270" spans="18:19">
      <c r="R270" t="s">
        <v>933</v>
      </c>
      <c r="S270" t="s">
        <v>948</v>
      </c>
    </row>
    <row r="271" spans="18:19">
      <c r="R271" t="s">
        <v>1173</v>
      </c>
      <c r="S271" t="s">
        <v>950</v>
      </c>
    </row>
    <row r="272" spans="18:19">
      <c r="R272" t="s">
        <v>935</v>
      </c>
      <c r="S272" t="s">
        <v>952</v>
      </c>
    </row>
    <row r="273" spans="18:19">
      <c r="R273" t="s">
        <v>937</v>
      </c>
      <c r="S273" t="s">
        <v>954</v>
      </c>
    </row>
    <row r="274" spans="18:19">
      <c r="R274" t="s">
        <v>939</v>
      </c>
      <c r="S274" t="s">
        <v>956</v>
      </c>
    </row>
    <row r="275" spans="18:19">
      <c r="R275" t="s">
        <v>941</v>
      </c>
      <c r="S275" t="s">
        <v>958</v>
      </c>
    </row>
    <row r="276" spans="18:19">
      <c r="R276" t="s">
        <v>943</v>
      </c>
      <c r="S276" t="s">
        <v>960</v>
      </c>
    </row>
    <row r="277" spans="18:19">
      <c r="R277" t="s">
        <v>945</v>
      </c>
      <c r="S277" t="s">
        <v>962</v>
      </c>
    </row>
    <row r="278" spans="18:19">
      <c r="R278" t="s">
        <v>947</v>
      </c>
      <c r="S278" t="s">
        <v>964</v>
      </c>
    </row>
    <row r="279" spans="18:19">
      <c r="R279" t="s">
        <v>949</v>
      </c>
      <c r="S279" t="s">
        <v>966</v>
      </c>
    </row>
    <row r="280" spans="18:19">
      <c r="R280" t="s">
        <v>951</v>
      </c>
      <c r="S280" t="s">
        <v>968</v>
      </c>
    </row>
    <row r="281" spans="18:19">
      <c r="R281" t="s">
        <v>953</v>
      </c>
      <c r="S281" t="s">
        <v>970</v>
      </c>
    </row>
    <row r="282" spans="18:19">
      <c r="R282" t="s">
        <v>955</v>
      </c>
      <c r="S282" t="s">
        <v>972</v>
      </c>
    </row>
    <row r="283" spans="18:19">
      <c r="R283" t="s">
        <v>957</v>
      </c>
      <c r="S283" t="s">
        <v>974</v>
      </c>
    </row>
    <row r="284" spans="18:19">
      <c r="R284" t="s">
        <v>959</v>
      </c>
      <c r="S284" t="s">
        <v>975</v>
      </c>
    </row>
    <row r="285" spans="18:19">
      <c r="R285" t="s">
        <v>961</v>
      </c>
      <c r="S285" t="s">
        <v>977</v>
      </c>
    </row>
    <row r="286" spans="18:19">
      <c r="R286" t="s">
        <v>963</v>
      </c>
      <c r="S286" t="s">
        <v>978</v>
      </c>
    </row>
    <row r="287" spans="18:19">
      <c r="R287" t="s">
        <v>965</v>
      </c>
      <c r="S287" t="s">
        <v>979</v>
      </c>
    </row>
    <row r="288" spans="18:19">
      <c r="R288" t="s">
        <v>967</v>
      </c>
      <c r="S288" t="s">
        <v>980</v>
      </c>
    </row>
    <row r="289" spans="18:19">
      <c r="R289" t="s">
        <v>969</v>
      </c>
      <c r="S289" t="s">
        <v>981</v>
      </c>
    </row>
    <row r="290" spans="18:19">
      <c r="R290" t="s">
        <v>971</v>
      </c>
      <c r="S290" t="s">
        <v>982</v>
      </c>
    </row>
    <row r="291" spans="18:19">
      <c r="R291" t="s">
        <v>973</v>
      </c>
      <c r="S291" t="s">
        <v>983</v>
      </c>
    </row>
    <row r="292" spans="18:19">
      <c r="R292" t="s">
        <v>1248</v>
      </c>
      <c r="S292" t="s">
        <v>985</v>
      </c>
    </row>
    <row r="293" spans="18:19">
      <c r="R293" t="s">
        <v>976</v>
      </c>
      <c r="S293" t="s">
        <v>987</v>
      </c>
    </row>
    <row r="294" spans="18:19">
      <c r="R294" t="s">
        <v>1249</v>
      </c>
      <c r="S294" t="s">
        <v>989</v>
      </c>
    </row>
    <row r="295" spans="18:19">
      <c r="R295" t="s">
        <v>1250</v>
      </c>
      <c r="S295" t="s">
        <v>991</v>
      </c>
    </row>
    <row r="296" spans="18:19">
      <c r="R296" t="s">
        <v>1251</v>
      </c>
      <c r="S296" t="s">
        <v>993</v>
      </c>
    </row>
    <row r="297" spans="18:19">
      <c r="R297" t="s">
        <v>1232</v>
      </c>
      <c r="S297" t="s">
        <v>995</v>
      </c>
    </row>
    <row r="298" spans="18:19">
      <c r="R298" t="s">
        <v>1233</v>
      </c>
      <c r="S298" t="s">
        <v>997</v>
      </c>
    </row>
    <row r="299" spans="18:19">
      <c r="R299" t="s">
        <v>1252</v>
      </c>
      <c r="S299" t="s">
        <v>999</v>
      </c>
    </row>
    <row r="300" spans="18:19">
      <c r="R300" t="s">
        <v>984</v>
      </c>
      <c r="S300" t="s">
        <v>1001</v>
      </c>
    </row>
    <row r="301" spans="18:19">
      <c r="R301" t="s">
        <v>986</v>
      </c>
      <c r="S301" t="s">
        <v>1003</v>
      </c>
    </row>
    <row r="302" spans="18:19">
      <c r="R302" t="s">
        <v>988</v>
      </c>
      <c r="S302" t="s">
        <v>1005</v>
      </c>
    </row>
    <row r="303" spans="18:19">
      <c r="R303" t="s">
        <v>990</v>
      </c>
      <c r="S303" t="s">
        <v>1007</v>
      </c>
    </row>
    <row r="304" spans="18:19">
      <c r="R304" t="s">
        <v>992</v>
      </c>
      <c r="S304" t="s">
        <v>1009</v>
      </c>
    </row>
    <row r="305" spans="18:19">
      <c r="R305" t="s">
        <v>994</v>
      </c>
      <c r="S305" t="s">
        <v>1011</v>
      </c>
    </row>
    <row r="306" spans="18:19">
      <c r="R306" t="s">
        <v>996</v>
      </c>
      <c r="S306" t="s">
        <v>1013</v>
      </c>
    </row>
    <row r="307" spans="18:19">
      <c r="R307" t="s">
        <v>998</v>
      </c>
      <c r="S307" t="s">
        <v>1015</v>
      </c>
    </row>
    <row r="308" spans="18:19">
      <c r="R308" t="s">
        <v>1000</v>
      </c>
      <c r="S308" t="s">
        <v>1017</v>
      </c>
    </row>
    <row r="309" spans="18:19">
      <c r="R309" t="s">
        <v>1002</v>
      </c>
      <c r="S309" t="s">
        <v>1019</v>
      </c>
    </row>
    <row r="310" spans="18:19">
      <c r="R310" t="s">
        <v>1004</v>
      </c>
      <c r="S310" t="s">
        <v>1021</v>
      </c>
    </row>
    <row r="311" spans="18:19">
      <c r="R311" t="s">
        <v>1006</v>
      </c>
      <c r="S311" t="s">
        <v>1023</v>
      </c>
    </row>
    <row r="312" spans="18:19">
      <c r="R312" t="s">
        <v>1008</v>
      </c>
      <c r="S312" t="s">
        <v>1025</v>
      </c>
    </row>
    <row r="313" spans="18:19">
      <c r="R313" t="s">
        <v>1010</v>
      </c>
      <c r="S313" t="s">
        <v>1027</v>
      </c>
    </row>
    <row r="314" spans="18:19">
      <c r="R314" t="s">
        <v>1012</v>
      </c>
      <c r="S314" t="s">
        <v>1029</v>
      </c>
    </row>
    <row r="315" spans="18:19">
      <c r="R315" t="s">
        <v>1014</v>
      </c>
      <c r="S315" t="s">
        <v>1031</v>
      </c>
    </row>
    <row r="316" spans="18:19">
      <c r="R316" t="s">
        <v>1016</v>
      </c>
      <c r="S316" t="s">
        <v>1033</v>
      </c>
    </row>
    <row r="317" spans="18:19">
      <c r="R317" t="s">
        <v>1018</v>
      </c>
      <c r="S317" t="s">
        <v>1035</v>
      </c>
    </row>
    <row r="318" spans="18:19">
      <c r="R318" t="s">
        <v>1020</v>
      </c>
      <c r="S318" t="s">
        <v>1126</v>
      </c>
    </row>
    <row r="319" spans="18:19">
      <c r="R319" t="s">
        <v>1022</v>
      </c>
      <c r="S319" t="s">
        <v>1128</v>
      </c>
    </row>
    <row r="320" spans="18:19">
      <c r="R320" t="s">
        <v>1024</v>
      </c>
      <c r="S320" t="s">
        <v>1130</v>
      </c>
    </row>
    <row r="321" spans="18:19">
      <c r="R321" t="s">
        <v>1026</v>
      </c>
      <c r="S321" t="s">
        <v>1132</v>
      </c>
    </row>
    <row r="322" spans="18:19">
      <c r="R322" t="s">
        <v>1028</v>
      </c>
      <c r="S322" t="s">
        <v>1134</v>
      </c>
    </row>
    <row r="323" spans="18:19">
      <c r="R323" t="s">
        <v>1030</v>
      </c>
      <c r="S323" t="s">
        <v>1136</v>
      </c>
    </row>
    <row r="324" spans="18:19">
      <c r="R324" t="s">
        <v>1032</v>
      </c>
      <c r="S324" t="s">
        <v>1138</v>
      </c>
    </row>
    <row r="325" spans="18:19">
      <c r="R325" t="s">
        <v>1034</v>
      </c>
      <c r="S325" t="s">
        <v>1140</v>
      </c>
    </row>
    <row r="326" spans="18:19">
      <c r="R326" t="s">
        <v>1171</v>
      </c>
      <c r="S326" t="s">
        <v>1142</v>
      </c>
    </row>
    <row r="327" spans="18:19">
      <c r="R327" t="s">
        <v>1127</v>
      </c>
      <c r="S327" t="s">
        <v>1144</v>
      </c>
    </row>
    <row r="328" spans="18:19">
      <c r="R328" t="s">
        <v>1129</v>
      </c>
      <c r="S328" t="s">
        <v>1146</v>
      </c>
    </row>
    <row r="329" spans="18:19">
      <c r="R329" t="s">
        <v>1131</v>
      </c>
      <c r="S329" t="s">
        <v>1148</v>
      </c>
    </row>
    <row r="330" spans="18:19">
      <c r="R330" t="s">
        <v>1133</v>
      </c>
      <c r="S330" t="s">
        <v>1150</v>
      </c>
    </row>
    <row r="331" spans="18:19">
      <c r="R331" t="s">
        <v>1135</v>
      </c>
      <c r="S331" t="s">
        <v>1152</v>
      </c>
    </row>
    <row r="332" spans="18:19">
      <c r="R332" t="s">
        <v>1137</v>
      </c>
      <c r="S332" t="s">
        <v>1154</v>
      </c>
    </row>
    <row r="333" spans="18:19">
      <c r="R333" t="s">
        <v>1139</v>
      </c>
      <c r="S333" t="s">
        <v>1156</v>
      </c>
    </row>
    <row r="334" spans="18:19">
      <c r="R334" t="s">
        <v>1141</v>
      </c>
      <c r="S334" t="s">
        <v>1158</v>
      </c>
    </row>
    <row r="335" spans="18:19">
      <c r="R335" t="s">
        <v>1143</v>
      </c>
      <c r="S335" t="s">
        <v>1160</v>
      </c>
    </row>
    <row r="336" spans="18:19">
      <c r="R336" t="s">
        <v>1145</v>
      </c>
      <c r="S336" t="s">
        <v>1162</v>
      </c>
    </row>
    <row r="337" spans="18:19">
      <c r="R337" t="s">
        <v>1149</v>
      </c>
      <c r="S337" t="s">
        <v>1164</v>
      </c>
    </row>
    <row r="338" spans="18:19">
      <c r="R338" t="s">
        <v>1147</v>
      </c>
      <c r="S338" t="s">
        <v>1166</v>
      </c>
    </row>
    <row r="339" spans="18:19">
      <c r="R339" t="s">
        <v>1151</v>
      </c>
      <c r="S339" t="s">
        <v>1168</v>
      </c>
    </row>
    <row r="340" spans="18:19">
      <c r="R340" t="s">
        <v>1153</v>
      </c>
      <c r="S340" t="s">
        <v>1170</v>
      </c>
    </row>
    <row r="341" spans="18:19">
      <c r="R341" t="s">
        <v>1155</v>
      </c>
      <c r="S341" t="s">
        <v>1174</v>
      </c>
    </row>
    <row r="342" spans="18:19">
      <c r="R342" t="s">
        <v>1157</v>
      </c>
      <c r="S342" t="s">
        <v>1175</v>
      </c>
    </row>
    <row r="343" spans="18:19">
      <c r="R343" t="s">
        <v>1159</v>
      </c>
      <c r="S343" t="s">
        <v>1176</v>
      </c>
    </row>
    <row r="344" spans="18:19">
      <c r="R344" t="s">
        <v>1161</v>
      </c>
      <c r="S344" t="s">
        <v>1177</v>
      </c>
    </row>
    <row r="345" spans="18:19">
      <c r="R345" t="s">
        <v>1163</v>
      </c>
      <c r="S345" t="s">
        <v>1178</v>
      </c>
    </row>
    <row r="346" spans="18:19">
      <c r="R346" t="s">
        <v>1165</v>
      </c>
      <c r="S346" t="s">
        <v>1179</v>
      </c>
    </row>
    <row r="347" spans="18:19">
      <c r="R347" t="s">
        <v>1167</v>
      </c>
      <c r="S347" t="s">
        <v>1180</v>
      </c>
    </row>
    <row r="348" spans="18:19">
      <c r="R348" t="s">
        <v>1169</v>
      </c>
      <c r="S348" t="s">
        <v>1181</v>
      </c>
    </row>
    <row r="349" spans="18:19">
      <c r="R349" t="s">
        <v>1198</v>
      </c>
      <c r="S349" t="s">
        <v>1199</v>
      </c>
    </row>
    <row r="350" spans="18:19">
      <c r="R350" t="s">
        <v>1200</v>
      </c>
      <c r="S350" t="s">
        <v>1201</v>
      </c>
    </row>
    <row r="351" spans="18:19">
      <c r="R351" t="s">
        <v>1202</v>
      </c>
      <c r="S351" t="s">
        <v>1203</v>
      </c>
    </row>
    <row r="352" spans="18:19">
      <c r="R352" t="s">
        <v>1204</v>
      </c>
      <c r="S352" t="s">
        <v>1205</v>
      </c>
    </row>
    <row r="353" spans="18:19">
      <c r="R353" t="s">
        <v>1206</v>
      </c>
      <c r="S353" t="s">
        <v>1207</v>
      </c>
    </row>
    <row r="354" spans="18:19">
      <c r="R354" t="s">
        <v>1210</v>
      </c>
      <c r="S354" t="s">
        <v>1211</v>
      </c>
    </row>
    <row r="355" spans="18:19">
      <c r="R355" t="s">
        <v>1222</v>
      </c>
      <c r="S355" t="s">
        <v>1223</v>
      </c>
    </row>
    <row r="356" spans="18:19">
      <c r="R356" t="s">
        <v>1253</v>
      </c>
      <c r="S356" t="s">
        <v>1225</v>
      </c>
    </row>
    <row r="357" spans="18:19">
      <c r="R357" t="s">
        <v>1254</v>
      </c>
      <c r="S357" t="s">
        <v>1231</v>
      </c>
    </row>
    <row r="358" spans="18:19">
      <c r="R358" t="s">
        <v>1262</v>
      </c>
      <c r="S358" t="s">
        <v>1263</v>
      </c>
    </row>
    <row r="359" spans="18:19">
      <c r="R359" t="s">
        <v>1264</v>
      </c>
      <c r="S359" t="s">
        <v>1265</v>
      </c>
    </row>
    <row r="360" spans="18:19">
      <c r="R360" t="s">
        <v>1266</v>
      </c>
      <c r="S360" t="s">
        <v>1267</v>
      </c>
    </row>
    <row r="361" spans="18:19">
      <c r="R361" t="s">
        <v>1320</v>
      </c>
      <c r="S361" t="s">
        <v>1327</v>
      </c>
    </row>
    <row r="362" spans="18:19">
      <c r="R362" t="s">
        <v>1321</v>
      </c>
      <c r="S362" t="s">
        <v>1328</v>
      </c>
    </row>
    <row r="363" spans="18:19">
      <c r="R363" t="s">
        <v>1322</v>
      </c>
      <c r="S363" t="s">
        <v>1329</v>
      </c>
    </row>
    <row r="364" spans="18:19">
      <c r="R364" t="s">
        <v>1323</v>
      </c>
      <c r="S364" t="s">
        <v>1330</v>
      </c>
    </row>
    <row r="365" spans="18:19">
      <c r="R365" t="s">
        <v>1324</v>
      </c>
      <c r="S365" t="s">
        <v>1331</v>
      </c>
    </row>
    <row r="366" spans="18:19">
      <c r="R366" t="s">
        <v>1325</v>
      </c>
      <c r="S366" t="s">
        <v>1332</v>
      </c>
    </row>
    <row r="367" spans="18:19">
      <c r="R367" t="s">
        <v>1326</v>
      </c>
      <c r="S367" t="s">
        <v>1333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  <notes xmlns="c1090911-16f1-4708-addb-5db4084efa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9" ma:contentTypeDescription="Create a new document." ma:contentTypeScope="" ma:versionID="b6e6e56f9487d82f8541f6a3451233f0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9b233878ef8532e58771fca241ba3be7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5CF216-C61E-490A-9803-EEB13155CC39}">
  <ds:schemaRefs>
    <ds:schemaRef ds:uri="http://schemas.microsoft.com/office/2006/metadata/properties"/>
    <ds:schemaRef ds:uri="http://schemas.microsoft.com/office/infopath/2007/PartnerControls"/>
    <ds:schemaRef ds:uri="c1090911-16f1-4708-addb-5db4084efaec"/>
    <ds:schemaRef ds:uri="038a7a37-6bdc-40eb-a876-7e5ad11546ed"/>
  </ds:schemaRefs>
</ds:datastoreItem>
</file>

<file path=customXml/itemProps2.xml><?xml version="1.0" encoding="utf-8"?>
<ds:datastoreItem xmlns:ds="http://schemas.openxmlformats.org/officeDocument/2006/customXml" ds:itemID="{DBA54BCB-AA5D-4698-9843-9222952A17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44DEF2-2B9F-4A24-B540-ABDF9F1E55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90911-16f1-4708-addb-5db4084efaec"/>
    <ds:schemaRef ds:uri="038a7a37-6bdc-40eb-a876-7e5ad1154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De Stercke Simon</cp:lastModifiedBy>
  <dcterms:created xsi:type="dcterms:W3CDTF">2024-12-05T14:00:23Z</dcterms:created>
  <dcterms:modified xsi:type="dcterms:W3CDTF">2025-10-13T01:43:20Z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</Properties>
</file>